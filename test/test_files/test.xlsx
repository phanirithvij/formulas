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ncenzoarcidiacono/PycharmProjects/formulas/test/test_files/"/>
    </mc:Choice>
  </mc:AlternateContent>
  <xr:revisionPtr revIDLastSave="0" documentId="13_ncr:1_{3DA46D2A-F134-224A-96A4-E12E5965D326}" xr6:coauthVersionLast="47" xr6:coauthVersionMax="47" xr10:uidLastSave="{00000000-0000-0000-0000-000000000000}"/>
  <bookViews>
    <workbookView xWindow="0" yWindow="700" windowWidth="27040" windowHeight="15880" xr2:uid="{F65FE233-714E-834F-8B22-AE36FC3B45C8}"/>
  </bookViews>
  <sheets>
    <sheet name="COVERAGE" sheetId="21" r:id="rId1"/>
    <sheet name="AUTOMATION" sheetId="24" r:id="rId2"/>
    <sheet name="COMPATIBILITY" sheetId="18" r:id="rId3"/>
    <sheet name="CUBE" sheetId="23" r:id="rId4"/>
    <sheet name="DATABASE" sheetId="25" r:id="rId5"/>
    <sheet name="DATE &amp; TIME" sheetId="17" r:id="rId6"/>
    <sheet name="ENGINEERING" sheetId="15" r:id="rId7"/>
    <sheet name="FINANCIAL" sheetId="9" r:id="rId8"/>
    <sheet name="INFORMATION" sheetId="6" r:id="rId9"/>
    <sheet name="LOGICAL" sheetId="8" r:id="rId10"/>
    <sheet name="LOOKUP" sheetId="12" r:id="rId11"/>
    <sheet name="MATH &amp; TRIG" sheetId="3" r:id="rId12"/>
    <sheet name="STATISTICAL" sheetId="5" r:id="rId13"/>
    <sheet name="TEXT" sheetId="11" r:id="rId14"/>
    <sheet name="WEB" sheetId="26" r:id="rId15"/>
    <sheet name="OPERATORS" sheetId="13" r:id="rId16"/>
    <sheet name="CORE" sheetId="1" r:id="rId17"/>
    <sheet name="EXTRA" sheetId="19" r:id="rId18"/>
    <sheet name="REF" sheetId="2" r:id="rId19"/>
    <sheet name="123" sheetId="20" r:id="rId20"/>
  </sheets>
  <externalReferences>
    <externalReference r:id="rId21"/>
    <externalReference r:id="rId22"/>
  </externalReferences>
  <definedNames>
    <definedName name="_1234\5678\90">CORE!$G$21</definedName>
    <definedName name="_1234\5678\91">CORE!$F$21</definedName>
    <definedName name="_xlnm._FilterDatabase" localSheetId="17" hidden="1">EXTRA!$T$2:$AR$17</definedName>
    <definedName name="a">CORE!$B$2:$C$3</definedName>
    <definedName name="b">CORE!$D$2:$E$3</definedName>
    <definedName name="d">CORE!$B$4:$C$5</definedName>
    <definedName name="e">CORE!$D$4:$E$5</definedName>
    <definedName name="f">CORE!$G$2:$H$5</definedName>
    <definedName name="g">REF!$B$2:$B$5</definedName>
    <definedName name="h">CORE!$K$4:$K$6 CORE!$J$5:$L$5</definedName>
    <definedName name="i">SUM(CORE!$M$4:$N$5,h)</definedName>
    <definedName name="l">h+i</definedName>
    <definedName name="m">[1]Sheet1!$A$1</definedName>
    <definedName name="MYLAMBDA">_xlfn.LAMBDA(_xlpm.x,_xlpm.y,_xlpm.z,SUM(_xlpm.x*2,_xlpm.y*3,-_xlpm.z,LOGICAL!$D$12))</definedName>
    <definedName name="NAMEDCELL123">"'ciao"</definedName>
    <definedName name="QF_SYS_LISTPRICECURRENCY">CORE!$F$12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3" l="1"/>
  <c r="R46" i="3"/>
  <c r="X46" i="3"/>
  <c r="V46" i="3"/>
  <c r="T46" i="3"/>
  <c r="AF46" i="3"/>
  <c r="W46" i="3"/>
  <c r="Y46" i="3"/>
  <c r="Z46" i="3"/>
  <c r="AA46" i="3"/>
  <c r="AB46" i="3"/>
  <c r="AC46" i="3"/>
  <c r="AD46" i="3"/>
  <c r="AE46" i="3"/>
  <c r="S46" i="3"/>
  <c r="U46" i="3"/>
  <c r="AE78" i="3"/>
  <c r="AE79" i="3"/>
  <c r="AE77" i="3"/>
  <c r="U79" i="3"/>
  <c r="V79" i="3"/>
  <c r="W79" i="3"/>
  <c r="X79" i="3"/>
  <c r="Y79" i="3"/>
  <c r="Z79" i="3"/>
  <c r="AA79" i="3"/>
  <c r="AB79" i="3"/>
  <c r="AC79" i="3"/>
  <c r="AD79" i="3"/>
  <c r="AF79" i="3"/>
  <c r="T79" i="3"/>
  <c r="S79" i="3"/>
  <c r="R79" i="3"/>
  <c r="V78" i="3"/>
  <c r="W78" i="3"/>
  <c r="X78" i="3"/>
  <c r="Y78" i="3"/>
  <c r="Z78" i="3"/>
  <c r="AA78" i="3"/>
  <c r="AB78" i="3"/>
  <c r="AC78" i="3"/>
  <c r="AD78" i="3"/>
  <c r="AF78" i="3"/>
  <c r="U78" i="3"/>
  <c r="T78" i="3"/>
  <c r="S78" i="3"/>
  <c r="R78" i="3"/>
  <c r="AA77" i="3"/>
  <c r="AB77" i="3"/>
  <c r="AC77" i="3"/>
  <c r="AD77" i="3"/>
  <c r="AF77" i="3"/>
  <c r="T77" i="3"/>
  <c r="U77" i="3"/>
  <c r="V77" i="3"/>
  <c r="W77" i="3"/>
  <c r="X77" i="3"/>
  <c r="Y77" i="3"/>
  <c r="Z77" i="3"/>
  <c r="S77" i="3"/>
  <c r="R77" i="3"/>
  <c r="V24" i="18"/>
  <c r="T24" i="18"/>
  <c r="S22" i="18"/>
  <c r="R20" i="18"/>
  <c r="AH36" i="18" a="1"/>
  <c r="AG36" i="18" a="1"/>
  <c r="AG36" i="18"/>
  <c r="AA36" i="18"/>
  <c r="AB36" i="18"/>
  <c r="AC36" i="18"/>
  <c r="AD36" i="18"/>
  <c r="AE36" i="18"/>
  <c r="AF36" i="18"/>
  <c r="Z36" i="18"/>
  <c r="Y36" i="18"/>
  <c r="X36" i="18"/>
  <c r="W36" i="18"/>
  <c r="T36" i="18"/>
  <c r="S36" i="18"/>
  <c r="V36" i="18"/>
  <c r="U36" i="18"/>
  <c r="R36" i="18"/>
  <c r="AH37" i="18" a="1"/>
  <c r="AG37" i="18" a="1"/>
  <c r="AG37" i="18"/>
  <c r="AA37" i="18"/>
  <c r="AB37" i="18"/>
  <c r="AC37" i="18"/>
  <c r="AD37" i="18"/>
  <c r="AE37" i="18"/>
  <c r="AF37" i="18"/>
  <c r="Z37" i="18"/>
  <c r="Y37" i="18"/>
  <c r="X37" i="18"/>
  <c r="W37" i="18"/>
  <c r="V37" i="18"/>
  <c r="U37" i="18"/>
  <c r="T37" i="18"/>
  <c r="S37" i="18"/>
  <c r="R37" i="18"/>
  <c r="B4" i="21"/>
  <c r="B13" i="21"/>
  <c r="T104" i="5"/>
  <c r="AH47" i="18" a="1"/>
  <c r="AG47" i="18" a="1"/>
  <c r="AG47" i="18"/>
  <c r="AA47" i="18"/>
  <c r="AB47" i="18"/>
  <c r="AC47" i="18"/>
  <c r="AD47" i="18"/>
  <c r="AE47" i="18"/>
  <c r="AF47" i="18"/>
  <c r="Z47" i="18"/>
  <c r="Y47" i="18"/>
  <c r="X47" i="18"/>
  <c r="W47" i="18"/>
  <c r="V47" i="18"/>
  <c r="U47" i="18"/>
  <c r="T47" i="18"/>
  <c r="S47" i="18"/>
  <c r="R47" i="18"/>
  <c r="AH46" i="18" a="1"/>
  <c r="AH46" i="18" s="1"/>
  <c r="AI46" i="18"/>
  <c r="AJ46" i="18"/>
  <c r="AK46" i="18"/>
  <c r="AL46" i="18"/>
  <c r="AM46" i="18"/>
  <c r="AN46" i="18"/>
  <c r="AO46" i="18"/>
  <c r="AP46" i="18"/>
  <c r="AQ46" i="18"/>
  <c r="AR46" i="18"/>
  <c r="AS46" i="18"/>
  <c r="AT46" i="18"/>
  <c r="AU46" i="18"/>
  <c r="AV46" i="18"/>
  <c r="AW46" i="18"/>
  <c r="AG46" i="18" a="1"/>
  <c r="AG46" i="18"/>
  <c r="AA46" i="18"/>
  <c r="AB46" i="18"/>
  <c r="AC46" i="18"/>
  <c r="AD46" i="18"/>
  <c r="AE46" i="18"/>
  <c r="AF46" i="18"/>
  <c r="Z46" i="18"/>
  <c r="Y46" i="18"/>
  <c r="X46" i="18"/>
  <c r="W46" i="18"/>
  <c r="V46" i="18"/>
  <c r="U46" i="18"/>
  <c r="T46" i="18"/>
  <c r="S46" i="18"/>
  <c r="R46" i="18"/>
  <c r="AH38" i="18" a="1"/>
  <c r="AH38" i="18"/>
  <c r="AI38" i="18"/>
  <c r="AJ38" i="18"/>
  <c r="AK38" i="18"/>
  <c r="AL38" i="18"/>
  <c r="AM38" i="18"/>
  <c r="AN38" i="18"/>
  <c r="AO38" i="18"/>
  <c r="AP38" i="18"/>
  <c r="AQ38" i="18"/>
  <c r="AR38" i="18"/>
  <c r="AS38" i="18"/>
  <c r="AT38" i="18"/>
  <c r="AU38" i="18"/>
  <c r="AV38" i="18"/>
  <c r="AW38" i="18"/>
  <c r="AH39" i="18"/>
  <c r="AI39" i="18"/>
  <c r="AJ39" i="18"/>
  <c r="AK39" i="18"/>
  <c r="AL39" i="18"/>
  <c r="AM39" i="18"/>
  <c r="AN39" i="18"/>
  <c r="AO39" i="18"/>
  <c r="AP39" i="18"/>
  <c r="AQ39" i="18"/>
  <c r="AR39" i="18"/>
  <c r="AS39" i="18"/>
  <c r="AT39" i="18"/>
  <c r="AU39" i="18"/>
  <c r="AV39" i="18"/>
  <c r="AW39" i="18"/>
  <c r="AH40" i="18"/>
  <c r="AI40" i="18"/>
  <c r="AJ40" i="18"/>
  <c r="AK40" i="18"/>
  <c r="AL40" i="18"/>
  <c r="AM40" i="18"/>
  <c r="AN40" i="18"/>
  <c r="AO40" i="18"/>
  <c r="AP40" i="18"/>
  <c r="AQ40" i="18"/>
  <c r="AR40" i="18"/>
  <c r="AS40" i="18"/>
  <c r="AT40" i="18"/>
  <c r="AU40" i="18"/>
  <c r="AV40" i="18"/>
  <c r="AW40" i="18"/>
  <c r="AH41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H42" i="18"/>
  <c r="AI42" i="18"/>
  <c r="AJ42" i="18"/>
  <c r="AK42" i="18"/>
  <c r="AL42" i="18"/>
  <c r="AM42" i="18"/>
  <c r="AN42" i="18"/>
  <c r="AO42" i="18"/>
  <c r="AP42" i="18"/>
  <c r="AQ42" i="18"/>
  <c r="AR42" i="18"/>
  <c r="AS42" i="18"/>
  <c r="AT42" i="18"/>
  <c r="AU42" i="18"/>
  <c r="AV42" i="18"/>
  <c r="AW42" i="18"/>
  <c r="AH43" i="18"/>
  <c r="AI43" i="18"/>
  <c r="AJ43" i="18"/>
  <c r="AK43" i="18"/>
  <c r="AL43" i="18"/>
  <c r="AM43" i="18"/>
  <c r="AN43" i="18"/>
  <c r="AO43" i="18"/>
  <c r="AP43" i="18"/>
  <c r="AQ43" i="18"/>
  <c r="AR43" i="18"/>
  <c r="AS43" i="18"/>
  <c r="AT43" i="18"/>
  <c r="AU43" i="18"/>
  <c r="AV43" i="18"/>
  <c r="AW43" i="18"/>
  <c r="AG38" i="18" a="1"/>
  <c r="AG38" i="18"/>
  <c r="AG39" i="18"/>
  <c r="AG40" i="18"/>
  <c r="AG41" i="18"/>
  <c r="AG42" i="18"/>
  <c r="AG43" i="18"/>
  <c r="AA38" i="18" a="1"/>
  <c r="AA38" i="18" s="1"/>
  <c r="AB38" i="18" a="1"/>
  <c r="AB38" i="18" s="1"/>
  <c r="AC38" i="18" a="1"/>
  <c r="AC38" i="18" s="1"/>
  <c r="AD38" i="18" a="1"/>
  <c r="AD38" i="18" s="1"/>
  <c r="AF38" i="18" a="1"/>
  <c r="AF38" i="18" s="1"/>
  <c r="Z38" i="18" a="1"/>
  <c r="Z38" i="18" s="1"/>
  <c r="Y38" i="18" a="1"/>
  <c r="Y38" i="18" s="1"/>
  <c r="X38" i="18" a="1"/>
  <c r="X38" i="18" s="1"/>
  <c r="W38" i="18" a="1"/>
  <c r="W38" i="18" s="1"/>
  <c r="V38" i="18" a="1"/>
  <c r="V38" i="18" s="1"/>
  <c r="U38" i="18" a="1"/>
  <c r="U38" i="18" s="1"/>
  <c r="T38" i="18" a="1"/>
  <c r="T38" i="18" s="1"/>
  <c r="S38" i="18" a="1"/>
  <c r="S38" i="18" s="1"/>
  <c r="R38" i="18" a="1"/>
  <c r="R38" i="18"/>
  <c r="AE38" i="18" s="1" a="1"/>
  <c r="AE38" i="18" s="1"/>
  <c r="R39" i="18"/>
  <c r="R40" i="18"/>
  <c r="R41" i="18"/>
  <c r="R42" i="18"/>
  <c r="R43" i="18"/>
  <c r="AH33" i="18" a="1"/>
  <c r="AH33" i="18"/>
  <c r="AI33" i="18"/>
  <c r="AJ33" i="18"/>
  <c r="AK33" i="18"/>
  <c r="AL33" i="18"/>
  <c r="AM33" i="18"/>
  <c r="AN33" i="18"/>
  <c r="AO33" i="18"/>
  <c r="AP33" i="18"/>
  <c r="AQ33" i="18"/>
  <c r="AR33" i="18"/>
  <c r="AS33" i="18"/>
  <c r="AT33" i="18"/>
  <c r="AU33" i="18"/>
  <c r="AV33" i="18"/>
  <c r="AW33" i="18"/>
  <c r="AG33" i="18" a="1"/>
  <c r="AG33" i="18"/>
  <c r="AA33" i="18"/>
  <c r="AB33" i="18"/>
  <c r="AC33" i="18"/>
  <c r="AD33" i="18"/>
  <c r="AE33" i="18"/>
  <c r="AF33" i="18"/>
  <c r="Z33" i="18"/>
  <c r="Y33" i="18"/>
  <c r="X33" i="18"/>
  <c r="W33" i="18"/>
  <c r="V33" i="18"/>
  <c r="U33" i="18"/>
  <c r="T33" i="18"/>
  <c r="R33" i="18"/>
  <c r="S33" i="18"/>
  <c r="AH31" i="18" a="1"/>
  <c r="AH31" i="18"/>
  <c r="AI31" i="18"/>
  <c r="AJ31" i="18"/>
  <c r="AK31" i="18"/>
  <c r="AL31" i="18"/>
  <c r="AM31" i="18"/>
  <c r="AN31" i="18"/>
  <c r="AO31" i="18"/>
  <c r="AP31" i="18"/>
  <c r="AQ31" i="18"/>
  <c r="AR31" i="18"/>
  <c r="AS31" i="18"/>
  <c r="AT31" i="18"/>
  <c r="AU31" i="18"/>
  <c r="AV31" i="18"/>
  <c r="AW31" i="18"/>
  <c r="AG31" i="18" a="1"/>
  <c r="AG31" i="18"/>
  <c r="AB31" i="18"/>
  <c r="AC31" i="18"/>
  <c r="AD31" i="18"/>
  <c r="AE31" i="18"/>
  <c r="AF31" i="18"/>
  <c r="AA31" i="18"/>
  <c r="Z31" i="18"/>
  <c r="Y31" i="18"/>
  <c r="X31" i="18"/>
  <c r="W31" i="18"/>
  <c r="V31" i="18"/>
  <c r="U31" i="18"/>
  <c r="T31" i="18"/>
  <c r="S31" i="18"/>
  <c r="R31" i="18"/>
  <c r="Y30" i="18" a="1"/>
  <c r="X30" i="18"/>
  <c r="W30" i="18"/>
  <c r="V30" i="18"/>
  <c r="U30" i="18"/>
  <c r="T30" i="18"/>
  <c r="S30" i="18"/>
  <c r="R30" i="18"/>
  <c r="AH24" i="18" a="1"/>
  <c r="AG24" i="18" a="1"/>
  <c r="AG24" i="18" s="1"/>
  <c r="AA24" i="18"/>
  <c r="AB24" i="18"/>
  <c r="AC24" i="18"/>
  <c r="AD24" i="18"/>
  <c r="AE24" i="18"/>
  <c r="AF24" i="18"/>
  <c r="Z24" i="18"/>
  <c r="Y24" i="18"/>
  <c r="X24" i="18"/>
  <c r="W24" i="18"/>
  <c r="U24" i="18"/>
  <c r="S24" i="18"/>
  <c r="R24" i="18"/>
  <c r="AH23" i="18" a="1"/>
  <c r="AG23" i="18" a="1"/>
  <c r="AG23" i="18" s="1"/>
  <c r="AA23" i="18"/>
  <c r="AB23" i="18"/>
  <c r="AC23" i="18"/>
  <c r="AD23" i="18"/>
  <c r="AE23" i="18"/>
  <c r="AF23" i="18"/>
  <c r="Z23" i="18"/>
  <c r="Y23" i="18"/>
  <c r="X23" i="18"/>
  <c r="W23" i="18"/>
  <c r="V23" i="18"/>
  <c r="U23" i="18"/>
  <c r="T23" i="18"/>
  <c r="S23" i="18"/>
  <c r="R23" i="18"/>
  <c r="AH22" i="18" a="1"/>
  <c r="AG22" i="18" a="1"/>
  <c r="AG22" i="18" s="1"/>
  <c r="AB22" i="18"/>
  <c r="AC22" i="18"/>
  <c r="AD22" i="18"/>
  <c r="AE22" i="18"/>
  <c r="AF22" i="18"/>
  <c r="AA22" i="18"/>
  <c r="Z22" i="18"/>
  <c r="Y22" i="18"/>
  <c r="X22" i="18"/>
  <c r="W22" i="18"/>
  <c r="V22" i="18"/>
  <c r="U22" i="18"/>
  <c r="T22" i="18"/>
  <c r="R22" i="18"/>
  <c r="AH21" i="18" a="1"/>
  <c r="AG21" i="18" a="1"/>
  <c r="AG21" i="18" s="1"/>
  <c r="AA21" i="18"/>
  <c r="AB21" i="18"/>
  <c r="AC21" i="18"/>
  <c r="AD21" i="18"/>
  <c r="AE21" i="18"/>
  <c r="AF21" i="18"/>
  <c r="Z21" i="18"/>
  <c r="Y21" i="18"/>
  <c r="X21" i="18"/>
  <c r="W21" i="18"/>
  <c r="V21" i="18"/>
  <c r="U21" i="18"/>
  <c r="R21" i="18"/>
  <c r="T21" i="18"/>
  <c r="S21" i="18"/>
  <c r="AH20" i="18" a="1"/>
  <c r="AG20" i="18" a="1"/>
  <c r="AG20" i="18" s="1"/>
  <c r="AA20" i="18"/>
  <c r="AB20" i="18"/>
  <c r="AC20" i="18"/>
  <c r="AD20" i="18"/>
  <c r="AE20" i="18"/>
  <c r="AF20" i="18"/>
  <c r="Z20" i="18"/>
  <c r="Y20" i="18"/>
  <c r="X20" i="18"/>
  <c r="W20" i="18"/>
  <c r="V20" i="18"/>
  <c r="U20" i="18"/>
  <c r="T20" i="18"/>
  <c r="S20" i="18"/>
  <c r="AH19" i="18" a="1"/>
  <c r="AG19" i="18" a="1"/>
  <c r="AG19" i="18" s="1"/>
  <c r="AA19" i="18"/>
  <c r="AB19" i="18"/>
  <c r="AC19" i="18"/>
  <c r="AD19" i="18"/>
  <c r="AE19" i="18"/>
  <c r="AF19" i="18"/>
  <c r="Z19" i="18"/>
  <c r="Y19" i="18"/>
  <c r="X19" i="18"/>
  <c r="W19" i="18"/>
  <c r="V19" i="18"/>
  <c r="U19" i="18"/>
  <c r="T19" i="18"/>
  <c r="S19" i="18"/>
  <c r="R19" i="18"/>
  <c r="AH18" i="18" a="1"/>
  <c r="AG18" i="18" a="1"/>
  <c r="AG18" i="18" s="1"/>
  <c r="AA18" i="18"/>
  <c r="AB18" i="18"/>
  <c r="AC18" i="18"/>
  <c r="AD18" i="18"/>
  <c r="AE18" i="18"/>
  <c r="AF18" i="18"/>
  <c r="Z18" i="18"/>
  <c r="Y18" i="18"/>
  <c r="X18" i="18"/>
  <c r="W18" i="18"/>
  <c r="V18" i="18"/>
  <c r="U18" i="18"/>
  <c r="T18" i="18"/>
  <c r="S18" i="18"/>
  <c r="R18" i="18"/>
  <c r="AH17" i="18" a="1"/>
  <c r="AG17" i="18" a="1"/>
  <c r="AG17" i="18" s="1"/>
  <c r="AB17" i="18"/>
  <c r="AC17" i="18"/>
  <c r="AD17" i="18"/>
  <c r="AA17" i="18"/>
  <c r="Z17" i="18"/>
  <c r="Y17" i="18"/>
  <c r="X17" i="18"/>
  <c r="W17" i="18"/>
  <c r="V17" i="18"/>
  <c r="U17" i="18"/>
  <c r="T17" i="18"/>
  <c r="S17" i="18"/>
  <c r="AF17" i="18" s="1"/>
  <c r="R17" i="18"/>
  <c r="AE17" i="18" s="1"/>
  <c r="AH15" i="18" a="1"/>
  <c r="AG15" i="18" a="1"/>
  <c r="AG15" i="18" s="1"/>
  <c r="AB15" i="18"/>
  <c r="AC15" i="18"/>
  <c r="AD15" i="18"/>
  <c r="AE15" i="18"/>
  <c r="AF15" i="18"/>
  <c r="AA15" i="18"/>
  <c r="Z15" i="18"/>
  <c r="Y15" i="18"/>
  <c r="X15" i="18"/>
  <c r="W15" i="18"/>
  <c r="V15" i="18"/>
  <c r="U15" i="18"/>
  <c r="T15" i="18"/>
  <c r="S15" i="18"/>
  <c r="R15" i="18"/>
  <c r="AH14" i="18" a="1"/>
  <c r="AG14" i="18" a="1"/>
  <c r="AG14" i="18" s="1"/>
  <c r="AB14" i="18"/>
  <c r="AC14" i="18"/>
  <c r="AD14" i="18"/>
  <c r="AE14" i="18"/>
  <c r="AF14" i="18"/>
  <c r="AA14" i="18"/>
  <c r="Z14" i="18"/>
  <c r="Y14" i="18"/>
  <c r="X14" i="18"/>
  <c r="W14" i="18"/>
  <c r="V14" i="18"/>
  <c r="U14" i="18"/>
  <c r="T14" i="18"/>
  <c r="S14" i="18"/>
  <c r="R14" i="18"/>
  <c r="AH13" i="18" a="1"/>
  <c r="AG13" i="18" a="1"/>
  <c r="AG13" i="18" s="1"/>
  <c r="AB13" i="18"/>
  <c r="AC13" i="18"/>
  <c r="AD13" i="18"/>
  <c r="AE13" i="18"/>
  <c r="AF13" i="18"/>
  <c r="AA13" i="18"/>
  <c r="Z13" i="18"/>
  <c r="Y13" i="18"/>
  <c r="X13" i="18"/>
  <c r="W13" i="18"/>
  <c r="V13" i="18"/>
  <c r="U13" i="18"/>
  <c r="T13" i="18"/>
  <c r="S13" i="18"/>
  <c r="R13" i="18"/>
  <c r="AH12" i="18" a="1"/>
  <c r="AG12" i="18" a="1"/>
  <c r="AG12" i="18" s="1"/>
  <c r="AA12" i="18"/>
  <c r="AB12" i="18"/>
  <c r="AC12" i="18"/>
  <c r="AD12" i="18"/>
  <c r="AE12" i="18"/>
  <c r="AF12" i="18"/>
  <c r="Z12" i="18"/>
  <c r="Y12" i="18"/>
  <c r="X12" i="18"/>
  <c r="W12" i="18"/>
  <c r="V12" i="18"/>
  <c r="U12" i="18"/>
  <c r="T12" i="18"/>
  <c r="S12" i="18"/>
  <c r="R12" i="18"/>
  <c r="AH11" i="18" a="1"/>
  <c r="AG11" i="18" a="1"/>
  <c r="AG11" i="18" s="1"/>
  <c r="V11" i="18"/>
  <c r="W11" i="18"/>
  <c r="X11" i="18"/>
  <c r="Y11" i="18"/>
  <c r="Z11" i="18"/>
  <c r="AA11" i="18"/>
  <c r="AB11" i="18"/>
  <c r="AC11" i="18"/>
  <c r="AD11" i="18"/>
  <c r="U11" i="18"/>
  <c r="T11" i="18"/>
  <c r="S11" i="18"/>
  <c r="AF11" i="18" s="1"/>
  <c r="R11" i="18"/>
  <c r="AE11" i="18" s="1"/>
  <c r="AH10" i="18" a="1"/>
  <c r="AG10" i="18" a="1"/>
  <c r="AG10" i="18" s="1"/>
  <c r="Y10" i="18"/>
  <c r="Z10" i="18"/>
  <c r="AA10" i="18"/>
  <c r="AB10" i="18"/>
  <c r="AC10" i="18"/>
  <c r="AD10" i="18"/>
  <c r="AE10" i="18"/>
  <c r="AF10" i="18"/>
  <c r="X10" i="18"/>
  <c r="W10" i="18"/>
  <c r="V10" i="18"/>
  <c r="U10" i="18"/>
  <c r="T10" i="18"/>
  <c r="S10" i="18"/>
  <c r="R10" i="18"/>
  <c r="AG54" i="9" a="1"/>
  <c r="AG54" i="9"/>
  <c r="S7" i="18"/>
  <c r="AH9" i="18" a="1"/>
  <c r="AG9" i="18" a="1"/>
  <c r="AG9" i="18" s="1"/>
  <c r="X9" i="18"/>
  <c r="Y9" i="18"/>
  <c r="Z9" i="18"/>
  <c r="AA9" i="18"/>
  <c r="AB9" i="18"/>
  <c r="AC9" i="18"/>
  <c r="AD9" i="18"/>
  <c r="W9" i="18"/>
  <c r="V9" i="18"/>
  <c r="U9" i="18"/>
  <c r="T9" i="18"/>
  <c r="S9" i="18"/>
  <c r="AF9" i="18" s="1"/>
  <c r="R9" i="18"/>
  <c r="AE9" i="18" s="1"/>
  <c r="AH8" i="18" a="1"/>
  <c r="AG8" i="18" a="1"/>
  <c r="AG8" i="18" s="1"/>
  <c r="AA8" i="18"/>
  <c r="AB8" i="18"/>
  <c r="AC8" i="18"/>
  <c r="AD8" i="18"/>
  <c r="AE8" i="18"/>
  <c r="AF8" i="18"/>
  <c r="Z8" i="18"/>
  <c r="Y8" i="18"/>
  <c r="X8" i="18"/>
  <c r="W8" i="18"/>
  <c r="V8" i="18"/>
  <c r="U8" i="18"/>
  <c r="T8" i="18"/>
  <c r="S8" i="18"/>
  <c r="R8" i="18"/>
  <c r="AH7" i="18" a="1"/>
  <c r="AG7" i="18" a="1"/>
  <c r="AG7" i="18" s="1"/>
  <c r="X7" i="18"/>
  <c r="Y7" i="18"/>
  <c r="Z7" i="18"/>
  <c r="AA7" i="18"/>
  <c r="AB7" i="18"/>
  <c r="AC7" i="18"/>
  <c r="AD7" i="18"/>
  <c r="AE7" i="18"/>
  <c r="AF7" i="18"/>
  <c r="W7" i="18"/>
  <c r="V7" i="18"/>
  <c r="U7" i="18"/>
  <c r="T7" i="18"/>
  <c r="R7" i="18"/>
  <c r="AH5" i="18" a="1"/>
  <c r="AG5" i="18" a="1"/>
  <c r="AG5" i="18" s="1"/>
  <c r="AB5" i="18"/>
  <c r="AC5" i="18"/>
  <c r="AD5" i="18"/>
  <c r="AE5" i="18"/>
  <c r="AF5" i="18"/>
  <c r="AA5" i="18"/>
  <c r="Z5" i="18"/>
  <c r="Y5" i="18"/>
  <c r="X5" i="18"/>
  <c r="W5" i="18"/>
  <c r="V5" i="18"/>
  <c r="U5" i="18"/>
  <c r="T5" i="18"/>
  <c r="S5" i="18"/>
  <c r="R5" i="18"/>
  <c r="AH4" i="18" a="1"/>
  <c r="AG4" i="18" a="1"/>
  <c r="AG4" i="18" s="1"/>
  <c r="AA4" i="18"/>
  <c r="AB4" i="18"/>
  <c r="AC4" i="18"/>
  <c r="AD4" i="18"/>
  <c r="AE4" i="18"/>
  <c r="AF4" i="18"/>
  <c r="Z4" i="18"/>
  <c r="Y4" i="18"/>
  <c r="X4" i="18"/>
  <c r="W4" i="18"/>
  <c r="V4" i="18"/>
  <c r="U4" i="18"/>
  <c r="T4" i="18"/>
  <c r="AH3" i="18" a="1"/>
  <c r="AG3" i="18" a="1"/>
  <c r="AG3" i="18" s="1"/>
  <c r="AA3" i="18"/>
  <c r="AB3" i="18"/>
  <c r="AC3" i="18"/>
  <c r="AD3" i="18"/>
  <c r="AE3" i="18"/>
  <c r="AF3" i="18"/>
  <c r="Z3" i="18"/>
  <c r="Y3" i="18"/>
  <c r="X3" i="18"/>
  <c r="W3" i="18"/>
  <c r="V3" i="18"/>
  <c r="U3" i="18"/>
  <c r="T3" i="18"/>
  <c r="S3" i="18"/>
  <c r="S4" i="18"/>
  <c r="R4" i="18"/>
  <c r="R3" i="18"/>
  <c r="AH54" i="9" a="1"/>
  <c r="AH54" i="9"/>
  <c r="AI54" i="9"/>
  <c r="AJ54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R54" i="9"/>
  <c r="T54" i="9"/>
  <c r="Z54" i="9"/>
  <c r="AA54" i="9"/>
  <c r="AB54" i="9"/>
  <c r="AC54" i="9"/>
  <c r="AD54" i="9"/>
  <c r="AE54" i="9"/>
  <c r="AF54" i="9"/>
  <c r="S54" i="9"/>
  <c r="U54" i="9"/>
  <c r="V54" i="9"/>
  <c r="W54" i="9"/>
  <c r="X54" i="9"/>
  <c r="Y54" i="9"/>
  <c r="L54" i="9"/>
  <c r="T36" i="9"/>
  <c r="AH36" i="9" a="1"/>
  <c r="AG36" i="9" a="1"/>
  <c r="AG36" i="9" s="1"/>
  <c r="U36" i="9"/>
  <c r="V36" i="9"/>
  <c r="W36" i="9"/>
  <c r="X36" i="9"/>
  <c r="Y36" i="9"/>
  <c r="Z36" i="9"/>
  <c r="AA36" i="9"/>
  <c r="AB36" i="9"/>
  <c r="AC36" i="9"/>
  <c r="AD36" i="9"/>
  <c r="AE36" i="9"/>
  <c r="AF36" i="9"/>
  <c r="S36" i="9"/>
  <c r="S35" i="9"/>
  <c r="R36" i="9"/>
  <c r="L36" i="9"/>
  <c r="AG35" i="9" a="1"/>
  <c r="AG35" i="9" s="1"/>
  <c r="AH35" i="9" a="1"/>
  <c r="AF35" i="9"/>
  <c r="T35" i="9"/>
  <c r="U35" i="9"/>
  <c r="V35" i="9"/>
  <c r="W35" i="9"/>
  <c r="X35" i="9"/>
  <c r="Y35" i="9"/>
  <c r="Z35" i="9"/>
  <c r="AA35" i="9"/>
  <c r="AB35" i="9"/>
  <c r="AC35" i="9"/>
  <c r="AD35" i="9"/>
  <c r="AE35" i="9"/>
  <c r="R35" i="9"/>
  <c r="R37" i="9"/>
  <c r="L35" i="9"/>
  <c r="B9" i="21"/>
  <c r="B6" i="21"/>
  <c r="C6" i="21" s="1"/>
  <c r="B1" i="9"/>
  <c r="AH25" i="17" a="1"/>
  <c r="AG25" i="17" a="1"/>
  <c r="AG25" i="17"/>
  <c r="S37" i="9"/>
  <c r="D9" i="21"/>
  <c r="AH38" i="9" a="1"/>
  <c r="AG38" i="9" a="1"/>
  <c r="AG38" i="9" s="1"/>
  <c r="X38" i="9"/>
  <c r="Y38" i="9"/>
  <c r="Z38" i="9"/>
  <c r="AA38" i="9"/>
  <c r="AB38" i="9"/>
  <c r="AC38" i="9"/>
  <c r="AD38" i="9"/>
  <c r="AE38" i="9"/>
  <c r="AF38" i="9"/>
  <c r="S38" i="9"/>
  <c r="T38" i="9"/>
  <c r="U38" i="9"/>
  <c r="V38" i="9"/>
  <c r="W38" i="9"/>
  <c r="R38" i="9"/>
  <c r="L38" i="9"/>
  <c r="AH37" i="9" a="1"/>
  <c r="AG37" i="9" a="1"/>
  <c r="AG37" i="9" s="1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X25" i="17"/>
  <c r="W25" i="17"/>
  <c r="AA25" i="17"/>
  <c r="Z25" i="17"/>
  <c r="R24" i="17"/>
  <c r="Y15" i="17"/>
  <c r="U15" i="17"/>
  <c r="S25" i="17"/>
  <c r="T25" i="17"/>
  <c r="U25" i="17"/>
  <c r="V25" i="17"/>
  <c r="Y25" i="17"/>
  <c r="AB25" i="17"/>
  <c r="AC25" i="17"/>
  <c r="AD25" i="17"/>
  <c r="AE25" i="17"/>
  <c r="AF25" i="17"/>
  <c r="AH24" i="17" a="1"/>
  <c r="AG24" i="17" a="1"/>
  <c r="AG24" i="17" s="1"/>
  <c r="V24" i="17"/>
  <c r="W24" i="17"/>
  <c r="X24" i="17"/>
  <c r="Y24" i="17"/>
  <c r="Z24" i="17"/>
  <c r="AA24" i="17"/>
  <c r="AB24" i="17"/>
  <c r="AC24" i="17"/>
  <c r="AD24" i="17"/>
  <c r="AE24" i="17"/>
  <c r="AF24" i="17"/>
  <c r="U24" i="17"/>
  <c r="T24" i="17"/>
  <c r="S24" i="17"/>
  <c r="R25" i="17"/>
  <c r="AH16" i="17" a="1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AW16" i="17"/>
  <c r="AG16" i="17" a="1"/>
  <c r="AG16" i="17"/>
  <c r="AG15" i="17" a="1"/>
  <c r="AG15" i="17" s="1"/>
  <c r="AH15" i="17" a="1"/>
  <c r="AH15" i="17" s="1"/>
  <c r="AF15" i="17"/>
  <c r="R15" i="17"/>
  <c r="U16" i="17"/>
  <c r="V16" i="17"/>
  <c r="W16" i="17"/>
  <c r="S16" i="17"/>
  <c r="T16" i="17"/>
  <c r="X16" i="17"/>
  <c r="Y16" i="17"/>
  <c r="Z16" i="17"/>
  <c r="AA16" i="17"/>
  <c r="AB16" i="17"/>
  <c r="AC16" i="17"/>
  <c r="AD16" i="17"/>
  <c r="AE16" i="17"/>
  <c r="AF16" i="17"/>
  <c r="R16" i="17"/>
  <c r="S15" i="17"/>
  <c r="T15" i="17"/>
  <c r="V15" i="17"/>
  <c r="W15" i="17"/>
  <c r="X15" i="17"/>
  <c r="Z15" i="17"/>
  <c r="AA15" i="17"/>
  <c r="AB15" i="17"/>
  <c r="AC15" i="17"/>
  <c r="AD15" i="17"/>
  <c r="AE15" i="17"/>
  <c r="L37" i="9"/>
  <c r="X7" i="17"/>
  <c r="W7" i="17"/>
  <c r="R7" i="17"/>
  <c r="AH8" i="17" a="1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G8" i="17" a="1"/>
  <c r="AG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R8" i="17"/>
  <c r="AH7" i="17" a="1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G7" i="17" a="1"/>
  <c r="AG7" i="17"/>
  <c r="Y7" i="17"/>
  <c r="Z7" i="17"/>
  <c r="AA7" i="17"/>
  <c r="AB7" i="17"/>
  <c r="AC7" i="17"/>
  <c r="AD7" i="17"/>
  <c r="AE7" i="17"/>
  <c r="AF7" i="17"/>
  <c r="V7" i="17"/>
  <c r="S7" i="17"/>
  <c r="T7" i="17"/>
  <c r="U7" i="17"/>
  <c r="AG51" i="9"/>
  <c r="Z52" i="9"/>
  <c r="Y52" i="9"/>
  <c r="R53" i="9"/>
  <c r="Y51" i="9"/>
  <c r="AH53" i="9"/>
  <c r="AG53" i="9"/>
  <c r="Y53" i="9"/>
  <c r="Z53" i="9"/>
  <c r="AA53" i="9"/>
  <c r="AB53" i="9"/>
  <c r="AC53" i="9"/>
  <c r="AD53" i="9"/>
  <c r="AE53" i="9"/>
  <c r="AF53" i="9"/>
  <c r="X53" i="9"/>
  <c r="W53" i="9"/>
  <c r="V53" i="9"/>
  <c r="U53" i="9"/>
  <c r="T53" i="9"/>
  <c r="S53" i="9"/>
  <c r="L53" i="9"/>
  <c r="AH52" i="9"/>
  <c r="AG52" i="9"/>
  <c r="AF52" i="9"/>
  <c r="W52" i="9"/>
  <c r="X52" i="9"/>
  <c r="AA52" i="9"/>
  <c r="AB52" i="9"/>
  <c r="AC52" i="9"/>
  <c r="AD52" i="9"/>
  <c r="AE52" i="9"/>
  <c r="V52" i="9"/>
  <c r="U52" i="9"/>
  <c r="T52" i="9"/>
  <c r="S52" i="9"/>
  <c r="R52" i="9"/>
  <c r="L52" i="9"/>
  <c r="AH51" i="9"/>
  <c r="AF51" i="9"/>
  <c r="U51" i="9"/>
  <c r="V51" i="9"/>
  <c r="W51" i="9"/>
  <c r="X51" i="9"/>
  <c r="Z51" i="9"/>
  <c r="AA51" i="9"/>
  <c r="AB51" i="9"/>
  <c r="AC51" i="9"/>
  <c r="AD51" i="9"/>
  <c r="AE51" i="9"/>
  <c r="T51" i="9"/>
  <c r="R51" i="9"/>
  <c r="S51" i="9"/>
  <c r="T58" i="9"/>
  <c r="L51" i="9"/>
  <c r="S5" i="9"/>
  <c r="AH5" i="9" a="1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G5" i="9" a="1"/>
  <c r="AG5" i="9"/>
  <c r="Z5" i="9"/>
  <c r="AA5" i="9"/>
  <c r="AB5" i="9"/>
  <c r="AC5" i="9"/>
  <c r="AD5" i="9"/>
  <c r="AE5" i="9"/>
  <c r="AF5" i="9"/>
  <c r="Y5" i="9"/>
  <c r="X5" i="9"/>
  <c r="W5" i="9"/>
  <c r="V5" i="9"/>
  <c r="U5" i="9"/>
  <c r="T5" i="9"/>
  <c r="R5" i="9"/>
  <c r="L5" i="9"/>
  <c r="T60" i="9"/>
  <c r="AH60" i="9" a="1"/>
  <c r="AH60" i="9"/>
  <c r="AI60" i="9"/>
  <c r="AJ60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G60" i="9" a="1"/>
  <c r="AG60" i="9"/>
  <c r="AA60" i="9"/>
  <c r="AB60" i="9"/>
  <c r="AC60" i="9"/>
  <c r="AD60" i="9"/>
  <c r="AE60" i="9"/>
  <c r="AF60" i="9"/>
  <c r="Z60" i="9"/>
  <c r="Y60" i="9"/>
  <c r="X60" i="9"/>
  <c r="W60" i="9"/>
  <c r="V60" i="9"/>
  <c r="U60" i="9"/>
  <c r="S60" i="9"/>
  <c r="R60" i="9"/>
  <c r="AH59" i="9" a="1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G59" i="9" a="1"/>
  <c r="AG59" i="9"/>
  <c r="AA59" i="9"/>
  <c r="AB59" i="9"/>
  <c r="AC59" i="9"/>
  <c r="AD59" i="9"/>
  <c r="AE59" i="9"/>
  <c r="AF59" i="9"/>
  <c r="Z59" i="9"/>
  <c r="Y59" i="9"/>
  <c r="X59" i="9"/>
  <c r="W59" i="9"/>
  <c r="V59" i="9"/>
  <c r="U59" i="9"/>
  <c r="T59" i="9"/>
  <c r="S59" i="9"/>
  <c r="R59" i="9"/>
  <c r="AH58" i="9" a="1"/>
  <c r="AG58" i="9" a="1"/>
  <c r="AG58" i="9" s="1"/>
  <c r="AA58" i="9"/>
  <c r="AB58" i="9"/>
  <c r="AC58" i="9"/>
  <c r="AD58" i="9"/>
  <c r="AE58" i="9"/>
  <c r="AF58" i="9"/>
  <c r="Z58" i="9"/>
  <c r="Y58" i="9"/>
  <c r="X58" i="9"/>
  <c r="W58" i="9"/>
  <c r="V58" i="9"/>
  <c r="U58" i="9"/>
  <c r="S58" i="9"/>
  <c r="R58" i="9"/>
  <c r="L60" i="9"/>
  <c r="L59" i="9"/>
  <c r="L58" i="9"/>
  <c r="AG6" i="9" a="1"/>
  <c r="AG6" i="9"/>
  <c r="T6" i="9"/>
  <c r="AH6" i="9" a="1"/>
  <c r="W6" i="9"/>
  <c r="X6" i="9"/>
  <c r="Y6" i="9"/>
  <c r="Z6" i="9"/>
  <c r="AA6" i="9"/>
  <c r="AB6" i="9"/>
  <c r="AC6" i="9"/>
  <c r="AD6" i="9"/>
  <c r="AE6" i="9"/>
  <c r="AF6" i="9"/>
  <c r="S6" i="9"/>
  <c r="U6" i="9"/>
  <c r="V6" i="9"/>
  <c r="R6" i="9"/>
  <c r="L6" i="9"/>
  <c r="R4" i="9" a="1"/>
  <c r="R4" i="9" s="1"/>
  <c r="AH43" i="9" a="1"/>
  <c r="AL43" i="9"/>
  <c r="AM43" i="9"/>
  <c r="AN43" i="9"/>
  <c r="AO43" i="9"/>
  <c r="AP43" i="9"/>
  <c r="AQ43" i="9"/>
  <c r="AR43" i="9"/>
  <c r="AS43" i="9"/>
  <c r="AT43" i="9"/>
  <c r="AU43" i="9"/>
  <c r="AV43" i="9"/>
  <c r="AW43" i="9"/>
  <c r="AH44" i="9" a="1"/>
  <c r="AH42" i="9" a="1"/>
  <c r="AH42" i="9"/>
  <c r="AI42" i="9"/>
  <c r="AJ42" i="9"/>
  <c r="AK42" i="9"/>
  <c r="AL42" i="9"/>
  <c r="AM42" i="9"/>
  <c r="AN42" i="9"/>
  <c r="AO42" i="9"/>
  <c r="AP42" i="9"/>
  <c r="AQ42" i="9"/>
  <c r="AR42" i="9"/>
  <c r="AS42" i="9"/>
  <c r="AT42" i="9"/>
  <c r="AU42" i="9"/>
  <c r="AV42" i="9"/>
  <c r="AW42" i="9"/>
  <c r="AG44" i="9" a="1"/>
  <c r="AG44" i="9"/>
  <c r="AG43" i="9" a="1"/>
  <c r="AG43" i="9" s="1"/>
  <c r="AG42" i="9" a="1"/>
  <c r="AG42" i="9" s="1"/>
  <c r="U42" i="9"/>
  <c r="V42" i="9"/>
  <c r="W42" i="9"/>
  <c r="X42" i="9"/>
  <c r="Y42" i="9"/>
  <c r="Z42" i="9"/>
  <c r="AA42" i="9"/>
  <c r="AB42" i="9"/>
  <c r="AC42" i="9"/>
  <c r="AD42" i="9"/>
  <c r="AE42" i="9"/>
  <c r="AF42" i="9"/>
  <c r="U43" i="9"/>
  <c r="V43" i="9"/>
  <c r="W43" i="9"/>
  <c r="X43" i="9"/>
  <c r="Y43" i="9"/>
  <c r="Z43" i="9"/>
  <c r="AA43" i="9"/>
  <c r="AB43" i="9"/>
  <c r="AC43" i="9"/>
  <c r="AD43" i="9"/>
  <c r="AE43" i="9"/>
  <c r="AF43" i="9"/>
  <c r="U44" i="9"/>
  <c r="V44" i="9"/>
  <c r="W44" i="9"/>
  <c r="X44" i="9"/>
  <c r="Y44" i="9"/>
  <c r="Z44" i="9"/>
  <c r="AA44" i="9"/>
  <c r="AB44" i="9"/>
  <c r="AC44" i="9"/>
  <c r="AD44" i="9"/>
  <c r="AE44" i="9"/>
  <c r="AF44" i="9"/>
  <c r="T42" i="9"/>
  <c r="T43" i="9"/>
  <c r="T44" i="9"/>
  <c r="S42" i="9"/>
  <c r="S43" i="9"/>
  <c r="S44" i="9"/>
  <c r="R44" i="9"/>
  <c r="R43" i="9"/>
  <c r="R42" i="9"/>
  <c r="L44" i="9"/>
  <c r="L43" i="9"/>
  <c r="L42" i="9"/>
  <c r="AF7" i="9"/>
  <c r="R7" i="9"/>
  <c r="AH3" i="9" a="1"/>
  <c r="AH3" i="9" s="1"/>
  <c r="R3" i="9" a="1"/>
  <c r="R3" i="9" s="1"/>
  <c r="AG3" i="9" a="1"/>
  <c r="AG3" i="9" s="1"/>
  <c r="V3" i="9"/>
  <c r="T3" i="9" a="1"/>
  <c r="T3" i="9" s="1"/>
  <c r="AF3" i="9"/>
  <c r="AE3" i="9"/>
  <c r="AD3" i="9"/>
  <c r="AC3" i="9"/>
  <c r="AB3" i="9"/>
  <c r="Z3" i="9"/>
  <c r="Y3" i="9"/>
  <c r="X3" i="9"/>
  <c r="W3" i="9"/>
  <c r="L3" i="9"/>
  <c r="AA3" i="9" s="1"/>
  <c r="S50" i="9"/>
  <c r="W50" i="9"/>
  <c r="R50" i="9"/>
  <c r="AH50" i="9" a="1"/>
  <c r="AG50" i="9" a="1"/>
  <c r="AG50" i="9"/>
  <c r="X50" i="9"/>
  <c r="AF50" i="9"/>
  <c r="Y50" i="9"/>
  <c r="Z50" i="9"/>
  <c r="AA50" i="9"/>
  <c r="AB50" i="9"/>
  <c r="AC50" i="9"/>
  <c r="AD50" i="9"/>
  <c r="AE50" i="9"/>
  <c r="V50" i="9"/>
  <c r="U50" i="9"/>
  <c r="T50" i="9"/>
  <c r="R49" i="9"/>
  <c r="AH49" i="9" a="1"/>
  <c r="AG49" i="9" a="1"/>
  <c r="AG49" i="9"/>
  <c r="AF49" i="9"/>
  <c r="X49" i="9"/>
  <c r="Y49" i="9"/>
  <c r="Z49" i="9"/>
  <c r="AA49" i="9"/>
  <c r="AB49" i="9"/>
  <c r="AC49" i="9"/>
  <c r="AD49" i="9"/>
  <c r="AE49" i="9"/>
  <c r="W49" i="9"/>
  <c r="V49" i="9"/>
  <c r="U49" i="9"/>
  <c r="T49" i="9"/>
  <c r="S49" i="9"/>
  <c r="L50" i="9"/>
  <c r="L49" i="9"/>
  <c r="AG28" i="9" a="1"/>
  <c r="AG28" i="9"/>
  <c r="AH28" i="9" a="1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R28" i="9"/>
  <c r="U28" i="9"/>
  <c r="S28" i="9"/>
  <c r="T28" i="9"/>
  <c r="V28" i="9"/>
  <c r="W28" i="9"/>
  <c r="X28" i="9"/>
  <c r="Y28" i="9"/>
  <c r="Z28" i="9"/>
  <c r="AA28" i="9"/>
  <c r="AB28" i="9"/>
  <c r="AC28" i="9"/>
  <c r="AD28" i="9"/>
  <c r="AE28" i="9"/>
  <c r="AF28" i="9"/>
  <c r="L28" i="9"/>
  <c r="Y23" i="9"/>
  <c r="X23" i="9"/>
  <c r="AS23" i="9" a="1"/>
  <c r="AS23" i="9" s="1"/>
  <c r="AH23" i="9" a="1"/>
  <c r="AG23" i="9" a="1"/>
  <c r="AG23" i="9"/>
  <c r="AO23" i="9" a="1"/>
  <c r="AO23" i="9" s="1"/>
  <c r="R23" i="9"/>
  <c r="AK23" i="9"/>
  <c r="S23" i="9"/>
  <c r="AU23" i="9"/>
  <c r="AQ23" i="9" a="1"/>
  <c r="AQ23" i="9" s="1"/>
  <c r="AM23" i="9"/>
  <c r="AN23" i="9"/>
  <c r="AL23" i="9"/>
  <c r="AJ23" i="9"/>
  <c r="AF23" i="9"/>
  <c r="W23" i="9"/>
  <c r="Z23" i="9"/>
  <c r="AA23" i="9"/>
  <c r="AB23" i="9"/>
  <c r="AC23" i="9"/>
  <c r="AD23" i="9"/>
  <c r="AE23" i="9"/>
  <c r="T23" i="9"/>
  <c r="U23" i="9"/>
  <c r="V23" i="9"/>
  <c r="L23" i="9"/>
  <c r="AG17" i="9"/>
  <c r="AG19" i="9" a="1"/>
  <c r="AG19" i="9"/>
  <c r="AG18" i="9" a="1"/>
  <c r="AG18" i="9"/>
  <c r="Y19" i="9"/>
  <c r="R18" i="9"/>
  <c r="AH17" i="9"/>
  <c r="AH19" i="9" a="1"/>
  <c r="AH19" i="9" s="1"/>
  <c r="AH18" i="9" a="1"/>
  <c r="AH18" i="9" s="1"/>
  <c r="X19" i="9"/>
  <c r="T19" i="9"/>
  <c r="U19" i="9"/>
  <c r="V19" i="9"/>
  <c r="W19" i="9"/>
  <c r="Z19" i="9"/>
  <c r="AA19" i="9"/>
  <c r="AB19" i="9"/>
  <c r="AC19" i="9"/>
  <c r="AD19" i="9"/>
  <c r="AE19" i="9"/>
  <c r="AF19" i="9"/>
  <c r="R19" i="9"/>
  <c r="S18" i="9"/>
  <c r="S19" i="9" s="1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L19" i="9"/>
  <c r="L18" i="9"/>
  <c r="W17" i="9"/>
  <c r="S17" i="9"/>
  <c r="R17" i="9"/>
  <c r="AJ17" i="9" a="1"/>
  <c r="AJ17" i="9" s="1"/>
  <c r="AI17" i="9"/>
  <c r="AA17" i="9"/>
  <c r="AB17" i="9"/>
  <c r="AC17" i="9"/>
  <c r="AD17" i="9"/>
  <c r="AE17" i="9"/>
  <c r="AF17" i="9"/>
  <c r="Z17" i="9"/>
  <c r="Y17" i="9"/>
  <c r="X17" i="9"/>
  <c r="V17" i="9"/>
  <c r="U17" i="9"/>
  <c r="T17" i="9"/>
  <c r="L17" i="9"/>
  <c r="R15" i="9"/>
  <c r="S15" i="9"/>
  <c r="U15" i="9"/>
  <c r="AH15" i="9" a="1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G15" i="9" a="1"/>
  <c r="AG15" i="9"/>
  <c r="AA15" i="9"/>
  <c r="AB15" i="9"/>
  <c r="AC15" i="9"/>
  <c r="AD15" i="9"/>
  <c r="AE15" i="9"/>
  <c r="AF15" i="9"/>
  <c r="Z15" i="9"/>
  <c r="Y15" i="9"/>
  <c r="X15" i="9"/>
  <c r="W15" i="9"/>
  <c r="V15" i="9"/>
  <c r="T15" i="9"/>
  <c r="L15" i="9"/>
  <c r="U16" i="9"/>
  <c r="X16" i="9"/>
  <c r="T16" i="9"/>
  <c r="V16" i="9"/>
  <c r="S16" i="9"/>
  <c r="R16" i="9"/>
  <c r="AG16" i="9" a="1"/>
  <c r="AG16" i="9"/>
  <c r="AH16" i="9" a="1"/>
  <c r="W16" i="9"/>
  <c r="Y16" i="9"/>
  <c r="Z16" i="9"/>
  <c r="AA16" i="9"/>
  <c r="AB16" i="9"/>
  <c r="AC16" i="9"/>
  <c r="AD16" i="9"/>
  <c r="AE16" i="9"/>
  <c r="AF16" i="9"/>
  <c r="L16" i="9"/>
  <c r="AJ47" i="9" a="1"/>
  <c r="AJ47" i="9" s="1"/>
  <c r="AH47" i="9"/>
  <c r="AG47" i="9"/>
  <c r="U47" i="9"/>
  <c r="V47" i="9"/>
  <c r="W47" i="9"/>
  <c r="X47" i="9"/>
  <c r="Y47" i="9"/>
  <c r="Z47" i="9"/>
  <c r="AA47" i="9"/>
  <c r="AB47" i="9"/>
  <c r="AC47" i="9"/>
  <c r="AD47" i="9"/>
  <c r="AE47" i="9"/>
  <c r="AF47" i="9"/>
  <c r="R47" i="9"/>
  <c r="S47" i="9"/>
  <c r="T47" i="9"/>
  <c r="AI47" i="9"/>
  <c r="L47" i="9"/>
  <c r="Y24" i="9"/>
  <c r="AG24" i="9"/>
  <c r="AJ24" i="9" a="1"/>
  <c r="AJ24" i="9" s="1"/>
  <c r="X24" i="9"/>
  <c r="AI24" i="9"/>
  <c r="AF24" i="9"/>
  <c r="AH24" i="9"/>
  <c r="W24" i="9"/>
  <c r="S24" i="9"/>
  <c r="T24" i="9"/>
  <c r="U24" i="9"/>
  <c r="V24" i="9"/>
  <c r="Z24" i="9"/>
  <c r="AA24" i="9"/>
  <c r="AB24" i="9"/>
  <c r="AC24" i="9"/>
  <c r="AD24" i="9"/>
  <c r="AE24" i="9"/>
  <c r="R24" i="9"/>
  <c r="L24" i="9"/>
  <c r="R20" i="9"/>
  <c r="R22" i="9"/>
  <c r="Y21" i="9"/>
  <c r="V21" i="9"/>
  <c r="R21" i="9"/>
  <c r="AH32" i="9" a="1"/>
  <c r="AH32" i="9"/>
  <c r="AI32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AV32" i="9"/>
  <c r="AW32" i="9"/>
  <c r="AG32" i="9"/>
  <c r="AA32" i="9"/>
  <c r="AB32" i="9"/>
  <c r="AC32" i="9"/>
  <c r="AD32" i="9"/>
  <c r="AE32" i="9"/>
  <c r="AF32" i="9"/>
  <c r="Z32" i="9"/>
  <c r="Y32" i="9"/>
  <c r="X32" i="9"/>
  <c r="W32" i="9"/>
  <c r="V32" i="9"/>
  <c r="U32" i="9"/>
  <c r="T32" i="9"/>
  <c r="S32" i="9"/>
  <c r="R32" i="9"/>
  <c r="L32" i="9"/>
  <c r="X21" i="9"/>
  <c r="W21" i="9"/>
  <c r="AH21" i="9" a="1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G21" i="9"/>
  <c r="S21" i="9"/>
  <c r="T21" i="9"/>
  <c r="U21" i="9"/>
  <c r="Z21" i="9"/>
  <c r="AA21" i="9"/>
  <c r="AB21" i="9"/>
  <c r="AC21" i="9"/>
  <c r="AD21" i="9"/>
  <c r="AE21" i="9"/>
  <c r="AF21" i="9"/>
  <c r="L21" i="9"/>
  <c r="AH48" i="9" a="1"/>
  <c r="AG48" i="9" a="1"/>
  <c r="AG48" i="9"/>
  <c r="AB48" i="9"/>
  <c r="AC48" i="9"/>
  <c r="AD48" i="9"/>
  <c r="AE48" i="9"/>
  <c r="AF48" i="9"/>
  <c r="AA48" i="9"/>
  <c r="Z48" i="9"/>
  <c r="Y48" i="9"/>
  <c r="X48" i="9"/>
  <c r="W48" i="9"/>
  <c r="V48" i="9"/>
  <c r="U48" i="9"/>
  <c r="T48" i="9"/>
  <c r="S48" i="9"/>
  <c r="R48" i="9"/>
  <c r="L48" i="9"/>
  <c r="AF30" i="9"/>
  <c r="AA30" i="9"/>
  <c r="Z30" i="9"/>
  <c r="W30" i="9"/>
  <c r="AG31" i="9"/>
  <c r="W39" i="9"/>
  <c r="X39" i="9"/>
  <c r="Y39" i="9"/>
  <c r="Z39" i="9"/>
  <c r="AA39" i="9"/>
  <c r="AB39" i="9"/>
  <c r="AC39" i="9"/>
  <c r="AD39" i="9"/>
  <c r="AE39" i="9"/>
  <c r="AF39" i="9"/>
  <c r="V39" i="9"/>
  <c r="AG39" i="9" a="1"/>
  <c r="AG39" i="9"/>
  <c r="AH39" i="9" a="1"/>
  <c r="L39" i="9"/>
  <c r="AH31" i="9" a="1"/>
  <c r="AC31" i="9"/>
  <c r="AD31" i="9"/>
  <c r="AE31" i="9"/>
  <c r="AF31" i="9"/>
  <c r="AB31" i="9"/>
  <c r="AA31" i="9"/>
  <c r="Z31" i="9"/>
  <c r="Y31" i="9"/>
  <c r="X31" i="9"/>
  <c r="W31" i="9"/>
  <c r="V31" i="9"/>
  <c r="U31" i="9"/>
  <c r="R31" i="9"/>
  <c r="T31" i="9"/>
  <c r="S31" i="9"/>
  <c r="R30" i="9"/>
  <c r="U39" i="9"/>
  <c r="T39" i="9"/>
  <c r="S39" i="9"/>
  <c r="R39" i="9"/>
  <c r="AL20" i="9" a="1"/>
  <c r="AL29" i="9" a="1"/>
  <c r="AH29" i="9" a="1"/>
  <c r="AH20" i="9" a="1"/>
  <c r="W29" i="9"/>
  <c r="W20" i="9"/>
  <c r="V20" i="9"/>
  <c r="T20" i="9"/>
  <c r="AG29" i="9" a="1"/>
  <c r="AG29" i="9" s="1"/>
  <c r="AF29" i="9"/>
  <c r="AE29" i="9"/>
  <c r="AD29" i="9"/>
  <c r="AC29" i="9"/>
  <c r="AB29" i="9"/>
  <c r="AA29" i="9"/>
  <c r="Z29" i="9"/>
  <c r="Y29" i="9"/>
  <c r="X29" i="9"/>
  <c r="V29" i="9"/>
  <c r="U29" i="9"/>
  <c r="T29" i="9"/>
  <c r="S29" i="9"/>
  <c r="R29" i="9"/>
  <c r="L29" i="9"/>
  <c r="AG20" i="9" a="1"/>
  <c r="AG20" i="9" s="1"/>
  <c r="Z20" i="9"/>
  <c r="AA20" i="9"/>
  <c r="AB20" i="9"/>
  <c r="AC20" i="9"/>
  <c r="AD20" i="9"/>
  <c r="AE20" i="9"/>
  <c r="AF20" i="9"/>
  <c r="Y20" i="9"/>
  <c r="X20" i="9"/>
  <c r="U20" i="9"/>
  <c r="S20" i="9"/>
  <c r="L20" i="9"/>
  <c r="T9" i="9"/>
  <c r="R11" i="9"/>
  <c r="AH30" i="9" a="1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G30" i="9" a="1"/>
  <c r="AG30" i="9"/>
  <c r="AB30" i="9"/>
  <c r="AC30" i="9"/>
  <c r="AD30" i="9"/>
  <c r="AE30" i="9"/>
  <c r="Y30" i="9"/>
  <c r="X30" i="9"/>
  <c r="V30" i="9"/>
  <c r="U30" i="9"/>
  <c r="T30" i="9"/>
  <c r="S30" i="9"/>
  <c r="L31" i="9"/>
  <c r="L30" i="9"/>
  <c r="R10" i="9"/>
  <c r="AH14" i="9" a="1"/>
  <c r="AG14" i="9"/>
  <c r="AC14" i="9"/>
  <c r="AD14" i="9"/>
  <c r="AE14" i="9"/>
  <c r="AF14" i="9"/>
  <c r="AB14" i="9"/>
  <c r="Z14" i="9"/>
  <c r="Y14" i="9"/>
  <c r="X14" i="9"/>
  <c r="W14" i="9"/>
  <c r="V14" i="9"/>
  <c r="U14" i="9"/>
  <c r="T14" i="9"/>
  <c r="S14" i="9"/>
  <c r="R14" i="9"/>
  <c r="L14" i="9"/>
  <c r="AA14" i="9" s="1"/>
  <c r="X13" i="9"/>
  <c r="AN12" i="9"/>
  <c r="AM12" i="9"/>
  <c r="Y4" i="9"/>
  <c r="Y11" i="9"/>
  <c r="AH13" i="9" a="1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G13" i="9"/>
  <c r="AL12" i="9"/>
  <c r="AM10" i="9"/>
  <c r="AN10" i="9"/>
  <c r="AL10" i="9"/>
  <c r="AM9" i="9"/>
  <c r="AN9" i="9"/>
  <c r="AL9" i="9"/>
  <c r="AM8" i="9"/>
  <c r="AN8" i="9"/>
  <c r="AL8" i="9"/>
  <c r="AM7" i="9"/>
  <c r="AN7" i="9"/>
  <c r="V13" i="9"/>
  <c r="U13" i="9"/>
  <c r="AO9" i="9" a="1"/>
  <c r="AO9" i="9" s="1"/>
  <c r="BR76" i="19" a="1"/>
  <c r="BR76" i="19" s="1"/>
  <c r="BR87" i="19" a="1"/>
  <c r="BR87" i="19" s="1"/>
  <c r="BR86" i="19" a="1"/>
  <c r="BR86" i="19" s="1"/>
  <c r="BR85" i="19" a="1"/>
  <c r="BR85" i="19" s="1"/>
  <c r="BR84" i="19" a="1"/>
  <c r="BR84" i="19" s="1"/>
  <c r="BR83" i="19" a="1"/>
  <c r="BR83" i="19" s="1"/>
  <c r="BR82" i="19" a="1"/>
  <c r="BR82" i="19" s="1"/>
  <c r="BR81" i="19" a="1"/>
  <c r="BR81" i="19" s="1"/>
  <c r="BR80" i="19" a="1"/>
  <c r="BR80" i="19" s="1"/>
  <c r="BR79" i="19" a="1"/>
  <c r="BR79" i="19" s="1"/>
  <c r="BR78" i="19" a="1"/>
  <c r="BR78" i="19" s="1"/>
  <c r="BR77" i="19" a="1"/>
  <c r="BR77" i="19" s="1"/>
  <c r="BM76" i="19" a="1"/>
  <c r="BM76" i="19" s="1"/>
  <c r="BM77" i="19" a="1"/>
  <c r="BM77" i="19" s="1"/>
  <c r="BM78" i="19" a="1"/>
  <c r="BM78" i="19" s="1"/>
  <c r="BM79" i="19" a="1"/>
  <c r="BM79" i="19" s="1"/>
  <c r="BM80" i="19" a="1"/>
  <c r="BM80" i="19" s="1"/>
  <c r="BM81" i="19" a="1"/>
  <c r="BM81" i="19" s="1"/>
  <c r="BM82" i="19" a="1"/>
  <c r="BM82" i="19" s="1"/>
  <c r="BM83" i="19" a="1"/>
  <c r="BM83" i="19" s="1"/>
  <c r="BM84" i="19" a="1"/>
  <c r="BM84" i="19" s="1"/>
  <c r="BM85" i="19" a="1"/>
  <c r="BM85" i="19" s="1"/>
  <c r="BM86" i="19" a="1"/>
  <c r="BM86" i="19" s="1"/>
  <c r="BM87" i="19" a="1"/>
  <c r="BM87" i="19" s="1"/>
  <c r="AG10" i="9" a="1"/>
  <c r="AG10" i="9" s="1"/>
  <c r="S9" i="9"/>
  <c r="X9" i="9"/>
  <c r="T10" i="9"/>
  <c r="R9" i="9"/>
  <c r="R8" i="9"/>
  <c r="AL7" i="9"/>
  <c r="Y9" i="9"/>
  <c r="W7" i="9"/>
  <c r="W4" i="9"/>
  <c r="X4" i="9"/>
  <c r="Z4" i="9"/>
  <c r="AB4" i="9"/>
  <c r="AC4" i="9"/>
  <c r="AD4" i="9"/>
  <c r="AE4" i="9"/>
  <c r="AF4" i="9"/>
  <c r="AL11" i="9" a="1"/>
  <c r="AH11" i="9" a="1"/>
  <c r="AG11" i="9" a="1"/>
  <c r="AG11" i="9" s="1"/>
  <c r="AB11" i="9"/>
  <c r="AC11" i="9"/>
  <c r="AD11" i="9"/>
  <c r="AE11" i="9"/>
  <c r="AF11" i="9"/>
  <c r="Z11" i="9"/>
  <c r="X11" i="9"/>
  <c r="W11" i="9"/>
  <c r="V11" i="9"/>
  <c r="U11" i="9"/>
  <c r="T11" i="9"/>
  <c r="S11" i="9"/>
  <c r="AO12" i="9" a="1"/>
  <c r="AO12" i="9" s="1"/>
  <c r="AH12" i="9" a="1"/>
  <c r="AG12" i="9" a="1"/>
  <c r="AG12" i="9" s="1"/>
  <c r="AB12" i="9"/>
  <c r="AC12" i="9"/>
  <c r="AD12" i="9"/>
  <c r="AE12" i="9"/>
  <c r="AF12" i="9"/>
  <c r="Z12" i="9"/>
  <c r="Y12" i="9"/>
  <c r="X12" i="9"/>
  <c r="W12" i="9"/>
  <c r="V12" i="9"/>
  <c r="U12" i="9"/>
  <c r="T12" i="9"/>
  <c r="S12" i="9"/>
  <c r="R12" i="9"/>
  <c r="AO10" i="9" a="1"/>
  <c r="AO10" i="9" s="1"/>
  <c r="AH10" i="9" a="1"/>
  <c r="AB10" i="9"/>
  <c r="AC10" i="9"/>
  <c r="AD10" i="9"/>
  <c r="AE10" i="9"/>
  <c r="AF10" i="9"/>
  <c r="Z10" i="9"/>
  <c r="Y10" i="9"/>
  <c r="X10" i="9"/>
  <c r="W10" i="9"/>
  <c r="V10" i="9"/>
  <c r="U10" i="9"/>
  <c r="S10" i="9"/>
  <c r="AH9" i="9" a="1"/>
  <c r="AG9" i="9" a="1"/>
  <c r="AG9" i="9" s="1"/>
  <c r="AB9" i="9"/>
  <c r="AC9" i="9"/>
  <c r="AD9" i="9"/>
  <c r="AE9" i="9"/>
  <c r="AF9" i="9"/>
  <c r="Z9" i="9"/>
  <c r="W9" i="9"/>
  <c r="V9" i="9"/>
  <c r="U9" i="9"/>
  <c r="AH8" i="9" a="1"/>
  <c r="AG8" i="9" a="1"/>
  <c r="AG8" i="9" s="1"/>
  <c r="AO8" i="9" a="1"/>
  <c r="AO8" i="9" s="1"/>
  <c r="AO7" i="9" a="1"/>
  <c r="AO7" i="9" s="1"/>
  <c r="AG7" i="9" a="1"/>
  <c r="AG7" i="9" s="1"/>
  <c r="AB8" i="9"/>
  <c r="AC8" i="9"/>
  <c r="AD8" i="9"/>
  <c r="AE8" i="9"/>
  <c r="AF8" i="9"/>
  <c r="Z8" i="9"/>
  <c r="Y8" i="9"/>
  <c r="X8" i="9"/>
  <c r="W8" i="9"/>
  <c r="V8" i="9"/>
  <c r="U8" i="9"/>
  <c r="T8" i="9"/>
  <c r="S8" i="9"/>
  <c r="V7" i="9"/>
  <c r="X7" i="9"/>
  <c r="Y7" i="9"/>
  <c r="Z7" i="9"/>
  <c r="AB7" i="9"/>
  <c r="AC7" i="9"/>
  <c r="AD7" i="9"/>
  <c r="AE7" i="9"/>
  <c r="U7" i="9"/>
  <c r="T7" i="9"/>
  <c r="S7" i="9"/>
  <c r="L12" i="9"/>
  <c r="AA12" i="9" s="1"/>
  <c r="L11" i="9"/>
  <c r="AA11" i="9" s="1"/>
  <c r="L10" i="9"/>
  <c r="AA10" i="9" s="1"/>
  <c r="L9" i="9"/>
  <c r="AA9" i="9" s="1"/>
  <c r="L8" i="9"/>
  <c r="AA8" i="9" s="1"/>
  <c r="L7" i="9"/>
  <c r="AA7" i="9" s="1"/>
  <c r="L4" i="9"/>
  <c r="AA4" i="9" s="1"/>
  <c r="R25" i="9"/>
  <c r="R27" i="9"/>
  <c r="R13" i="9"/>
  <c r="B7" i="21"/>
  <c r="R41" i="5"/>
  <c r="W18" i="8" a="1"/>
  <c r="W18" i="8" s="1"/>
  <c r="V18" i="8" a="1"/>
  <c r="V18" i="8" s="1"/>
  <c r="U18" i="8" a="1"/>
  <c r="U18" i="8" s="1"/>
  <c r="R18" i="8" a="1"/>
  <c r="R18" i="8" s="1"/>
  <c r="AF18" i="8" a="1"/>
  <c r="AF18" i="8" s="1"/>
  <c r="AE18" i="8" a="1"/>
  <c r="AE18" i="8" s="1"/>
  <c r="AD18" i="8" a="1"/>
  <c r="AD18" i="8" s="1"/>
  <c r="AC18" i="8" a="1"/>
  <c r="AC18" i="8" s="1"/>
  <c r="AB18" i="8" a="1"/>
  <c r="AB18" i="8" s="1"/>
  <c r="Z18" i="8" a="1"/>
  <c r="Z18" i="8" s="1"/>
  <c r="Y18" i="8" a="1"/>
  <c r="Y18" i="8" s="1"/>
  <c r="X18" i="8" a="1"/>
  <c r="X18" i="8" s="1"/>
  <c r="K18" i="8"/>
  <c r="AA18" i="8" s="1" a="1"/>
  <c r="AA18" i="8" s="1"/>
  <c r="U23" i="8" a="1"/>
  <c r="U23" i="8" s="1"/>
  <c r="R23" i="8" a="1"/>
  <c r="R23" i="8" s="1"/>
  <c r="W23" i="8" a="1"/>
  <c r="W23" i="8" s="1"/>
  <c r="X23" i="8" a="1"/>
  <c r="X23" i="8" s="1"/>
  <c r="Y23" i="8" a="1"/>
  <c r="Y23" i="8" s="1"/>
  <c r="Z23" i="8" a="1"/>
  <c r="Z23" i="8" s="1"/>
  <c r="AB23" i="8" a="1"/>
  <c r="AB23" i="8" s="1"/>
  <c r="AC23" i="8" a="1"/>
  <c r="AC23" i="8" s="1"/>
  <c r="AD23" i="8" a="1"/>
  <c r="AD23" i="8" s="1"/>
  <c r="AE23" i="8" a="1"/>
  <c r="AE23" i="8" s="1"/>
  <c r="AF23" i="8" a="1"/>
  <c r="AF23" i="8" s="1"/>
  <c r="V23" i="8" a="1"/>
  <c r="V23" i="8" s="1"/>
  <c r="K23" i="8"/>
  <c r="AA23" i="8" s="1" a="1"/>
  <c r="AA23" i="8" s="1"/>
  <c r="W22" i="8" a="1"/>
  <c r="W22" i="8" s="1"/>
  <c r="X22" i="8" a="1"/>
  <c r="X22" i="8" s="1"/>
  <c r="Y22" i="8" a="1"/>
  <c r="Y22" i="8" s="1"/>
  <c r="Z22" i="8" a="1"/>
  <c r="Z22" i="8" s="1"/>
  <c r="AB22" i="8" a="1"/>
  <c r="AB22" i="8" s="1"/>
  <c r="AC22" i="8" a="1"/>
  <c r="AC22" i="8" s="1"/>
  <c r="AD22" i="8" a="1"/>
  <c r="AD22" i="8" s="1"/>
  <c r="AE22" i="8" a="1"/>
  <c r="AE22" i="8" s="1"/>
  <c r="AF22" i="8" a="1"/>
  <c r="AF22" i="8" s="1"/>
  <c r="K22" i="8"/>
  <c r="AA22" i="8" s="1" a="1"/>
  <c r="AA22" i="8" s="1"/>
  <c r="V22" i="8" a="1"/>
  <c r="V22" i="8" s="1"/>
  <c r="S22" i="8" a="1"/>
  <c r="R22" i="8" a="1"/>
  <c r="R22" i="8" s="1"/>
  <c r="B11" i="21"/>
  <c r="Y15" i="8" a="1"/>
  <c r="Y15" i="8" s="1"/>
  <c r="R15" i="8" a="1"/>
  <c r="R15" i="8" s="1"/>
  <c r="T15" i="8" a="1"/>
  <c r="T15" i="8" s="1"/>
  <c r="U15" i="8" a="1"/>
  <c r="U15" i="8" s="1"/>
  <c r="S15" i="8" a="1"/>
  <c r="S15" i="8" s="1"/>
  <c r="V15" i="8" a="1"/>
  <c r="V15" i="8" s="1"/>
  <c r="W15" i="8" a="1"/>
  <c r="W15" i="8" s="1"/>
  <c r="X15" i="8" a="1"/>
  <c r="X15" i="8" s="1"/>
  <c r="AA15" i="8" a="1"/>
  <c r="AA15" i="8" s="1"/>
  <c r="AB15" i="8" a="1"/>
  <c r="AB15" i="8" s="1"/>
  <c r="AC15" i="8" a="1"/>
  <c r="AC15" i="8" s="1"/>
  <c r="AD15" i="8" a="1"/>
  <c r="AD15" i="8" s="1"/>
  <c r="AE15" i="8" a="1"/>
  <c r="AE15" i="8" s="1"/>
  <c r="AF15" i="8" a="1"/>
  <c r="AF15" i="8" s="1"/>
  <c r="K14" i="8"/>
  <c r="R14" i="8" s="1" a="1"/>
  <c r="R14" i="8" s="1"/>
  <c r="K5" i="8"/>
  <c r="T5" i="8" a="1"/>
  <c r="T5" i="8" s="1"/>
  <c r="U5" i="8" a="1"/>
  <c r="U5" i="8" s="1"/>
  <c r="V5" i="8" a="1"/>
  <c r="V5" i="8" s="1"/>
  <c r="W5" i="8" a="1"/>
  <c r="W5" i="8" s="1"/>
  <c r="AB5" i="8" a="1"/>
  <c r="AB5" i="8" s="1"/>
  <c r="AC5" i="8" a="1"/>
  <c r="AC5" i="8" s="1"/>
  <c r="AD5" i="8" a="1"/>
  <c r="AD5" i="8" s="1"/>
  <c r="AE5" i="8" a="1"/>
  <c r="AE5" i="8" s="1"/>
  <c r="AF5" i="8" a="1"/>
  <c r="AF5" i="8" s="1"/>
  <c r="S5" i="8" a="1"/>
  <c r="S5" i="8" s="1"/>
  <c r="J5" i="8"/>
  <c r="AT4" i="8"/>
  <c r="AS4" i="8"/>
  <c r="AR4" i="8"/>
  <c r="AQ4" i="8"/>
  <c r="AP4" i="8"/>
  <c r="AO4" i="8"/>
  <c r="AL4" i="8" a="1"/>
  <c r="AG4" i="8"/>
  <c r="K4" i="8"/>
  <c r="AA5" i="8" s="1" a="1"/>
  <c r="AA5" i="8" s="1"/>
  <c r="J4" i="8"/>
  <c r="AA10" i="6"/>
  <c r="BG76" i="19" a="1"/>
  <c r="BG76" i="19" s="1"/>
  <c r="Z10" i="6"/>
  <c r="BD93" i="19"/>
  <c r="BB78" i="19" a="1"/>
  <c r="BB78" i="19"/>
  <c r="BC78" i="19"/>
  <c r="BE72" i="19" s="1"/>
  <c r="BB79" i="19"/>
  <c r="BC79" i="19"/>
  <c r="BE73" i="19" s="1"/>
  <c r="BB80" i="19"/>
  <c r="BC80" i="19"/>
  <c r="BB81" i="19"/>
  <c r="BC81" i="19"/>
  <c r="BB82" i="19"/>
  <c r="BC82" i="19"/>
  <c r="BD83" i="19"/>
  <c r="BC76" i="19"/>
  <c r="K10" i="6"/>
  <c r="F10" i="6"/>
  <c r="S10" i="6"/>
  <c r="AH10" i="6" a="1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G10" i="6" a="1"/>
  <c r="AG10" i="6"/>
  <c r="T10" i="6"/>
  <c r="U10" i="6"/>
  <c r="V10" i="6"/>
  <c r="W10" i="6"/>
  <c r="X10" i="6"/>
  <c r="Y10" i="6"/>
  <c r="AB10" i="6"/>
  <c r="AC10" i="6"/>
  <c r="AD10" i="6"/>
  <c r="AE10" i="6"/>
  <c r="AF10" i="6"/>
  <c r="R11" i="6"/>
  <c r="R10" i="6"/>
  <c r="S24" i="6"/>
  <c r="R24" i="6"/>
  <c r="W24" i="6"/>
  <c r="AI24" i="6" a="1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H24" i="6" a="1"/>
  <c r="AH24" i="6"/>
  <c r="AG24" i="6" a="1"/>
  <c r="AG24" i="6"/>
  <c r="T24" i="6"/>
  <c r="U24" i="6"/>
  <c r="V24" i="6"/>
  <c r="X24" i="6"/>
  <c r="Y24" i="6"/>
  <c r="Z24" i="6"/>
  <c r="AA24" i="6"/>
  <c r="AB24" i="6"/>
  <c r="AC24" i="6"/>
  <c r="AD24" i="6"/>
  <c r="AE24" i="6"/>
  <c r="AF24" i="6"/>
  <c r="AH9" i="6" a="1"/>
  <c r="AH9" i="6"/>
  <c r="AI9" i="6"/>
  <c r="AJ9" i="6"/>
  <c r="AH19" i="6" a="1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G19" i="6" a="1"/>
  <c r="AG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R19" i="6"/>
  <c r="T4" i="6"/>
  <c r="AI4" i="6" a="1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H4" i="6" a="1"/>
  <c r="AH4" i="6"/>
  <c r="AG4" i="6" a="1"/>
  <c r="AG4" i="6"/>
  <c r="R4" i="6"/>
  <c r="S4" i="6"/>
  <c r="U4" i="6"/>
  <c r="V4" i="6"/>
  <c r="W4" i="6"/>
  <c r="X4" i="6"/>
  <c r="Y4" i="6"/>
  <c r="Z4" i="6"/>
  <c r="AA4" i="6"/>
  <c r="AB4" i="6"/>
  <c r="AC4" i="6"/>
  <c r="AD4" i="6"/>
  <c r="AE4" i="6"/>
  <c r="AF4" i="6"/>
  <c r="AH17" i="6" a="1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G17" i="6" a="1"/>
  <c r="AG17" i="6"/>
  <c r="X17" i="6"/>
  <c r="W17" i="6"/>
  <c r="V17" i="6"/>
  <c r="R17" i="6"/>
  <c r="S17" i="6"/>
  <c r="T17" i="6"/>
  <c r="U17" i="6"/>
  <c r="Y17" i="6"/>
  <c r="Z17" i="6"/>
  <c r="AA17" i="6"/>
  <c r="AB17" i="6"/>
  <c r="AC17" i="6"/>
  <c r="AD17" i="6"/>
  <c r="AE17" i="6"/>
  <c r="AF17" i="6"/>
  <c r="R135" i="12" a="1"/>
  <c r="R135" i="12" s="1"/>
  <c r="Z136" i="12" a="1"/>
  <c r="Z136" i="12"/>
  <c r="AD135" i="12" a="1"/>
  <c r="W135" i="12" a="1"/>
  <c r="W135" i="12"/>
  <c r="AC135" i="12" a="1"/>
  <c r="AC135" i="12" s="1"/>
  <c r="AA135" i="12" a="1"/>
  <c r="AA135" i="12" s="1"/>
  <c r="AG135" i="12" a="1"/>
  <c r="AG135" i="12"/>
  <c r="X135" i="12" a="1"/>
  <c r="X135" i="12" s="1"/>
  <c r="Z135" i="12" a="1"/>
  <c r="Z135" i="12"/>
  <c r="U135" i="12" a="1"/>
  <c r="U135" i="12" s="1"/>
  <c r="S135" i="12" a="1"/>
  <c r="V123" i="12" a="1"/>
  <c r="V123" i="12" s="1"/>
  <c r="U123" i="12" a="1"/>
  <c r="U123" i="12" s="1"/>
  <c r="Y123" i="12" a="1"/>
  <c r="Y123" i="12"/>
  <c r="R123" i="12" a="1"/>
  <c r="R123" i="12" s="1"/>
  <c r="AF123" i="12" a="1"/>
  <c r="AF123" i="12"/>
  <c r="AG123" i="12"/>
  <c r="AF124" i="12"/>
  <c r="AG124" i="12"/>
  <c r="AF125" i="12"/>
  <c r="AG125" i="12"/>
  <c r="AE123" i="12" a="1"/>
  <c r="AE123" i="12" s="1"/>
  <c r="Y124" i="12" a="1"/>
  <c r="AD123" i="12" a="1"/>
  <c r="AD123" i="12" s="1"/>
  <c r="AC123" i="12" a="1"/>
  <c r="AC123" i="12"/>
  <c r="AB124" i="12" a="1"/>
  <c r="AB124" i="12" s="1"/>
  <c r="AB123" i="12" a="1"/>
  <c r="AB123" i="12" s="1"/>
  <c r="U124" i="12" a="1"/>
  <c r="U124" i="12" s="1"/>
  <c r="S125" i="12" a="1"/>
  <c r="S125" i="12" s="1"/>
  <c r="K123" i="12"/>
  <c r="R125" i="12" s="1" a="1"/>
  <c r="R125" i="12" s="1"/>
  <c r="O155" i="12" a="1"/>
  <c r="O155" i="12" s="1"/>
  <c r="F155" i="12" a="1"/>
  <c r="F155" i="12" s="1"/>
  <c r="L155" i="12" a="1"/>
  <c r="L155" i="12" s="1"/>
  <c r="R47" i="12" a="1"/>
  <c r="R47" i="12" s="1"/>
  <c r="K148" i="12"/>
  <c r="O156" i="12" s="1" a="1"/>
  <c r="O156" i="12" s="1"/>
  <c r="K147" i="12"/>
  <c r="R146" i="12" s="1" a="1"/>
  <c r="R146" i="12" s="1"/>
  <c r="K146" i="12"/>
  <c r="K49" i="12"/>
  <c r="K48" i="12"/>
  <c r="K47" i="12"/>
  <c r="S19" i="12" a="1"/>
  <c r="S19" i="12" s="1"/>
  <c r="U16" i="12" a="1"/>
  <c r="U19" i="12" a="1"/>
  <c r="U19" i="12" s="1"/>
  <c r="AG19" i="12" a="1"/>
  <c r="AG19" i="12" s="1"/>
  <c r="T19" i="12" a="1"/>
  <c r="T19" i="12" s="1"/>
  <c r="W20" i="12" a="1"/>
  <c r="W20" i="12" s="1"/>
  <c r="W19" i="12" a="1"/>
  <c r="W19" i="12" s="1"/>
  <c r="X19" i="12" a="1"/>
  <c r="X19" i="12" s="1"/>
  <c r="Y19" i="12" a="1"/>
  <c r="Y19" i="12" s="1"/>
  <c r="AA19" i="12" a="1"/>
  <c r="AA19" i="12" s="1"/>
  <c r="AB19" i="12" a="1"/>
  <c r="AB19" i="12" s="1"/>
  <c r="AC19" i="12" a="1"/>
  <c r="AC19" i="12" s="1"/>
  <c r="AD19" i="12" a="1"/>
  <c r="AD19" i="12" s="1"/>
  <c r="AE19" i="12" a="1"/>
  <c r="AE19" i="12" s="1"/>
  <c r="AF19" i="12" a="1"/>
  <c r="AF19" i="12" s="1"/>
  <c r="R19" i="12" a="1"/>
  <c r="R19" i="12" s="1"/>
  <c r="R16" i="12" a="1"/>
  <c r="R16" i="12" s="1"/>
  <c r="K19" i="12"/>
  <c r="Z19" i="12" s="1" a="1"/>
  <c r="Z19" i="12" s="1"/>
  <c r="AF16" i="12" a="1"/>
  <c r="AE16" i="12" a="1"/>
  <c r="AE16" i="12" s="1"/>
  <c r="AB16" i="12" a="1"/>
  <c r="AB16" i="12" s="1"/>
  <c r="AD17" i="12" a="1"/>
  <c r="AD17" i="12" s="1"/>
  <c r="AD16" i="12" a="1"/>
  <c r="AD16" i="12" s="1"/>
  <c r="Y16" i="12" a="1"/>
  <c r="Y16" i="12" s="1"/>
  <c r="AB17" i="12" a="1"/>
  <c r="V16" i="12" a="1"/>
  <c r="S17" i="12" a="1"/>
  <c r="R17" i="12" a="1"/>
  <c r="R17" i="12" s="1"/>
  <c r="AC16" i="12" a="1"/>
  <c r="AC16" i="12" s="1"/>
  <c r="K16" i="12"/>
  <c r="R18" i="12" s="1" a="1"/>
  <c r="R18" i="12" s="1"/>
  <c r="Z34" i="12" a="1"/>
  <c r="Z34" i="12" s="1"/>
  <c r="Y34" i="12" a="1"/>
  <c r="Y34" i="12" s="1"/>
  <c r="Y25" i="12" a="1"/>
  <c r="Y25" i="12" s="1"/>
  <c r="AE34" i="12" a="1"/>
  <c r="AE34" i="12" s="1"/>
  <c r="AE25" i="12" a="1"/>
  <c r="AE25" i="12" s="1"/>
  <c r="S25" i="12" a="1"/>
  <c r="S25" i="12" s="1"/>
  <c r="M25" i="12" a="1"/>
  <c r="M25" i="12" s="1"/>
  <c r="AR96" i="12" a="1"/>
  <c r="AR96" i="12" s="1"/>
  <c r="AJ92" i="12" a="1"/>
  <c r="AJ92" i="12" s="1"/>
  <c r="AJ96" i="12" a="1"/>
  <c r="AJ96" i="12" s="1"/>
  <c r="AP101" i="12" a="1"/>
  <c r="AP101" i="12" s="1"/>
  <c r="N93" i="12" a="1"/>
  <c r="N93" i="12" s="1"/>
  <c r="AJ101" i="12" a="1"/>
  <c r="BM95" i="19" a="1"/>
  <c r="BM95" i="19" s="1"/>
  <c r="BD95" i="19" a="1"/>
  <c r="BD95" i="19" s="1"/>
  <c r="R105" i="12" a="1"/>
  <c r="N106" i="12" a="1"/>
  <c r="N106" i="12" s="1"/>
  <c r="AE96" i="12" a="1"/>
  <c r="AE108" i="12" a="1"/>
  <c r="AE104" i="12" a="1"/>
  <c r="AE100" i="12" a="1"/>
  <c r="AX3" i="19" a="1"/>
  <c r="AX3" i="19" s="1"/>
  <c r="N105" i="12" a="1"/>
  <c r="N105" i="12" s="1"/>
  <c r="AH49" i="3" a="1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S49" i="3"/>
  <c r="AF49" i="3"/>
  <c r="Y49" i="3"/>
  <c r="W49" i="3"/>
  <c r="V49" i="3"/>
  <c r="T49" i="3"/>
  <c r="U49" i="3"/>
  <c r="X49" i="3"/>
  <c r="Z49" i="3"/>
  <c r="AA49" i="3"/>
  <c r="AB49" i="3"/>
  <c r="AC49" i="3"/>
  <c r="AD49" i="3"/>
  <c r="AE49" i="3"/>
  <c r="R49" i="3"/>
  <c r="H96" i="19" a="1"/>
  <c r="H96" i="19"/>
  <c r="L96" i="19" a="1"/>
  <c r="L96" i="19" s="1"/>
  <c r="H100" i="19" a="1"/>
  <c r="H100" i="19"/>
  <c r="N100" i="19" a="1"/>
  <c r="N100" i="19"/>
  <c r="R12" i="8" a="1"/>
  <c r="R12" i="8" s="1"/>
  <c r="E13" i="8" a="1"/>
  <c r="E13" i="8" s="1"/>
  <c r="C12" i="8" a="1"/>
  <c r="C12" i="8" s="1"/>
  <c r="C13" i="8"/>
  <c r="R22" i="12" a="1"/>
  <c r="R22" i="12" s="1"/>
  <c r="R120" i="12" a="1"/>
  <c r="Y121" i="12" a="1"/>
  <c r="Y121" i="12" s="1"/>
  <c r="Y120" i="12" a="1"/>
  <c r="Y120" i="12" s="1"/>
  <c r="W120" i="12" a="1"/>
  <c r="W120" i="12" s="1"/>
  <c r="V120" i="12" a="1"/>
  <c r="V120" i="12" s="1"/>
  <c r="T120" i="12" a="1"/>
  <c r="T120" i="12" s="1"/>
  <c r="AR121" i="12" a="1"/>
  <c r="AR121" i="12" s="1"/>
  <c r="AT120" i="12" a="1"/>
  <c r="AT120" i="12" s="1"/>
  <c r="AS120" i="12" a="1"/>
  <c r="AS120" i="12" s="1"/>
  <c r="AR120" i="12" a="1"/>
  <c r="AR120" i="12" s="1"/>
  <c r="K120" i="12"/>
  <c r="AR118" i="12" a="1"/>
  <c r="AR118" i="12" s="1"/>
  <c r="U119" i="12" a="1"/>
  <c r="U119" i="12" s="1"/>
  <c r="AT117" i="12" a="1"/>
  <c r="AT117" i="12" s="1"/>
  <c r="AS117" i="12" a="1"/>
  <c r="AS117" i="12" s="1"/>
  <c r="R117" i="12" a="1"/>
  <c r="R117" i="12" s="1"/>
  <c r="AR117" i="12" a="1"/>
  <c r="AR117" i="12" s="1"/>
  <c r="T117" i="12" a="1"/>
  <c r="T117" i="12" s="1"/>
  <c r="K117" i="12"/>
  <c r="AR140" i="12" a="1"/>
  <c r="AR140" i="12" s="1"/>
  <c r="AS142" i="12" a="1"/>
  <c r="AS142" i="12" s="1"/>
  <c r="AK142" i="12" a="1"/>
  <c r="AK142" i="12" s="1"/>
  <c r="R140" i="12" a="1"/>
  <c r="R140" i="12" s="1"/>
  <c r="AO140" i="12" a="1"/>
  <c r="AO140" i="12" s="1"/>
  <c r="AH140" i="12" a="1"/>
  <c r="AH140" i="12" s="1"/>
  <c r="AG140" i="12" a="1"/>
  <c r="AG140" i="12" s="1"/>
  <c r="S140" i="12" a="1"/>
  <c r="S140" i="12" s="1"/>
  <c r="K140" i="12"/>
  <c r="T126" i="12" a="1"/>
  <c r="T126" i="12" s="1"/>
  <c r="S126" i="12" a="1"/>
  <c r="S126" i="12" s="1"/>
  <c r="W130" i="12" a="1"/>
  <c r="W130" i="12" s="1"/>
  <c r="AH130" i="12" a="1"/>
  <c r="AH130" i="12" s="1"/>
  <c r="AG130" i="12" a="1"/>
  <c r="AG130" i="12" s="1"/>
  <c r="AA130" i="12" a="1"/>
  <c r="AA130" i="12" s="1"/>
  <c r="AB130" i="12" a="1"/>
  <c r="AB130" i="12" s="1"/>
  <c r="AC130" i="12" a="1"/>
  <c r="AC130" i="12" s="1"/>
  <c r="AD130" i="12" a="1"/>
  <c r="AD130" i="12" s="1"/>
  <c r="AE130" i="12" a="1"/>
  <c r="AE130" i="12" s="1"/>
  <c r="AF130" i="12" a="1"/>
  <c r="AF130" i="12" s="1"/>
  <c r="Z132" i="12" a="1"/>
  <c r="W131" i="12" a="1"/>
  <c r="V132" i="12" a="1"/>
  <c r="U132" i="12" a="1"/>
  <c r="U132" i="12" s="1"/>
  <c r="T131" i="12" a="1"/>
  <c r="S130" i="12" a="1"/>
  <c r="R130" i="12" a="1"/>
  <c r="R130" i="12" s="1"/>
  <c r="K130" i="12"/>
  <c r="Z130" i="12" s="1" a="1"/>
  <c r="Z130" i="12" s="1"/>
  <c r="AG126" i="12" a="1"/>
  <c r="AG126" i="12" s="1"/>
  <c r="U126" i="12" a="1"/>
  <c r="U126" i="12" s="1"/>
  <c r="V126" i="12" a="1"/>
  <c r="V126" i="12" s="1"/>
  <c r="W126" i="12" a="1"/>
  <c r="W126" i="12" s="1"/>
  <c r="X126" i="12" a="1"/>
  <c r="Y126" i="12" a="1"/>
  <c r="AA126" i="12" a="1"/>
  <c r="AA126" i="12" s="1"/>
  <c r="AB126" i="12" a="1"/>
  <c r="AB126" i="12" s="1"/>
  <c r="AC126" i="12" a="1"/>
  <c r="AC126" i="12" s="1"/>
  <c r="AD126" i="12" a="1"/>
  <c r="AD126" i="12" s="1"/>
  <c r="AE126" i="12" a="1"/>
  <c r="AE126" i="12" s="1"/>
  <c r="AF126" i="12" a="1"/>
  <c r="AF126" i="12" s="1"/>
  <c r="R126" i="12" a="1"/>
  <c r="R126" i="12" s="1"/>
  <c r="K126" i="12"/>
  <c r="B12" i="21"/>
  <c r="S115" i="12"/>
  <c r="AH115" i="12" a="1"/>
  <c r="AG115" i="12" a="1"/>
  <c r="AG115" i="12" s="1"/>
  <c r="Z115" i="12"/>
  <c r="AA115" i="12"/>
  <c r="AB115" i="12"/>
  <c r="AC115" i="12"/>
  <c r="AD115" i="12"/>
  <c r="AE115" i="12"/>
  <c r="AF115" i="12"/>
  <c r="Y115" i="12"/>
  <c r="X115" i="12"/>
  <c r="W115" i="12"/>
  <c r="V115" i="12"/>
  <c r="U115" i="12"/>
  <c r="T115" i="12"/>
  <c r="R115" i="12"/>
  <c r="K115" i="12"/>
  <c r="W15" i="12"/>
  <c r="R15" i="12"/>
  <c r="T15" i="12"/>
  <c r="AH15" i="12" a="1"/>
  <c r="AG15" i="12" a="1"/>
  <c r="AG15" i="12" s="1"/>
  <c r="AF15" i="12"/>
  <c r="AA15" i="12"/>
  <c r="AB15" i="12"/>
  <c r="AC15" i="12"/>
  <c r="AD15" i="12"/>
  <c r="AE15" i="12"/>
  <c r="Z15" i="12"/>
  <c r="Y15" i="12"/>
  <c r="X15" i="12"/>
  <c r="V15" i="12"/>
  <c r="U15" i="12"/>
  <c r="S15" i="12"/>
  <c r="K15" i="12"/>
  <c r="AO9" i="12" a="1"/>
  <c r="AO9" i="12" s="1"/>
  <c r="AL9" i="12" a="1"/>
  <c r="AL9" i="12" s="1"/>
  <c r="AI9" i="12" a="1"/>
  <c r="AI9" i="12" s="1"/>
  <c r="AS6" i="12" a="1"/>
  <c r="AS6" i="12" s="1"/>
  <c r="AO6" i="12" a="1"/>
  <c r="AO6" i="12" s="1"/>
  <c r="AK6" i="12" a="1"/>
  <c r="AK6" i="12" s="1"/>
  <c r="AI6" i="12" a="1"/>
  <c r="AI6" i="12" s="1"/>
  <c r="AH9" i="12" a="1"/>
  <c r="AH9" i="12" s="1"/>
  <c r="AG9" i="12" a="1"/>
  <c r="AG9" i="12" s="1"/>
  <c r="AA9" i="12" a="1"/>
  <c r="AA9" i="12" s="1"/>
  <c r="AB9" i="12" a="1"/>
  <c r="AB9" i="12" s="1"/>
  <c r="AC9" i="12" a="1"/>
  <c r="AC9" i="12" s="1"/>
  <c r="AD9" i="12" a="1"/>
  <c r="AD9" i="12" s="1"/>
  <c r="AE9" i="12" a="1"/>
  <c r="AE9" i="12" s="1"/>
  <c r="AF9" i="12" a="1"/>
  <c r="AF9" i="12" s="1"/>
  <c r="Y11" i="12" a="1"/>
  <c r="X10" i="12" a="1"/>
  <c r="W9" i="12" a="1"/>
  <c r="W9" i="12" s="1"/>
  <c r="V9" i="12" a="1"/>
  <c r="U9" i="12" a="1"/>
  <c r="U9" i="12" s="1"/>
  <c r="T11" i="12" a="1"/>
  <c r="T11" i="12" s="1"/>
  <c r="S10" i="12" a="1"/>
  <c r="S10" i="12" s="1"/>
  <c r="R9" i="12" a="1"/>
  <c r="K9" i="12"/>
  <c r="Z9" i="12" s="1" a="1"/>
  <c r="Z9" i="12" s="1"/>
  <c r="R6" i="12" a="1"/>
  <c r="R6" i="12" s="1"/>
  <c r="AH6" i="12" a="1"/>
  <c r="AH6" i="12" s="1"/>
  <c r="AG6" i="12" a="1"/>
  <c r="AG6" i="12" s="1"/>
  <c r="K6" i="12"/>
  <c r="Z6" i="12" a="1"/>
  <c r="Z6" i="12" s="1"/>
  <c r="S6" i="12" a="1"/>
  <c r="S6" i="12" s="1"/>
  <c r="T6" i="12" a="1"/>
  <c r="U6" i="12" a="1"/>
  <c r="U6" i="12" s="1"/>
  <c r="V6" i="12" a="1"/>
  <c r="W6" i="12" a="1"/>
  <c r="W6" i="12" s="1"/>
  <c r="X6" i="12" a="1"/>
  <c r="Y6" i="12" a="1"/>
  <c r="Y6" i="12" s="1"/>
  <c r="AA6" i="12" a="1"/>
  <c r="AA6" i="12" s="1"/>
  <c r="AB6" i="12" a="1"/>
  <c r="AB6" i="12" s="1"/>
  <c r="AC6" i="12" a="1"/>
  <c r="AC6" i="12" s="1"/>
  <c r="AD6" i="12" a="1"/>
  <c r="AD6" i="12" s="1"/>
  <c r="AE6" i="12" a="1"/>
  <c r="AE6" i="12" s="1"/>
  <c r="AF6" i="12" a="1"/>
  <c r="AF6" i="12" s="1"/>
  <c r="AH5" i="12" a="1"/>
  <c r="AG5" i="12" a="1"/>
  <c r="AG5" i="12" s="1"/>
  <c r="S5" i="12"/>
  <c r="T5" i="12"/>
  <c r="U5" i="12"/>
  <c r="V5" i="12"/>
  <c r="W5" i="12"/>
  <c r="X5" i="12"/>
  <c r="Y5" i="12"/>
  <c r="AA5" i="12"/>
  <c r="AB5" i="12"/>
  <c r="AC5" i="12" s="1"/>
  <c r="AD5" i="12"/>
  <c r="AE5" i="12"/>
  <c r="AF5" i="12"/>
  <c r="K5" i="12"/>
  <c r="Z5" i="12" s="1"/>
  <c r="R5" i="12"/>
  <c r="AH4" i="12" a="1"/>
  <c r="AG4" i="12" a="1"/>
  <c r="AG4" i="12" s="1"/>
  <c r="Y4" i="12"/>
  <c r="Z4" i="12"/>
  <c r="AA4" i="12"/>
  <c r="AB4" i="12"/>
  <c r="AC4" i="12"/>
  <c r="AD4" i="12"/>
  <c r="AE4" i="12"/>
  <c r="AF4" i="12"/>
  <c r="X4" i="12"/>
  <c r="U4" i="12"/>
  <c r="W4" i="12"/>
  <c r="V4" i="12"/>
  <c r="T4" i="12"/>
  <c r="S4" i="12"/>
  <c r="R4" i="12"/>
  <c r="K4" i="12"/>
  <c r="X163" i="12" a="1"/>
  <c r="X163" i="12" s="1"/>
  <c r="Y163" i="12" a="1"/>
  <c r="Y163" i="12" s="1"/>
  <c r="AA163" i="12" a="1"/>
  <c r="AA163" i="12" s="1"/>
  <c r="AB163" i="12" a="1"/>
  <c r="AB163" i="12" s="1"/>
  <c r="AC163" i="12" a="1"/>
  <c r="AC163" i="12" s="1"/>
  <c r="AD163" i="12" a="1"/>
  <c r="AD163" i="12" s="1"/>
  <c r="AE163" i="12" a="1"/>
  <c r="AE163" i="12" s="1"/>
  <c r="AF163" i="12" a="1"/>
  <c r="AF163" i="12" s="1"/>
  <c r="X164" i="12" a="1"/>
  <c r="X164" i="12" s="1"/>
  <c r="Y164" i="12" a="1"/>
  <c r="Y164" i="12" s="1"/>
  <c r="AA164" i="12" a="1"/>
  <c r="AA164" i="12" s="1"/>
  <c r="AB164" i="12" a="1"/>
  <c r="AB164" i="12" s="1"/>
  <c r="AC164" i="12" a="1"/>
  <c r="AC164" i="12" s="1"/>
  <c r="AD164" i="12" a="1"/>
  <c r="AD164" i="12" s="1"/>
  <c r="AE164" i="12" a="1"/>
  <c r="AE164" i="12" s="1"/>
  <c r="AF164" i="12" a="1"/>
  <c r="AF164" i="12" s="1"/>
  <c r="X165" i="12" a="1"/>
  <c r="X165" i="12" s="1"/>
  <c r="Y165" i="12" a="1"/>
  <c r="Y165" i="12" s="1"/>
  <c r="AA165" i="12" a="1"/>
  <c r="AA165" i="12" s="1"/>
  <c r="AB165" i="12" a="1"/>
  <c r="AB165" i="12" s="1"/>
  <c r="AC165" i="12" a="1"/>
  <c r="AC165" i="12" s="1"/>
  <c r="AD165" i="12" a="1"/>
  <c r="AD165" i="12" s="1"/>
  <c r="AE165" i="12" a="1"/>
  <c r="AE165" i="12" s="1"/>
  <c r="AF165" i="12" a="1"/>
  <c r="AF165" i="12" s="1"/>
  <c r="X166" i="12" a="1"/>
  <c r="X166" i="12" s="1"/>
  <c r="Y166" i="12" a="1"/>
  <c r="Y166" i="12" s="1"/>
  <c r="AA166" i="12" a="1"/>
  <c r="AA166" i="12" s="1"/>
  <c r="AB166" i="12" a="1"/>
  <c r="AB166" i="12" s="1"/>
  <c r="AC166" i="12" a="1"/>
  <c r="AC166" i="12" s="1"/>
  <c r="AD166" i="12" a="1"/>
  <c r="AD166" i="12" s="1"/>
  <c r="AE166" i="12" a="1"/>
  <c r="AE166" i="12" s="1"/>
  <c r="AF166" i="12" a="1"/>
  <c r="AF166" i="12" s="1"/>
  <c r="X167" i="12" a="1"/>
  <c r="X167" i="12" s="1"/>
  <c r="Y167" i="12" a="1"/>
  <c r="Y167" i="12" s="1"/>
  <c r="AA167" i="12" a="1"/>
  <c r="AA167" i="12" s="1"/>
  <c r="AB167" i="12" a="1"/>
  <c r="AB167" i="12" s="1"/>
  <c r="AC167" i="12" a="1"/>
  <c r="AC167" i="12" s="1"/>
  <c r="AD167" i="12" a="1"/>
  <c r="AD167" i="12" s="1"/>
  <c r="AE167" i="12" a="1"/>
  <c r="AE167" i="12" s="1"/>
  <c r="AF167" i="12" a="1"/>
  <c r="AF167" i="12" s="1"/>
  <c r="X168" i="12" a="1"/>
  <c r="X168" i="12" s="1"/>
  <c r="Y168" i="12" a="1"/>
  <c r="Y168" i="12" s="1"/>
  <c r="AA168" i="12" a="1"/>
  <c r="AA168" i="12" s="1"/>
  <c r="AB168" i="12" a="1"/>
  <c r="AB168" i="12" s="1"/>
  <c r="AC168" i="12" a="1"/>
  <c r="AC168" i="12" s="1"/>
  <c r="AD168" i="12" a="1"/>
  <c r="AD168" i="12" s="1"/>
  <c r="AE168" i="12" a="1"/>
  <c r="AE168" i="12" s="1"/>
  <c r="AF168" i="12" a="1"/>
  <c r="AF168" i="12" s="1"/>
  <c r="X169" i="12" a="1"/>
  <c r="X169" i="12" s="1"/>
  <c r="Y169" i="12" a="1"/>
  <c r="Y169" i="12" s="1"/>
  <c r="AA169" i="12" a="1"/>
  <c r="AA169" i="12" s="1"/>
  <c r="AB169" i="12" a="1"/>
  <c r="AB169" i="12" s="1"/>
  <c r="AC169" i="12" a="1"/>
  <c r="AC169" i="12" s="1"/>
  <c r="AD169" i="12" a="1"/>
  <c r="AD169" i="12" s="1"/>
  <c r="AE169" i="12" a="1"/>
  <c r="AE169" i="12" s="1"/>
  <c r="AF169" i="12" a="1"/>
  <c r="AF169" i="12" s="1"/>
  <c r="X170" i="12" a="1"/>
  <c r="X170" i="12" s="1"/>
  <c r="Y170" i="12" a="1"/>
  <c r="Y170" i="12" s="1"/>
  <c r="AA170" i="12" a="1"/>
  <c r="AA170" i="12" s="1"/>
  <c r="AB170" i="12" a="1"/>
  <c r="AB170" i="12" s="1"/>
  <c r="AC170" i="12" a="1"/>
  <c r="AC170" i="12" s="1"/>
  <c r="AD170" i="12" a="1"/>
  <c r="AD170" i="12" s="1"/>
  <c r="AE170" i="12" a="1"/>
  <c r="AE170" i="12" s="1"/>
  <c r="AF170" i="12" a="1"/>
  <c r="AF170" i="12" s="1"/>
  <c r="V163" i="12" a="1"/>
  <c r="V163" i="12" s="1"/>
  <c r="W163" i="12" a="1"/>
  <c r="W163" i="12" s="1"/>
  <c r="V164" i="12" a="1"/>
  <c r="V164" i="12" s="1"/>
  <c r="W164" i="12" a="1"/>
  <c r="W164" i="12" s="1"/>
  <c r="V165" i="12" a="1"/>
  <c r="V165" i="12" s="1"/>
  <c r="W165" i="12" a="1"/>
  <c r="W165" i="12" s="1"/>
  <c r="V166" i="12" a="1"/>
  <c r="V166" i="12" s="1"/>
  <c r="W166" i="12" a="1"/>
  <c r="W166" i="12" s="1"/>
  <c r="V167" i="12" a="1"/>
  <c r="V167" i="12" s="1"/>
  <c r="W167" i="12" a="1"/>
  <c r="W167" i="12" s="1"/>
  <c r="V168" i="12" a="1"/>
  <c r="V168" i="12" s="1"/>
  <c r="W168" i="12" a="1"/>
  <c r="W168" i="12" s="1"/>
  <c r="V169" i="12" a="1"/>
  <c r="V169" i="12" s="1"/>
  <c r="W169" i="12" a="1"/>
  <c r="W169" i="12" s="1"/>
  <c r="V170" i="12" a="1"/>
  <c r="V170" i="12" s="1"/>
  <c r="W170" i="12" a="1"/>
  <c r="W170" i="12" s="1"/>
  <c r="U170" i="12" a="1"/>
  <c r="U170" i="12" s="1"/>
  <c r="U169" i="12" a="1"/>
  <c r="U169" i="12" s="1"/>
  <c r="U168" i="12" a="1"/>
  <c r="U168" i="12" s="1"/>
  <c r="U165" i="12" a="1"/>
  <c r="U165" i="12" s="1"/>
  <c r="U166" i="12" a="1"/>
  <c r="U166" i="12" s="1"/>
  <c r="U167" i="12" a="1"/>
  <c r="U167" i="12" s="1"/>
  <c r="T166" i="12" a="1"/>
  <c r="T166" i="12" s="1"/>
  <c r="T167" i="12" a="1"/>
  <c r="T167" i="12" s="1"/>
  <c r="T165" i="12" a="1"/>
  <c r="T165" i="12" s="1"/>
  <c r="T164" i="12" a="1"/>
  <c r="T164" i="12" s="1"/>
  <c r="T163" i="12" a="1"/>
  <c r="T163" i="12" s="1"/>
  <c r="U164" i="12" a="1"/>
  <c r="U164" i="12" s="1"/>
  <c r="U163" i="12" a="1"/>
  <c r="U163" i="12" s="1"/>
  <c r="T170" i="12" a="1"/>
  <c r="T170" i="12" s="1"/>
  <c r="T169" i="12" a="1"/>
  <c r="T169" i="12" s="1"/>
  <c r="T168" i="12" a="1"/>
  <c r="T168" i="12" s="1"/>
  <c r="S170" i="12" a="1"/>
  <c r="S170" i="12" s="1"/>
  <c r="S169" i="12" a="1"/>
  <c r="S169" i="12" s="1"/>
  <c r="S168" i="12" a="1"/>
  <c r="S168" i="12" s="1"/>
  <c r="S167" i="12" a="1"/>
  <c r="S167" i="12" s="1"/>
  <c r="S166" i="12" a="1"/>
  <c r="S166" i="12" s="1"/>
  <c r="S165" i="12" a="1"/>
  <c r="S165" i="12" s="1"/>
  <c r="S164" i="12" a="1"/>
  <c r="S164" i="12" s="1"/>
  <c r="S163" i="12" a="1"/>
  <c r="S163" i="12" s="1"/>
  <c r="R166" i="12" a="1"/>
  <c r="R166" i="12" s="1"/>
  <c r="R165" i="12" a="1"/>
  <c r="R165" i="12" s="1"/>
  <c r="R164" i="12" a="1"/>
  <c r="R164" i="12" s="1"/>
  <c r="R163" i="12" a="1"/>
  <c r="R163" i="12" s="1"/>
  <c r="R170" i="12" a="1"/>
  <c r="R170" i="12" s="1"/>
  <c r="R169" i="12" a="1"/>
  <c r="R169" i="12" s="1"/>
  <c r="R168" i="12" a="1"/>
  <c r="R168" i="12" s="1"/>
  <c r="R167" i="12" a="1"/>
  <c r="R167" i="12" s="1"/>
  <c r="Y162" i="12" a="1"/>
  <c r="Y162" i="12" s="1"/>
  <c r="X162" i="12" a="1"/>
  <c r="X162" i="12" s="1"/>
  <c r="AA162" i="12" a="1"/>
  <c r="AA162" i="12" s="1"/>
  <c r="AB162" i="12" a="1"/>
  <c r="AB162" i="12" s="1"/>
  <c r="AC162" i="12" a="1"/>
  <c r="AC162" i="12" s="1"/>
  <c r="AD162" i="12" a="1"/>
  <c r="AD162" i="12" s="1"/>
  <c r="AE162" i="12" a="1"/>
  <c r="AE162" i="12" s="1"/>
  <c r="AF162" i="12" a="1"/>
  <c r="AF162" i="12" s="1"/>
  <c r="W162" i="12" a="1"/>
  <c r="W162" i="12" s="1"/>
  <c r="V162" i="12" a="1"/>
  <c r="V162" i="12" s="1"/>
  <c r="R162" i="12" a="1"/>
  <c r="R162" i="12" s="1"/>
  <c r="L94" i="19"/>
  <c r="L93" i="19"/>
  <c r="L92" i="19"/>
  <c r="L91" i="19"/>
  <c r="N90" i="19"/>
  <c r="L90" i="19"/>
  <c r="N89" i="19"/>
  <c r="L89" i="19"/>
  <c r="N88" i="19"/>
  <c r="L88" i="19"/>
  <c r="N87" i="19"/>
  <c r="L87" i="19"/>
  <c r="N86" i="19"/>
  <c r="L85" i="19"/>
  <c r="M84" i="19"/>
  <c r="L84" i="19"/>
  <c r="L83" i="19"/>
  <c r="K83" i="19"/>
  <c r="L82" i="19"/>
  <c r="K82" i="19"/>
  <c r="N81" i="19"/>
  <c r="L81" i="19"/>
  <c r="K81" i="19"/>
  <c r="N80" i="19"/>
  <c r="L80" i="19"/>
  <c r="K80" i="19"/>
  <c r="N79" i="19"/>
  <c r="L79" i="19"/>
  <c r="K79" i="19"/>
  <c r="M78" i="19"/>
  <c r="L78" i="19"/>
  <c r="L77" i="19"/>
  <c r="H76" i="19" a="1"/>
  <c r="H76" i="19" s="1"/>
  <c r="L75" i="19"/>
  <c r="L74" i="19"/>
  <c r="L73" i="19" a="1"/>
  <c r="L73" i="19" s="1"/>
  <c r="T183" i="19"/>
  <c r="R176" i="12"/>
  <c r="V176" i="12"/>
  <c r="W173" i="12"/>
  <c r="X173" i="12"/>
  <c r="S172" i="12"/>
  <c r="T192" i="12"/>
  <c r="U194" i="12"/>
  <c r="W193" i="12"/>
  <c r="X192" i="12"/>
  <c r="W192" i="12"/>
  <c r="X191" i="12"/>
  <c r="W182" i="12"/>
  <c r="W172" i="12"/>
  <c r="W174" i="12"/>
  <c r="R172" i="12"/>
  <c r="Y179" i="12"/>
  <c r="R175" i="12"/>
  <c r="R173" i="12"/>
  <c r="V173" i="12"/>
  <c r="R182" i="12"/>
  <c r="S176" i="12"/>
  <c r="V177" i="12"/>
  <c r="V187" i="12"/>
  <c r="S193" i="12"/>
  <c r="T193" i="12"/>
  <c r="U193" i="12"/>
  <c r="V193" i="12"/>
  <c r="X193" i="12"/>
  <c r="Y193" i="12"/>
  <c r="AA193" i="12"/>
  <c r="AB193" i="12"/>
  <c r="AC193" i="12"/>
  <c r="AD193" i="12"/>
  <c r="AE193" i="12"/>
  <c r="AF193" i="12"/>
  <c r="S194" i="12"/>
  <c r="T194" i="12"/>
  <c r="V194" i="12"/>
  <c r="W194" i="12"/>
  <c r="X194" i="12"/>
  <c r="Y194" i="12"/>
  <c r="AA194" i="12"/>
  <c r="AB194" i="12"/>
  <c r="AC194" i="12"/>
  <c r="AD194" i="12"/>
  <c r="AE194" i="12"/>
  <c r="AF194" i="12"/>
  <c r="S195" i="12"/>
  <c r="T195" i="12"/>
  <c r="U195" i="12"/>
  <c r="V195" i="12"/>
  <c r="W195" i="12"/>
  <c r="X195" i="12"/>
  <c r="Y195" i="12"/>
  <c r="AA195" i="12"/>
  <c r="AB195" i="12"/>
  <c r="AC195" i="12"/>
  <c r="AD195" i="12"/>
  <c r="AE195" i="12"/>
  <c r="AF195" i="12"/>
  <c r="S196" i="12"/>
  <c r="T196" i="12"/>
  <c r="U196" i="12"/>
  <c r="V196" i="12"/>
  <c r="W196" i="12"/>
  <c r="X196" i="12"/>
  <c r="Y196" i="12"/>
  <c r="AA196" i="12"/>
  <c r="AB196" i="12"/>
  <c r="AC196" i="12"/>
  <c r="AD196" i="12"/>
  <c r="AE196" i="12"/>
  <c r="AF196" i="12"/>
  <c r="S197" i="12"/>
  <c r="T197" i="12"/>
  <c r="U197" i="12"/>
  <c r="V197" i="12"/>
  <c r="W197" i="12"/>
  <c r="X197" i="12"/>
  <c r="Y197" i="12"/>
  <c r="AA197" i="12"/>
  <c r="AB197" i="12"/>
  <c r="AC197" i="12"/>
  <c r="AD197" i="12"/>
  <c r="AE197" i="12"/>
  <c r="AF197" i="12"/>
  <c r="R197" i="12"/>
  <c r="R196" i="12"/>
  <c r="R195" i="12"/>
  <c r="R194" i="12"/>
  <c r="R193" i="12"/>
  <c r="S187" i="12"/>
  <c r="T187" i="12"/>
  <c r="U187" i="12"/>
  <c r="W187" i="12"/>
  <c r="X187" i="12"/>
  <c r="Y187" i="12"/>
  <c r="AA187" i="12"/>
  <c r="AB187" i="12"/>
  <c r="AC187" i="12"/>
  <c r="AD187" i="12"/>
  <c r="AE187" i="12"/>
  <c r="AF187" i="12"/>
  <c r="S188" i="12"/>
  <c r="T188" i="12"/>
  <c r="U188" i="12"/>
  <c r="V188" i="12"/>
  <c r="W188" i="12"/>
  <c r="X188" i="12"/>
  <c r="Y188" i="12"/>
  <c r="AA188" i="12"/>
  <c r="AB188" i="12"/>
  <c r="AC188" i="12"/>
  <c r="AD188" i="12"/>
  <c r="AE188" i="12"/>
  <c r="AF188" i="12"/>
  <c r="S189" i="12"/>
  <c r="T189" i="12"/>
  <c r="U189" i="12"/>
  <c r="V189" i="12"/>
  <c r="W189" i="12"/>
  <c r="X189" i="12"/>
  <c r="Y189" i="12"/>
  <c r="AA189" i="12"/>
  <c r="AB189" i="12"/>
  <c r="AC189" i="12"/>
  <c r="AD189" i="12"/>
  <c r="AE189" i="12"/>
  <c r="AF189" i="12"/>
  <c r="S190" i="12"/>
  <c r="T190" i="12"/>
  <c r="U190" i="12"/>
  <c r="V190" i="12"/>
  <c r="W190" i="12"/>
  <c r="X190" i="12"/>
  <c r="Y190" i="12"/>
  <c r="AA190" i="12"/>
  <c r="AB190" i="12"/>
  <c r="AC190" i="12"/>
  <c r="AD190" i="12"/>
  <c r="AE190" i="12"/>
  <c r="AF190" i="12"/>
  <c r="S191" i="12"/>
  <c r="T191" i="12"/>
  <c r="U191" i="12"/>
  <c r="V191" i="12"/>
  <c r="W191" i="12"/>
  <c r="Y191" i="12"/>
  <c r="AA191" i="12"/>
  <c r="AB191" i="12"/>
  <c r="AC191" i="12"/>
  <c r="AD191" i="12"/>
  <c r="AE191" i="12"/>
  <c r="AF191" i="12"/>
  <c r="S192" i="12"/>
  <c r="U192" i="12"/>
  <c r="V192" i="12"/>
  <c r="Y192" i="12"/>
  <c r="AA192" i="12"/>
  <c r="AB192" i="12"/>
  <c r="AC192" i="12"/>
  <c r="AD192" i="12"/>
  <c r="AE192" i="12"/>
  <c r="AF192" i="12"/>
  <c r="R192" i="12"/>
  <c r="R191" i="12"/>
  <c r="R190" i="12"/>
  <c r="R189" i="12"/>
  <c r="R188" i="12"/>
  <c r="R187" i="12"/>
  <c r="S185" i="12"/>
  <c r="T185" i="12"/>
  <c r="U185" i="12"/>
  <c r="V185" i="12"/>
  <c r="W185" i="12"/>
  <c r="X185" i="12"/>
  <c r="Y185" i="12"/>
  <c r="AA185" i="12"/>
  <c r="AB185" i="12"/>
  <c r="AC185" i="12"/>
  <c r="AD185" i="12"/>
  <c r="AE185" i="12"/>
  <c r="AF185" i="12"/>
  <c r="S186" i="12"/>
  <c r="T186" i="12"/>
  <c r="U186" i="12"/>
  <c r="V186" i="12"/>
  <c r="W186" i="12"/>
  <c r="X186" i="12"/>
  <c r="Y186" i="12"/>
  <c r="AA186" i="12"/>
  <c r="AB186" i="12"/>
  <c r="AC186" i="12"/>
  <c r="AD186" i="12"/>
  <c r="AE186" i="12"/>
  <c r="AF186" i="12"/>
  <c r="R186" i="12"/>
  <c r="R185" i="12"/>
  <c r="S184" i="12"/>
  <c r="T184" i="12"/>
  <c r="U184" i="12"/>
  <c r="V184" i="12"/>
  <c r="W184" i="12"/>
  <c r="X184" i="12"/>
  <c r="Y184" i="12"/>
  <c r="AA184" i="12"/>
  <c r="AB184" i="12"/>
  <c r="AC184" i="12"/>
  <c r="AD184" i="12"/>
  <c r="AE184" i="12"/>
  <c r="AF184" i="12"/>
  <c r="R184" i="12"/>
  <c r="S183" i="12"/>
  <c r="T183" i="12"/>
  <c r="U183" i="12"/>
  <c r="V183" i="12"/>
  <c r="W183" i="12"/>
  <c r="X183" i="12"/>
  <c r="Y183" i="12"/>
  <c r="AA183" i="12"/>
  <c r="AB183" i="12"/>
  <c r="AC183" i="12"/>
  <c r="AD183" i="12"/>
  <c r="AE183" i="12"/>
  <c r="AF183" i="12"/>
  <c r="R183" i="12"/>
  <c r="S182" i="12"/>
  <c r="T182" i="12"/>
  <c r="U182" i="12"/>
  <c r="V182" i="12"/>
  <c r="X182" i="12"/>
  <c r="Y182" i="12"/>
  <c r="AA182" i="12"/>
  <c r="AB182" i="12"/>
  <c r="AC182" i="12"/>
  <c r="AD182" i="12"/>
  <c r="AE182" i="12"/>
  <c r="AF182" i="12"/>
  <c r="S181" i="12"/>
  <c r="T181" i="12"/>
  <c r="U181" i="12"/>
  <c r="V181" i="12"/>
  <c r="W181" i="12"/>
  <c r="X181" i="12"/>
  <c r="Y181" i="12"/>
  <c r="AA181" i="12"/>
  <c r="AB181" i="12"/>
  <c r="AC181" i="12"/>
  <c r="AD181" i="12"/>
  <c r="AE181" i="12"/>
  <c r="AF181" i="12"/>
  <c r="R181" i="12"/>
  <c r="S180" i="12"/>
  <c r="T180" i="12"/>
  <c r="U180" i="12"/>
  <c r="V180" i="12"/>
  <c r="W180" i="12"/>
  <c r="X180" i="12"/>
  <c r="Y180" i="12"/>
  <c r="AA180" i="12"/>
  <c r="AB180" i="12"/>
  <c r="AC180" i="12"/>
  <c r="AD180" i="12"/>
  <c r="AE180" i="12"/>
  <c r="AF180" i="12"/>
  <c r="R180" i="12"/>
  <c r="S179" i="12"/>
  <c r="T179" i="12"/>
  <c r="U179" i="12"/>
  <c r="V179" i="12"/>
  <c r="W179" i="12"/>
  <c r="X179" i="12"/>
  <c r="AA179" i="12"/>
  <c r="AB179" i="12"/>
  <c r="AC179" i="12"/>
  <c r="AD179" i="12"/>
  <c r="AE179" i="12"/>
  <c r="AF179" i="12"/>
  <c r="R179" i="12"/>
  <c r="S177" i="12"/>
  <c r="T177" i="12"/>
  <c r="U177" i="12"/>
  <c r="W177" i="12"/>
  <c r="X177" i="12"/>
  <c r="Y177" i="12"/>
  <c r="AA177" i="12"/>
  <c r="AB177" i="12"/>
  <c r="AC177" i="12"/>
  <c r="AD177" i="12"/>
  <c r="AE177" i="12"/>
  <c r="AF177" i="12"/>
  <c r="S178" i="12"/>
  <c r="T178" i="12"/>
  <c r="U178" i="12"/>
  <c r="V178" i="12"/>
  <c r="W178" i="12"/>
  <c r="X178" i="12"/>
  <c r="Y178" i="12"/>
  <c r="AA178" i="12"/>
  <c r="AB178" i="12"/>
  <c r="AC178" i="12"/>
  <c r="AD178" i="12"/>
  <c r="AE178" i="12"/>
  <c r="AF178" i="12"/>
  <c r="R178" i="12"/>
  <c r="R177" i="12"/>
  <c r="T176" i="12"/>
  <c r="U176" i="12"/>
  <c r="W176" i="12"/>
  <c r="X176" i="12"/>
  <c r="Y176" i="12"/>
  <c r="AA176" i="12"/>
  <c r="AB176" i="12"/>
  <c r="AC176" i="12"/>
  <c r="AD176" i="12"/>
  <c r="AE176" i="12"/>
  <c r="AF176" i="12"/>
  <c r="S175" i="12"/>
  <c r="T175" i="12"/>
  <c r="U175" i="12"/>
  <c r="V175" i="12"/>
  <c r="W175" i="12"/>
  <c r="X175" i="12"/>
  <c r="Y175" i="12"/>
  <c r="AA175" i="12"/>
  <c r="AB175" i="12"/>
  <c r="AC175" i="12"/>
  <c r="AD175" i="12"/>
  <c r="AE175" i="12"/>
  <c r="AF175" i="12"/>
  <c r="Y174" i="12"/>
  <c r="AA174" i="12"/>
  <c r="AB174" i="12"/>
  <c r="AC174" i="12"/>
  <c r="AD174" i="12"/>
  <c r="AE174" i="12"/>
  <c r="AF174" i="12"/>
  <c r="S174" i="12"/>
  <c r="T174" i="12"/>
  <c r="U174" i="12"/>
  <c r="V174" i="12"/>
  <c r="X174" i="12"/>
  <c r="R174" i="12"/>
  <c r="S173" i="12"/>
  <c r="T173" i="12"/>
  <c r="U173" i="12"/>
  <c r="Y173" i="12"/>
  <c r="AA173" i="12"/>
  <c r="AB173" i="12"/>
  <c r="AC173" i="12"/>
  <c r="AD173" i="12"/>
  <c r="AE173" i="12"/>
  <c r="AF173" i="12"/>
  <c r="W171" i="12"/>
  <c r="T172" i="12"/>
  <c r="U172" i="12"/>
  <c r="V172" i="12"/>
  <c r="X172" i="12"/>
  <c r="Y172" i="12"/>
  <c r="AA172" i="12"/>
  <c r="AB172" i="12"/>
  <c r="AC172" i="12"/>
  <c r="AD172" i="12"/>
  <c r="AE172" i="12"/>
  <c r="AF172" i="12"/>
  <c r="U171" i="12"/>
  <c r="S171" i="12"/>
  <c r="T171" i="12"/>
  <c r="R171" i="12"/>
  <c r="V171" i="12"/>
  <c r="X171" i="12"/>
  <c r="Y171" i="12"/>
  <c r="AA171" i="12"/>
  <c r="AB171" i="12"/>
  <c r="AC171" i="12"/>
  <c r="AD171" i="12"/>
  <c r="AE171" i="12"/>
  <c r="AF171" i="12"/>
  <c r="K197" i="12"/>
  <c r="Z197" i="12" s="1"/>
  <c r="K196" i="12"/>
  <c r="Z196" i="12" s="1"/>
  <c r="K195" i="12"/>
  <c r="Z195" i="12" s="1"/>
  <c r="K194" i="12"/>
  <c r="Z194" i="12" s="1"/>
  <c r="K193" i="12"/>
  <c r="Z193" i="12" s="1"/>
  <c r="K192" i="12"/>
  <c r="Z192" i="12" s="1"/>
  <c r="K191" i="12"/>
  <c r="Z191" i="12" s="1"/>
  <c r="K190" i="12"/>
  <c r="Z190" i="12" s="1"/>
  <c r="K189" i="12"/>
  <c r="Z189" i="12" s="1"/>
  <c r="K188" i="12"/>
  <c r="Z188" i="12" s="1"/>
  <c r="K187" i="12"/>
  <c r="Z187" i="12" s="1"/>
  <c r="K186" i="12"/>
  <c r="Z186" i="12" s="1"/>
  <c r="K185" i="12"/>
  <c r="Z185" i="12" s="1"/>
  <c r="K184" i="12"/>
  <c r="Z184" i="12" s="1"/>
  <c r="K183" i="12"/>
  <c r="Z183" i="12" s="1"/>
  <c r="K182" i="12"/>
  <c r="Z182" i="12" s="1"/>
  <c r="K181" i="12"/>
  <c r="Z181" i="12" s="1"/>
  <c r="K180" i="12"/>
  <c r="Z180" i="12" s="1"/>
  <c r="K179" i="12"/>
  <c r="Z179" i="12" s="1"/>
  <c r="K178" i="12"/>
  <c r="Z178" i="12" s="1"/>
  <c r="K177" i="12"/>
  <c r="Z177" i="12" s="1"/>
  <c r="K176" i="12"/>
  <c r="Z176" i="12" s="1"/>
  <c r="K175" i="12"/>
  <c r="Z175" i="12" s="1"/>
  <c r="K174" i="12"/>
  <c r="Z174" i="12" s="1"/>
  <c r="K173" i="12"/>
  <c r="Z173" i="12" s="1"/>
  <c r="K172" i="12"/>
  <c r="Z172" i="12" s="1"/>
  <c r="K171" i="12"/>
  <c r="Z171" i="12" s="1"/>
  <c r="T162" i="12" a="1"/>
  <c r="T162" i="12" s="1"/>
  <c r="S162" i="12" a="1"/>
  <c r="S162" i="12" s="1"/>
  <c r="U162" i="12"/>
  <c r="K162" i="12"/>
  <c r="B3" i="21"/>
  <c r="E3" i="21" s="1"/>
  <c r="S51" i="5" a="1"/>
  <c r="S51" i="5"/>
  <c r="R58" i="5" a="1"/>
  <c r="R58" i="5"/>
  <c r="S58" i="5"/>
  <c r="V113" i="5" a="1"/>
  <c r="V113" i="5"/>
  <c r="AH113" i="5" a="1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G113" i="5" a="1"/>
  <c r="AG113" i="5"/>
  <c r="AG114" i="5"/>
  <c r="W113" i="5" a="1"/>
  <c r="W113" i="5"/>
  <c r="X113" i="5" a="1"/>
  <c r="X113" i="5"/>
  <c r="Y113" i="5" a="1"/>
  <c r="Y113" i="5"/>
  <c r="Z113" i="5" a="1"/>
  <c r="Z113" i="5"/>
  <c r="AA113" i="5" a="1"/>
  <c r="AA113" i="5" s="1"/>
  <c r="AB113" i="5" a="1"/>
  <c r="AB113" i="5" s="1"/>
  <c r="AC113" i="5" a="1"/>
  <c r="AC113" i="5" s="1"/>
  <c r="AD113" i="5" a="1"/>
  <c r="AD113" i="5" s="1"/>
  <c r="AE113" i="5" a="1"/>
  <c r="AE113" i="5" s="1"/>
  <c r="AF113" i="5" a="1"/>
  <c r="AF113" i="5" s="1"/>
  <c r="U113" i="5" a="1"/>
  <c r="U113" i="5" s="1"/>
  <c r="T113" i="5" a="1"/>
  <c r="T113" i="5" s="1"/>
  <c r="S113" i="5" a="1"/>
  <c r="S113" i="5"/>
  <c r="R113" i="5" a="1"/>
  <c r="R113" i="5"/>
  <c r="AH51" i="5" a="1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G51" i="5" a="1"/>
  <c r="AG51" i="5"/>
  <c r="AG52" i="5"/>
  <c r="V51" i="5" a="1"/>
  <c r="V51" i="5" s="1"/>
  <c r="U51" i="5" a="1"/>
  <c r="U51" i="5" s="1"/>
  <c r="W51" i="5" a="1"/>
  <c r="W51" i="5"/>
  <c r="X51" i="5" a="1"/>
  <c r="X51" i="5"/>
  <c r="Y51" i="5" a="1"/>
  <c r="Y51" i="5" s="1"/>
  <c r="Z51" i="5" a="1"/>
  <c r="Z51" i="5" s="1"/>
  <c r="AA51" i="5" a="1"/>
  <c r="AA51" i="5" s="1"/>
  <c r="AB51" i="5" a="1"/>
  <c r="AB51" i="5" s="1"/>
  <c r="AC51" i="5" a="1"/>
  <c r="AC51" i="5" s="1"/>
  <c r="AD51" i="5" a="1"/>
  <c r="AD51" i="5" s="1"/>
  <c r="AE51" i="5" a="1"/>
  <c r="AE51" i="5" s="1"/>
  <c r="AF51" i="5" a="1"/>
  <c r="AF51" i="5" s="1"/>
  <c r="T51" i="5" a="1"/>
  <c r="T51" i="5" s="1"/>
  <c r="R51" i="5" a="1"/>
  <c r="R51" i="5"/>
  <c r="Z58" i="5" a="1"/>
  <c r="Z58" i="5"/>
  <c r="T59" i="5" a="1"/>
  <c r="T59" i="5"/>
  <c r="T58" i="5" a="1"/>
  <c r="T58" i="5"/>
  <c r="AH59" i="5" a="1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G59" i="5" a="1"/>
  <c r="AG59" i="5"/>
  <c r="AE59" i="5" a="1"/>
  <c r="AE59" i="5"/>
  <c r="AD59" i="5" a="1"/>
  <c r="AD59" i="5"/>
  <c r="AC59" i="5" a="1"/>
  <c r="AC59" i="5"/>
  <c r="AB59" i="5" a="1"/>
  <c r="AB59" i="5"/>
  <c r="AA59" i="5" a="1"/>
  <c r="AA59" i="5"/>
  <c r="Z59" i="5" a="1"/>
  <c r="Z59" i="5"/>
  <c r="Y59" i="5" a="1"/>
  <c r="Y59" i="5"/>
  <c r="X59" i="5" a="1"/>
  <c r="X59" i="5"/>
  <c r="W59" i="5" a="1"/>
  <c r="W59" i="5"/>
  <c r="V59" i="5" a="1"/>
  <c r="V59" i="5"/>
  <c r="U59" i="5" a="1"/>
  <c r="U59" i="5"/>
  <c r="R59" i="5" a="1"/>
  <c r="R59" i="5"/>
  <c r="S59" i="5"/>
  <c r="AH58" i="5" a="1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G58" i="5" a="1"/>
  <c r="AG58" i="5"/>
  <c r="Y58" i="5" a="1"/>
  <c r="Y58" i="5"/>
  <c r="AE58" i="5" a="1"/>
  <c r="AE58" i="5"/>
  <c r="U58" i="5" a="1"/>
  <c r="U58" i="5"/>
  <c r="V58" i="5" a="1"/>
  <c r="V58" i="5"/>
  <c r="W58" i="5" a="1"/>
  <c r="W58" i="5"/>
  <c r="X58" i="5" a="1"/>
  <c r="X58" i="5"/>
  <c r="AA58" i="5" a="1"/>
  <c r="AA58" i="5"/>
  <c r="AB58" i="5" a="1"/>
  <c r="AB58" i="5"/>
  <c r="AC58" i="5" a="1"/>
  <c r="AC58" i="5"/>
  <c r="AD58" i="5" a="1"/>
  <c r="AD58" i="5"/>
  <c r="AF58" i="5" a="1"/>
  <c r="AF58" i="5" s="1"/>
  <c r="B14" i="21"/>
  <c r="D14" i="21"/>
  <c r="Z86" i="5"/>
  <c r="R86" i="5"/>
  <c r="Y86" i="5"/>
  <c r="W86" i="5"/>
  <c r="V86" i="5"/>
  <c r="U86" i="5"/>
  <c r="T86" i="5"/>
  <c r="S86" i="5"/>
  <c r="AH86" i="5" a="1"/>
  <c r="AG86" i="5" a="1"/>
  <c r="AG86" i="5"/>
  <c r="X86" i="5"/>
  <c r="AA86" i="5"/>
  <c r="AB86" i="5"/>
  <c r="AC86" i="5"/>
  <c r="AD86" i="5"/>
  <c r="AE86" i="5"/>
  <c r="AF86" i="5"/>
  <c r="R55" i="5"/>
  <c r="AD55" i="5"/>
  <c r="AH94" i="5" a="1"/>
  <c r="AG94" i="5"/>
  <c r="S94" i="5"/>
  <c r="T94" i="5"/>
  <c r="U94" i="5"/>
  <c r="V94" i="5"/>
  <c r="W94" i="5"/>
  <c r="X94" i="5"/>
  <c r="Y94" i="5"/>
  <c r="Z94" i="5"/>
  <c r="AA94" i="5"/>
  <c r="AB94" i="5"/>
  <c r="AC94" i="5"/>
  <c r="AD94" i="5"/>
  <c r="AF94" i="5"/>
  <c r="R94" i="5"/>
  <c r="AE94" i="5" s="1"/>
  <c r="AH55" i="5" a="1"/>
  <c r="AG55" i="5"/>
  <c r="X55" i="5"/>
  <c r="Y55" i="5"/>
  <c r="Z55" i="5"/>
  <c r="AA55" i="5"/>
  <c r="AB55" i="5"/>
  <c r="AC55" i="5"/>
  <c r="AE55" i="5"/>
  <c r="W55" i="5"/>
  <c r="V55" i="5"/>
  <c r="U55" i="5"/>
  <c r="T55" i="5"/>
  <c r="S55" i="5"/>
  <c r="AF55" i="5" s="1"/>
  <c r="R42" i="5"/>
  <c r="AF42" i="5" s="1"/>
  <c r="H56" i="19" a="1"/>
  <c r="H56" i="19" s="1"/>
  <c r="H50" i="19" a="1"/>
  <c r="I50" i="19" a="1"/>
  <c r="K50" i="19" a="1"/>
  <c r="K50" i="19" s="1"/>
  <c r="J50" i="19" a="1"/>
  <c r="J50" i="19" s="1"/>
  <c r="W43" i="5" a="1"/>
  <c r="W43" i="5" s="1"/>
  <c r="X43" i="5" a="1"/>
  <c r="X43" i="5" s="1"/>
  <c r="AH43" i="5" a="1"/>
  <c r="AG43" i="5" a="1"/>
  <c r="AG43" i="5"/>
  <c r="AA43" i="5" a="1"/>
  <c r="AA43" i="5" s="1"/>
  <c r="AB43" i="5" a="1"/>
  <c r="AB43" i="5" s="1"/>
  <c r="AC43" i="5" a="1"/>
  <c r="AC43" i="5"/>
  <c r="AD43" i="5" a="1"/>
  <c r="AD43" i="5" s="1"/>
  <c r="AE43" i="5" a="1"/>
  <c r="AE43" i="5" s="1"/>
  <c r="AF43" i="5" a="1"/>
  <c r="AF43" i="5" s="1"/>
  <c r="V43" i="5" a="1"/>
  <c r="V43" i="5" s="1"/>
  <c r="S43" i="5" a="1"/>
  <c r="S43" i="5" s="1"/>
  <c r="T43" i="5" a="1"/>
  <c r="T43" i="5" s="1"/>
  <c r="U43" i="5" a="1"/>
  <c r="U43" i="5" s="1"/>
  <c r="Y43" i="5" a="1"/>
  <c r="Y43" i="5" s="1"/>
  <c r="Z43" i="5" a="1"/>
  <c r="Z43" i="5" s="1"/>
  <c r="R43" i="5" a="1"/>
  <c r="R43" i="5" s="1"/>
  <c r="X40" i="5"/>
  <c r="S40" i="5"/>
  <c r="R40" i="5"/>
  <c r="W38" i="5"/>
  <c r="S38" i="5"/>
  <c r="Y41" i="5"/>
  <c r="AH38" i="5" a="1"/>
  <c r="AH39" i="5" a="1"/>
  <c r="AH41" i="5" a="1"/>
  <c r="S41" i="5"/>
  <c r="T41" i="5"/>
  <c r="U41" i="5"/>
  <c r="V41" i="5"/>
  <c r="W41" i="5"/>
  <c r="X41" i="5"/>
  <c r="Z41" i="5"/>
  <c r="AA41" i="5"/>
  <c r="AB41" i="5"/>
  <c r="AC41" i="5"/>
  <c r="AD41" i="5"/>
  <c r="AE41" i="5"/>
  <c r="AF41" i="5"/>
  <c r="AG41" i="5" a="1"/>
  <c r="AG41" i="5" s="1"/>
  <c r="AG39" i="5" a="1"/>
  <c r="AG39" i="5" s="1"/>
  <c r="AG38" i="5" a="1"/>
  <c r="AG38" i="5" s="1"/>
  <c r="U38" i="5"/>
  <c r="V38" i="5"/>
  <c r="X38" i="5"/>
  <c r="Y38" i="5"/>
  <c r="Z38" i="5"/>
  <c r="AA38" i="5"/>
  <c r="AB38" i="5"/>
  <c r="AC38" i="5"/>
  <c r="AD38" i="5"/>
  <c r="AE38" i="5"/>
  <c r="AF38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R39" i="5"/>
  <c r="T38" i="5"/>
  <c r="R38" i="5"/>
  <c r="AH40" i="5" a="1"/>
  <c r="AG40" i="5" a="1"/>
  <c r="AG40" i="5" s="1"/>
  <c r="T40" i="5"/>
  <c r="U40" i="5"/>
  <c r="V40" i="5"/>
  <c r="W40" i="5"/>
  <c r="Y40" i="5"/>
  <c r="Z40" i="5"/>
  <c r="AA40" i="5"/>
  <c r="AB40" i="5"/>
  <c r="AC40" i="5"/>
  <c r="AD40" i="5"/>
  <c r="AE40" i="5"/>
  <c r="AF40" i="5"/>
  <c r="Y42" i="5"/>
  <c r="V121" i="5"/>
  <c r="U121" i="5"/>
  <c r="Z121" i="5"/>
  <c r="AA121" i="5"/>
  <c r="AB121" i="5"/>
  <c r="R121" i="5"/>
  <c r="AH121" i="5" a="1"/>
  <c r="AG121" i="5" a="1"/>
  <c r="AG121" i="5" s="1"/>
  <c r="Y121" i="5"/>
  <c r="AC121" i="5"/>
  <c r="AD121" i="5"/>
  <c r="AE121" i="5"/>
  <c r="X121" i="5"/>
  <c r="W121" i="5"/>
  <c r="T121" i="5"/>
  <c r="S121" i="5"/>
  <c r="AF121" i="5" s="1"/>
  <c r="AH120" i="5" a="1"/>
  <c r="AG120" i="5" a="1"/>
  <c r="AG120" i="5" s="1"/>
  <c r="AA120" i="5"/>
  <c r="AB120" i="5"/>
  <c r="AC120" i="5"/>
  <c r="AD120" i="5"/>
  <c r="AE120" i="5"/>
  <c r="AF120" i="5"/>
  <c r="Z120" i="5"/>
  <c r="Y120" i="5"/>
  <c r="X120" i="5"/>
  <c r="W120" i="5"/>
  <c r="V120" i="5"/>
  <c r="U120" i="5"/>
  <c r="T120" i="5"/>
  <c r="S120" i="5"/>
  <c r="R120" i="5"/>
  <c r="X115" i="5"/>
  <c r="AG115" i="5" a="1"/>
  <c r="AG115" i="5" s="1"/>
  <c r="S115" i="5"/>
  <c r="T115" i="5"/>
  <c r="U115" i="5"/>
  <c r="V115" i="5"/>
  <c r="W115" i="5"/>
  <c r="Y115" i="5"/>
  <c r="Z115" i="5"/>
  <c r="AA115" i="5"/>
  <c r="AB115" i="5"/>
  <c r="AC115" i="5"/>
  <c r="AD115" i="5"/>
  <c r="AE115" i="5"/>
  <c r="AF115" i="5"/>
  <c r="R115" i="5"/>
  <c r="AH115" i="5" s="1" a="1"/>
  <c r="AH101" i="5" a="1"/>
  <c r="AG101" i="5" a="1"/>
  <c r="AG101" i="5" s="1"/>
  <c r="AA101" i="5"/>
  <c r="AB101" i="5"/>
  <c r="AC101" i="5"/>
  <c r="AD101" i="5"/>
  <c r="Z101" i="5"/>
  <c r="Y101" i="5"/>
  <c r="X101" i="5"/>
  <c r="W101" i="5"/>
  <c r="V101" i="5"/>
  <c r="U101" i="5"/>
  <c r="T101" i="5"/>
  <c r="S101" i="5"/>
  <c r="AF101" i="5" s="1"/>
  <c r="R101" i="5"/>
  <c r="AE101" i="5" s="1"/>
  <c r="W96" i="5"/>
  <c r="AH96" i="5" a="1"/>
  <c r="AG96" i="5" a="1"/>
  <c r="AG96" i="5" s="1"/>
  <c r="R96" i="5"/>
  <c r="S96" i="5"/>
  <c r="AF96" i="5" s="1"/>
  <c r="T96" i="5"/>
  <c r="U96" i="5"/>
  <c r="V96" i="5"/>
  <c r="X96" i="5"/>
  <c r="Y96" i="5"/>
  <c r="Z96" i="5"/>
  <c r="AA96" i="5"/>
  <c r="AB96" i="5"/>
  <c r="AC96" i="5"/>
  <c r="AD96" i="5"/>
  <c r="AE96" i="5"/>
  <c r="AH93" i="5" a="1"/>
  <c r="AG93" i="5" a="1"/>
  <c r="AG93" i="5" s="1"/>
  <c r="AA93" i="5"/>
  <c r="AB93" i="5"/>
  <c r="AC93" i="5"/>
  <c r="AD93" i="5"/>
  <c r="AE93" i="5"/>
  <c r="AF93" i="5"/>
  <c r="Z93" i="5"/>
  <c r="Y93" i="5"/>
  <c r="X93" i="5"/>
  <c r="W93" i="5"/>
  <c r="V93" i="5"/>
  <c r="U93" i="5"/>
  <c r="T93" i="5"/>
  <c r="S93" i="5"/>
  <c r="R93" i="5"/>
  <c r="AH92" i="5" a="1"/>
  <c r="AG92" i="5" a="1"/>
  <c r="AG92" i="5" s="1"/>
  <c r="AA92" i="5"/>
  <c r="AB92" i="5"/>
  <c r="AC92" i="5"/>
  <c r="AD92" i="5"/>
  <c r="AE92" i="5"/>
  <c r="AF92" i="5"/>
  <c r="Z92" i="5"/>
  <c r="Y92" i="5"/>
  <c r="X92" i="5"/>
  <c r="W92" i="5"/>
  <c r="V92" i="5"/>
  <c r="U92" i="5"/>
  <c r="T92" i="5"/>
  <c r="S92" i="5"/>
  <c r="R92" i="5"/>
  <c r="R91" i="5"/>
  <c r="W91" i="5"/>
  <c r="V91" i="5"/>
  <c r="U91" i="5"/>
  <c r="T91" i="5"/>
  <c r="AH91" i="5" a="1"/>
  <c r="AG91" i="5" a="1"/>
  <c r="AG91" i="5" s="1"/>
  <c r="AE91" i="5"/>
  <c r="AD91" i="5"/>
  <c r="AC91" i="5"/>
  <c r="AB91" i="5"/>
  <c r="AA91" i="5"/>
  <c r="Z91" i="5"/>
  <c r="Y91" i="5"/>
  <c r="X91" i="5"/>
  <c r="S91" i="5"/>
  <c r="AF91" i="5" s="1"/>
  <c r="S89" i="5"/>
  <c r="S88" i="5"/>
  <c r="AH90" i="5" a="1"/>
  <c r="AG90" i="5" a="1"/>
  <c r="AG90" i="5" s="1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AH89" i="5" a="1"/>
  <c r="AG89" i="5" a="1"/>
  <c r="AG89" i="5" s="1"/>
  <c r="W89" i="5"/>
  <c r="AA89" i="5"/>
  <c r="AB89" i="5"/>
  <c r="AC89" i="5"/>
  <c r="AD89" i="5"/>
  <c r="AE89" i="5"/>
  <c r="AF89" i="5"/>
  <c r="Z89" i="5"/>
  <c r="Y89" i="5"/>
  <c r="U89" i="5"/>
  <c r="T89" i="5"/>
  <c r="Z37" i="5"/>
  <c r="X89" i="5"/>
  <c r="V89" i="5"/>
  <c r="R89" i="5"/>
  <c r="AH85" i="5" a="1"/>
  <c r="AG85" i="5" a="1"/>
  <c r="AG85" i="5" s="1"/>
  <c r="AA85" i="5"/>
  <c r="AB85" i="5"/>
  <c r="AC85" i="5"/>
  <c r="AD85" i="5"/>
  <c r="AE85" i="5"/>
  <c r="AF85" i="5"/>
  <c r="Z85" i="5"/>
  <c r="Y85" i="5"/>
  <c r="X85" i="5"/>
  <c r="W85" i="5"/>
  <c r="V85" i="5"/>
  <c r="U85" i="5"/>
  <c r="T85" i="5"/>
  <c r="S85" i="5"/>
  <c r="R85" i="5"/>
  <c r="AH84" i="5" a="1"/>
  <c r="AG84" i="5" a="1"/>
  <c r="AG84" i="5" s="1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R84" i="5"/>
  <c r="AH83" i="5" a="1"/>
  <c r="AH82" i="5" a="1"/>
  <c r="AG83" i="5" a="1"/>
  <c r="AG83" i="5" s="1"/>
  <c r="AG82" i="5" a="1"/>
  <c r="AG82" i="5" s="1"/>
  <c r="AB82" i="5"/>
  <c r="S82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R83" i="5"/>
  <c r="AF83" i="5" s="1"/>
  <c r="T82" i="5"/>
  <c r="U82" i="5"/>
  <c r="V82" i="5"/>
  <c r="W82" i="5"/>
  <c r="X82" i="5"/>
  <c r="Y82" i="5"/>
  <c r="Z82" i="5"/>
  <c r="AA82" i="5"/>
  <c r="AC82" i="5"/>
  <c r="AD82" i="5"/>
  <c r="AE82" i="5"/>
  <c r="R82" i="5"/>
  <c r="AF82" i="5" s="1"/>
  <c r="Y80" i="5"/>
  <c r="Y81" i="5" a="1"/>
  <c r="X81" i="5"/>
  <c r="W81" i="5"/>
  <c r="V81" i="5"/>
  <c r="U81" i="5"/>
  <c r="T81" i="5"/>
  <c r="S81" i="5"/>
  <c r="R81" i="5"/>
  <c r="Z80" i="5" a="1"/>
  <c r="X80" i="5"/>
  <c r="W80" i="5"/>
  <c r="V80" i="5"/>
  <c r="U80" i="5"/>
  <c r="T80" i="5"/>
  <c r="S80" i="5"/>
  <c r="R80" i="5"/>
  <c r="Y77" i="5"/>
  <c r="Y78" i="5"/>
  <c r="S77" i="5"/>
  <c r="U77" i="5"/>
  <c r="T77" i="5"/>
  <c r="AH77" i="5" a="1"/>
  <c r="AG77" i="5" a="1"/>
  <c r="AG77" i="5" s="1"/>
  <c r="AA77" i="5"/>
  <c r="AB77" i="5"/>
  <c r="AC77" i="5"/>
  <c r="AD77" i="5"/>
  <c r="AF77" i="5"/>
  <c r="Z77" i="5"/>
  <c r="X77" i="5"/>
  <c r="W77" i="5"/>
  <c r="V77" i="5"/>
  <c r="R77" i="5"/>
  <c r="AE77" i="5" s="1"/>
  <c r="AI69" i="5" a="1"/>
  <c r="AI69" i="5" s="1"/>
  <c r="AH69" i="5" a="1"/>
  <c r="AH69" i="5" s="1"/>
  <c r="U71" i="5"/>
  <c r="S3" i="5"/>
  <c r="S71" i="5"/>
  <c r="T69" i="5" a="1"/>
  <c r="T69" i="5" s="1"/>
  <c r="T54" i="5"/>
  <c r="W54" i="5"/>
  <c r="R54" i="5"/>
  <c r="AH72" i="5" a="1"/>
  <c r="AG72" i="5" a="1"/>
  <c r="AG72" i="5" s="1"/>
  <c r="AA72" i="5"/>
  <c r="AB72" i="5"/>
  <c r="AC72" i="5"/>
  <c r="AD72" i="5"/>
  <c r="AE72" i="5"/>
  <c r="AF72" i="5"/>
  <c r="Z72" i="5"/>
  <c r="Y72" i="5"/>
  <c r="X72" i="5"/>
  <c r="W72" i="5"/>
  <c r="V72" i="5"/>
  <c r="U72" i="5"/>
  <c r="T72" i="5"/>
  <c r="S72" i="5"/>
  <c r="R72" i="5"/>
  <c r="AH71" i="5" a="1"/>
  <c r="AG71" i="5" a="1"/>
  <c r="AG71" i="5" s="1"/>
  <c r="AA71" i="5"/>
  <c r="AB71" i="5"/>
  <c r="AC71" i="5"/>
  <c r="AD71" i="5"/>
  <c r="AE71" i="5"/>
  <c r="AF71" i="5"/>
  <c r="Z71" i="5"/>
  <c r="Y71" i="5"/>
  <c r="X71" i="5"/>
  <c r="W71" i="5"/>
  <c r="V71" i="5"/>
  <c r="T71" i="5"/>
  <c r="R71" i="5"/>
  <c r="AG69" i="5" a="1"/>
  <c r="AG69" i="5" s="1"/>
  <c r="AA69" i="5" a="1"/>
  <c r="AA69" i="5" s="1"/>
  <c r="AB69" i="5" a="1"/>
  <c r="AB69" i="5" s="1"/>
  <c r="AC69" i="5" a="1"/>
  <c r="AC69" i="5" s="1"/>
  <c r="AD69" i="5" a="1"/>
  <c r="AD69" i="5" s="1"/>
  <c r="AE69" i="5" a="1"/>
  <c r="AE69" i="5" s="1"/>
  <c r="AF69" i="5" a="1"/>
  <c r="AF69" i="5" s="1"/>
  <c r="Z69" i="5" a="1"/>
  <c r="Z69" i="5" s="1"/>
  <c r="Y69" i="5" a="1"/>
  <c r="Y69" i="5" s="1"/>
  <c r="X69" i="5" a="1"/>
  <c r="X69" i="5" s="1"/>
  <c r="W69" i="5" a="1"/>
  <c r="W69" i="5" s="1"/>
  <c r="V69" i="5" a="1"/>
  <c r="V69" i="5" s="1"/>
  <c r="U69" i="5" a="1"/>
  <c r="U69" i="5" s="1"/>
  <c r="S69" i="5" a="1"/>
  <c r="S69" i="5" s="1"/>
  <c r="R69" i="5" a="1"/>
  <c r="R69" i="5" s="1"/>
  <c r="AH54" i="5" a="1"/>
  <c r="AG54" i="5" a="1"/>
  <c r="AG54" i="5" s="1"/>
  <c r="AA54" i="5"/>
  <c r="AB54" i="5"/>
  <c r="AC54" i="5"/>
  <c r="AD54" i="5"/>
  <c r="AE54" i="5"/>
  <c r="AF54" i="5"/>
  <c r="Z54" i="5"/>
  <c r="Y54" i="5"/>
  <c r="X54" i="5"/>
  <c r="V54" i="5"/>
  <c r="U54" i="5"/>
  <c r="S54" i="5"/>
  <c r="AH56" i="5" a="1"/>
  <c r="AG56" i="5" a="1"/>
  <c r="AG56" i="5" s="1"/>
  <c r="AA56" i="5"/>
  <c r="AB56" i="5"/>
  <c r="AC56" i="5"/>
  <c r="AD56" i="5"/>
  <c r="AE56" i="5"/>
  <c r="AF56" i="5"/>
  <c r="Z56" i="5"/>
  <c r="Y56" i="5"/>
  <c r="X56" i="5"/>
  <c r="W56" i="5"/>
  <c r="V56" i="5"/>
  <c r="U56" i="5"/>
  <c r="T56" i="5"/>
  <c r="S56" i="5"/>
  <c r="R56" i="5"/>
  <c r="V53" i="5"/>
  <c r="AH53" i="5" a="1"/>
  <c r="AG53" i="5" a="1"/>
  <c r="AG53" i="5" s="1"/>
  <c r="AA53" i="5"/>
  <c r="AB53" i="5"/>
  <c r="AC53" i="5"/>
  <c r="AD53" i="5"/>
  <c r="AE53" i="5"/>
  <c r="AF53" i="5"/>
  <c r="Z53" i="5"/>
  <c r="Y53" i="5"/>
  <c r="X53" i="5"/>
  <c r="W53" i="5"/>
  <c r="U53" i="5"/>
  <c r="T53" i="5"/>
  <c r="S53" i="5"/>
  <c r="R53" i="5"/>
  <c r="T50" i="5"/>
  <c r="S50" i="5"/>
  <c r="AG50" i="5" a="1"/>
  <c r="AG50" i="5" s="1"/>
  <c r="AH50" i="5" a="1"/>
  <c r="AA50" i="5"/>
  <c r="AB50" i="5"/>
  <c r="AC50" i="5"/>
  <c r="AD50" i="5"/>
  <c r="AE50" i="5"/>
  <c r="AF50" i="5"/>
  <c r="Z50" i="5"/>
  <c r="Y50" i="5"/>
  <c r="X50" i="5"/>
  <c r="W50" i="5"/>
  <c r="V50" i="5"/>
  <c r="U50" i="5"/>
  <c r="R50" i="5"/>
  <c r="AH49" i="5" a="1"/>
  <c r="AG49" i="5" a="1"/>
  <c r="AG49" i="5" s="1"/>
  <c r="AF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R49" i="5"/>
  <c r="W46" i="5"/>
  <c r="V44" i="5"/>
  <c r="X44" i="5"/>
  <c r="AH48" i="5" a="1"/>
  <c r="AH47" i="5" a="1"/>
  <c r="AG47" i="5" a="1"/>
  <c r="AG47" i="5" s="1"/>
  <c r="AG48" i="5" a="1"/>
  <c r="AG48" i="5" s="1"/>
  <c r="AF48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T48" i="5"/>
  <c r="U48" i="5"/>
  <c r="V48" i="5"/>
  <c r="W48" i="5"/>
  <c r="X48" i="5"/>
  <c r="Y48" i="5"/>
  <c r="Z48" i="5"/>
  <c r="AA48" i="5"/>
  <c r="AB48" i="5"/>
  <c r="AC48" i="5"/>
  <c r="AD48" i="5"/>
  <c r="AE48" i="5"/>
  <c r="S48" i="5"/>
  <c r="R48" i="5"/>
  <c r="S47" i="5"/>
  <c r="R47" i="5"/>
  <c r="AH46" i="5" a="1"/>
  <c r="AG46" i="5" a="1"/>
  <c r="AG46" i="5" s="1"/>
  <c r="AA46" i="5"/>
  <c r="AB46" i="5"/>
  <c r="AC46" i="5"/>
  <c r="AD46" i="5"/>
  <c r="AE46" i="5"/>
  <c r="AF46" i="5"/>
  <c r="Z46" i="5"/>
  <c r="Y46" i="5"/>
  <c r="X46" i="5"/>
  <c r="V46" i="5"/>
  <c r="U46" i="5"/>
  <c r="T46" i="5"/>
  <c r="S46" i="5"/>
  <c r="R46" i="5"/>
  <c r="AH45" i="5" a="1"/>
  <c r="AG45" i="5" a="1"/>
  <c r="AG45" i="5"/>
  <c r="AA45" i="5"/>
  <c r="AB45" i="5"/>
  <c r="AC45" i="5"/>
  <c r="AD45" i="5"/>
  <c r="AE45" i="5"/>
  <c r="AF45" i="5"/>
  <c r="Z45" i="5"/>
  <c r="Y45" i="5"/>
  <c r="X45" i="5"/>
  <c r="W45" i="5"/>
  <c r="V45" i="5"/>
  <c r="U45" i="5"/>
  <c r="T45" i="5"/>
  <c r="S45" i="5"/>
  <c r="R45" i="5"/>
  <c r="R30" i="5"/>
  <c r="AH44" i="5" a="1"/>
  <c r="AG44" i="5" a="1"/>
  <c r="AG44" i="5" s="1"/>
  <c r="S44" i="5"/>
  <c r="T44" i="5"/>
  <c r="U44" i="5"/>
  <c r="W44" i="5"/>
  <c r="Y44" i="5"/>
  <c r="Z44" i="5"/>
  <c r="AA44" i="5"/>
  <c r="AB44" i="5"/>
  <c r="AC44" i="5"/>
  <c r="AD44" i="5"/>
  <c r="AE44" i="5"/>
  <c r="AF44" i="5"/>
  <c r="R44" i="5"/>
  <c r="AH28" i="5" a="1"/>
  <c r="AG28" i="5" a="1"/>
  <c r="AG28" i="5" s="1"/>
  <c r="AA28" i="5"/>
  <c r="AB28" i="5"/>
  <c r="AC28" i="5"/>
  <c r="AD28" i="5"/>
  <c r="AE28" i="5"/>
  <c r="AF28" i="5"/>
  <c r="Z28" i="5"/>
  <c r="Y28" i="5"/>
  <c r="X28" i="5"/>
  <c r="W28" i="5"/>
  <c r="V28" i="5"/>
  <c r="U28" i="5"/>
  <c r="T28" i="5"/>
  <c r="S28" i="5"/>
  <c r="R28" i="5"/>
  <c r="AG3" i="5"/>
  <c r="W3" i="5"/>
  <c r="V3" i="5"/>
  <c r="AH3" i="5" a="1"/>
  <c r="AG4" i="5" a="1"/>
  <c r="AG4" i="5" s="1"/>
  <c r="AA3" i="5"/>
  <c r="AB3" i="5"/>
  <c r="AC3" i="5"/>
  <c r="AD3" i="5"/>
  <c r="AE3" i="5"/>
  <c r="AF3" i="5"/>
  <c r="Z3" i="5"/>
  <c r="Y3" i="5"/>
  <c r="X3" i="5"/>
  <c r="U3" i="5"/>
  <c r="T3" i="5"/>
  <c r="R3" i="5"/>
  <c r="AG36" i="5" a="1"/>
  <c r="AG36" i="5" s="1"/>
  <c r="AG35" i="5" a="1"/>
  <c r="AG35" i="5" s="1"/>
  <c r="AH36" i="5" a="1"/>
  <c r="AH35" i="5" a="1"/>
  <c r="AF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R36" i="5"/>
  <c r="R35" i="5"/>
  <c r="AH29" i="5" a="1"/>
  <c r="AG29" i="5" a="1"/>
  <c r="AG29" i="5" s="1"/>
  <c r="AA29" i="5"/>
  <c r="AB29" i="5"/>
  <c r="AC29" i="5"/>
  <c r="AD29" i="5"/>
  <c r="AE29" i="5"/>
  <c r="AF29" i="5"/>
  <c r="Z29" i="5"/>
  <c r="Y29" i="5"/>
  <c r="X29" i="5"/>
  <c r="W29" i="5"/>
  <c r="V29" i="5"/>
  <c r="U29" i="5"/>
  <c r="T29" i="5"/>
  <c r="S29" i="5"/>
  <c r="R29" i="5"/>
  <c r="Y107" i="5" a="1"/>
  <c r="Y107" i="5" s="1"/>
  <c r="T107" i="5" a="1"/>
  <c r="T107" i="5" s="1"/>
  <c r="S107" i="5" a="1"/>
  <c r="S107" i="5" s="1"/>
  <c r="AF107" i="5" s="1" a="1"/>
  <c r="AF107" i="5" s="1"/>
  <c r="R102" i="5"/>
  <c r="W102" i="5"/>
  <c r="V102" i="5"/>
  <c r="S102" i="5"/>
  <c r="AH107" i="5" a="1"/>
  <c r="AG107" i="5" a="1"/>
  <c r="AG107" i="5" s="1"/>
  <c r="X107" i="5" a="1"/>
  <c r="X107" i="5" s="1"/>
  <c r="Z107" i="5" a="1"/>
  <c r="Z107" i="5" s="1"/>
  <c r="AA107" i="5" a="1"/>
  <c r="AA107" i="5" s="1"/>
  <c r="AB107" i="5" a="1"/>
  <c r="AB107" i="5" s="1"/>
  <c r="AC107" i="5" a="1"/>
  <c r="AC107" i="5" s="1"/>
  <c r="AD107" i="5" a="1"/>
  <c r="AD107" i="5" s="1"/>
  <c r="W107" i="5" a="1"/>
  <c r="W107" i="5" s="1"/>
  <c r="V107" i="5" a="1"/>
  <c r="V107" i="5" s="1"/>
  <c r="U107" i="5" a="1"/>
  <c r="U107" i="5" s="1"/>
  <c r="R107" i="5" a="1"/>
  <c r="R107" i="5" s="1"/>
  <c r="AE107" i="5" s="1" a="1"/>
  <c r="AE107" i="5" s="1"/>
  <c r="AH106" i="5" a="1"/>
  <c r="AG106" i="5" a="1"/>
  <c r="AG106" i="5" s="1"/>
  <c r="AA106" i="5"/>
  <c r="AB106" i="5"/>
  <c r="AC106" i="5"/>
  <c r="AD106" i="5"/>
  <c r="AE106" i="5"/>
  <c r="AF106" i="5"/>
  <c r="Z106" i="5"/>
  <c r="Y106" i="5"/>
  <c r="X106" i="5"/>
  <c r="W106" i="5"/>
  <c r="V106" i="5"/>
  <c r="U106" i="5"/>
  <c r="T106" i="5"/>
  <c r="S106" i="5"/>
  <c r="R106" i="5"/>
  <c r="AH105" i="5" a="1"/>
  <c r="AG105" i="5" a="1"/>
  <c r="AG105" i="5" s="1"/>
  <c r="AA105" i="5"/>
  <c r="AB105" i="5"/>
  <c r="AC105" i="5"/>
  <c r="AD105" i="5"/>
  <c r="AE105" i="5"/>
  <c r="AF105" i="5"/>
  <c r="Z105" i="5"/>
  <c r="Y105" i="5"/>
  <c r="X105" i="5"/>
  <c r="W105" i="5"/>
  <c r="V105" i="5"/>
  <c r="U105" i="5"/>
  <c r="T105" i="5"/>
  <c r="S105" i="5"/>
  <c r="R105" i="5"/>
  <c r="AH104" i="5" a="1"/>
  <c r="AG104" i="5" a="1"/>
  <c r="AG104" i="5" s="1"/>
  <c r="AA104" i="5"/>
  <c r="AB104" i="5"/>
  <c r="AC104" i="5"/>
  <c r="AD104" i="5"/>
  <c r="AE104" i="5"/>
  <c r="AF104" i="5"/>
  <c r="Z104" i="5"/>
  <c r="Y104" i="5"/>
  <c r="X104" i="5"/>
  <c r="W104" i="5"/>
  <c r="V104" i="5"/>
  <c r="U104" i="5"/>
  <c r="S104" i="5"/>
  <c r="R104" i="5"/>
  <c r="AH103" i="5" a="1"/>
  <c r="AG103" i="5" a="1"/>
  <c r="AG103" i="5" s="1"/>
  <c r="AA103" i="5"/>
  <c r="AB103" i="5"/>
  <c r="AC103" i="5"/>
  <c r="AD103" i="5"/>
  <c r="AE103" i="5"/>
  <c r="AF103" i="5"/>
  <c r="Z103" i="5"/>
  <c r="Y103" i="5"/>
  <c r="X103" i="5"/>
  <c r="W103" i="5"/>
  <c r="V103" i="5"/>
  <c r="U103" i="5"/>
  <c r="T103" i="5"/>
  <c r="S103" i="5"/>
  <c r="R103" i="5"/>
  <c r="AH102" i="5" a="1"/>
  <c r="AG102" i="5" a="1"/>
  <c r="AG102" i="5" s="1"/>
  <c r="AA102" i="5"/>
  <c r="AB102" i="5"/>
  <c r="AC102" i="5"/>
  <c r="AD102" i="5"/>
  <c r="AE102" i="5"/>
  <c r="AF102" i="5"/>
  <c r="Z102" i="5"/>
  <c r="Y102" i="5"/>
  <c r="X102" i="5"/>
  <c r="U102" i="5"/>
  <c r="T102" i="5"/>
  <c r="S34" i="5"/>
  <c r="AH34" i="5" a="1"/>
  <c r="AG34" i="5" a="1"/>
  <c r="AG34" i="5" s="1"/>
  <c r="AB34" i="5"/>
  <c r="AC34" i="5"/>
  <c r="AD34" i="5"/>
  <c r="AE34" i="5"/>
  <c r="AF34" i="5"/>
  <c r="AA34" i="5"/>
  <c r="Z34" i="5"/>
  <c r="Y34" i="5"/>
  <c r="X34" i="5"/>
  <c r="W34" i="5"/>
  <c r="V34" i="5"/>
  <c r="U34" i="5"/>
  <c r="T34" i="5"/>
  <c r="R34" i="5"/>
  <c r="AH33" i="5" a="1"/>
  <c r="AG33" i="5" a="1"/>
  <c r="AG33" i="5" s="1"/>
  <c r="AA33" i="5"/>
  <c r="AB33" i="5"/>
  <c r="AC33" i="5"/>
  <c r="AD33" i="5"/>
  <c r="AE33" i="5"/>
  <c r="AF33" i="5"/>
  <c r="Z33" i="5"/>
  <c r="Y33" i="5"/>
  <c r="X33" i="5"/>
  <c r="W33" i="5"/>
  <c r="V33" i="5"/>
  <c r="U33" i="5"/>
  <c r="T33" i="5"/>
  <c r="S33" i="5"/>
  <c r="AH32" i="5" a="1"/>
  <c r="AG32" i="5" a="1"/>
  <c r="AG32" i="5" s="1"/>
  <c r="AA32" i="5"/>
  <c r="AB32" i="5"/>
  <c r="AC32" i="5"/>
  <c r="AD32" i="5"/>
  <c r="AE32" i="5"/>
  <c r="AF32" i="5"/>
  <c r="Z32" i="5"/>
  <c r="Y32" i="5"/>
  <c r="X32" i="5"/>
  <c r="W32" i="5"/>
  <c r="V32" i="5"/>
  <c r="U32" i="5"/>
  <c r="T32" i="5"/>
  <c r="S32" i="5"/>
  <c r="AH31" i="5" a="1"/>
  <c r="AG31" i="5" a="1"/>
  <c r="AG31" i="5" s="1"/>
  <c r="AA31" i="5"/>
  <c r="AB31" i="5"/>
  <c r="AC31" i="5"/>
  <c r="AD31" i="5"/>
  <c r="AE31" i="5"/>
  <c r="AF31" i="5"/>
  <c r="Z31" i="5"/>
  <c r="Y31" i="5"/>
  <c r="X31" i="5"/>
  <c r="W31" i="5"/>
  <c r="V31" i="5"/>
  <c r="U31" i="5"/>
  <c r="T31" i="5"/>
  <c r="S31" i="5"/>
  <c r="R31" i="5"/>
  <c r="AH30" i="5" a="1"/>
  <c r="AG30" i="5" a="1"/>
  <c r="AG30" i="5" s="1"/>
  <c r="AA30" i="5"/>
  <c r="AB30" i="5"/>
  <c r="AC30" i="5"/>
  <c r="AD30" i="5"/>
  <c r="AE30" i="5"/>
  <c r="AF30" i="5"/>
  <c r="Z30" i="5"/>
  <c r="Y30" i="5"/>
  <c r="X30" i="5"/>
  <c r="W30" i="5"/>
  <c r="V30" i="5"/>
  <c r="U30" i="5"/>
  <c r="T30" i="5"/>
  <c r="S30" i="5"/>
  <c r="R33" i="5"/>
  <c r="R32" i="5"/>
  <c r="Y26" i="5"/>
  <c r="T26" i="5"/>
  <c r="AH27" i="5" a="1"/>
  <c r="AG27" i="5" a="1"/>
  <c r="AG27" i="5" s="1"/>
  <c r="W27" i="5"/>
  <c r="X27" i="5"/>
  <c r="Y27" i="5"/>
  <c r="Z27" i="5"/>
  <c r="AA27" i="5"/>
  <c r="AB27" i="5"/>
  <c r="AC27" i="5"/>
  <c r="AD27" i="5"/>
  <c r="V27" i="5"/>
  <c r="U27" i="5"/>
  <c r="T27" i="5"/>
  <c r="S27" i="5"/>
  <c r="AF27" i="5" s="1"/>
  <c r="R27" i="5"/>
  <c r="AE27" i="5" s="1"/>
  <c r="AH26" i="5" a="1"/>
  <c r="AG26" i="5" a="1"/>
  <c r="AG26" i="5" s="1"/>
  <c r="Z26" i="5"/>
  <c r="AA26" i="5"/>
  <c r="AB26" i="5"/>
  <c r="AC26" i="5"/>
  <c r="AD26" i="5"/>
  <c r="X26" i="5"/>
  <c r="W26" i="5"/>
  <c r="V26" i="5"/>
  <c r="U26" i="5"/>
  <c r="S26" i="5"/>
  <c r="AF26" i="5" s="1"/>
  <c r="R26" i="5"/>
  <c r="AE26" i="5" s="1"/>
  <c r="S19" i="5"/>
  <c r="X19" i="5"/>
  <c r="V19" i="5"/>
  <c r="AH19" i="5" a="1"/>
  <c r="AG19" i="5" a="1"/>
  <c r="AG19" i="5" s="1"/>
  <c r="AB19" i="5"/>
  <c r="AC19" i="5"/>
  <c r="AD19" i="5"/>
  <c r="AE19" i="5"/>
  <c r="AF19" i="5"/>
  <c r="AA19" i="5"/>
  <c r="Z19" i="5"/>
  <c r="Y19" i="5"/>
  <c r="W19" i="5"/>
  <c r="U19" i="5"/>
  <c r="T19" i="5"/>
  <c r="R19" i="5"/>
  <c r="AH18" i="5" a="1"/>
  <c r="AG18" i="5" a="1"/>
  <c r="AG18" i="5" s="1"/>
  <c r="AA18" i="5"/>
  <c r="AB18" i="5"/>
  <c r="AC18" i="5"/>
  <c r="AD18" i="5"/>
  <c r="AE18" i="5"/>
  <c r="AF18" i="5"/>
  <c r="Z18" i="5"/>
  <c r="Y18" i="5"/>
  <c r="X18" i="5"/>
  <c r="W18" i="5"/>
  <c r="V18" i="5"/>
  <c r="U18" i="5"/>
  <c r="T18" i="5"/>
  <c r="S18" i="5"/>
  <c r="R18" i="5"/>
  <c r="AD17" i="5"/>
  <c r="T17" i="5"/>
  <c r="S17" i="5"/>
  <c r="U17" i="5"/>
  <c r="V17" i="5"/>
  <c r="W17" i="5"/>
  <c r="R17" i="5"/>
  <c r="T74" i="5"/>
  <c r="Y14" i="5"/>
  <c r="AH17" i="5" a="1"/>
  <c r="AG17" i="5" a="1"/>
  <c r="AG17" i="5" s="1"/>
  <c r="X17" i="5"/>
  <c r="Y17" i="5"/>
  <c r="Z17" i="5"/>
  <c r="AA17" i="5"/>
  <c r="AB17" i="5"/>
  <c r="AC17" i="5"/>
  <c r="AE17" i="5"/>
  <c r="AF17" i="5"/>
  <c r="AH16" i="5" a="1"/>
  <c r="AG16" i="5" a="1"/>
  <c r="AG16" i="5" s="1"/>
  <c r="AA16" i="5"/>
  <c r="AB16" i="5"/>
  <c r="AC16" i="5"/>
  <c r="AD16" i="5"/>
  <c r="AE16" i="5"/>
  <c r="AF16" i="5"/>
  <c r="Z16" i="5"/>
  <c r="Y16" i="5"/>
  <c r="X16" i="5"/>
  <c r="W16" i="5"/>
  <c r="V16" i="5"/>
  <c r="U16" i="5"/>
  <c r="T16" i="5"/>
  <c r="S16" i="5"/>
  <c r="R16" i="5"/>
  <c r="AH15" i="5" a="1"/>
  <c r="AG15" i="5" a="1"/>
  <c r="AG15" i="5" s="1"/>
  <c r="AA15" i="5"/>
  <c r="AB15" i="5"/>
  <c r="AC15" i="5"/>
  <c r="AD15" i="5"/>
  <c r="AE15" i="5"/>
  <c r="AF15" i="5"/>
  <c r="Z15" i="5"/>
  <c r="Y15" i="5"/>
  <c r="X15" i="5"/>
  <c r="W15" i="5"/>
  <c r="V15" i="5"/>
  <c r="U15" i="5"/>
  <c r="T15" i="5"/>
  <c r="S15" i="5"/>
  <c r="R15" i="5"/>
  <c r="AH14" i="5" a="1"/>
  <c r="AG14" i="5" a="1"/>
  <c r="AG14" i="5" s="1"/>
  <c r="AA14" i="5"/>
  <c r="AB14" i="5"/>
  <c r="AC14" i="5"/>
  <c r="AD14" i="5"/>
  <c r="AE14" i="5"/>
  <c r="AF14" i="5"/>
  <c r="Z14" i="5"/>
  <c r="X14" i="5"/>
  <c r="W14" i="5"/>
  <c r="V14" i="5"/>
  <c r="U14" i="5"/>
  <c r="T14" i="5"/>
  <c r="S14" i="5"/>
  <c r="R14" i="5"/>
  <c r="AH13" i="5" a="1"/>
  <c r="AG13" i="5" a="1"/>
  <c r="AG13" i="5" s="1"/>
  <c r="AA13" i="5"/>
  <c r="AB13" i="5"/>
  <c r="AC13" i="5"/>
  <c r="AD13" i="5"/>
  <c r="AE13" i="5"/>
  <c r="AF13" i="5"/>
  <c r="Z13" i="5"/>
  <c r="Y13" i="5"/>
  <c r="X13" i="5"/>
  <c r="W13" i="5"/>
  <c r="V13" i="5"/>
  <c r="U13" i="5"/>
  <c r="T13" i="5"/>
  <c r="S13" i="5"/>
  <c r="R13" i="5"/>
  <c r="W11" i="5"/>
  <c r="T11" i="5"/>
  <c r="S11" i="5"/>
  <c r="S10" i="5"/>
  <c r="V11" i="5"/>
  <c r="U11" i="5"/>
  <c r="AG11" i="5" a="1"/>
  <c r="AG11" i="5" s="1"/>
  <c r="AH11" i="5" a="1"/>
  <c r="AA11" i="5"/>
  <c r="AB11" i="5"/>
  <c r="AC11" i="5"/>
  <c r="AD11" i="5"/>
  <c r="AE11" i="5"/>
  <c r="AF11" i="5"/>
  <c r="Z11" i="5"/>
  <c r="Y11" i="5"/>
  <c r="X11" i="5"/>
  <c r="R11" i="5"/>
  <c r="T12" i="5"/>
  <c r="AH12" i="5" a="1"/>
  <c r="AG12" i="5" a="1"/>
  <c r="AG12" i="5" s="1"/>
  <c r="U12" i="5"/>
  <c r="R12" i="5"/>
  <c r="S12" i="5"/>
  <c r="X12" i="5"/>
  <c r="W12" i="5"/>
  <c r="AA12" i="5"/>
  <c r="AB12" i="5"/>
  <c r="AC12" i="5"/>
  <c r="AD12" i="5"/>
  <c r="AE12" i="5"/>
  <c r="AF12" i="5"/>
  <c r="Z12" i="5"/>
  <c r="Y12" i="5"/>
  <c r="V12" i="5"/>
  <c r="AG10" i="5" a="1"/>
  <c r="AG10" i="5" s="1"/>
  <c r="X10" i="5"/>
  <c r="W10" i="5"/>
  <c r="V10" i="5"/>
  <c r="U10" i="5"/>
  <c r="T10" i="5"/>
  <c r="AH10" i="5" a="1"/>
  <c r="AA10" i="5"/>
  <c r="AB10" i="5"/>
  <c r="AC10" i="5"/>
  <c r="AD10" i="5"/>
  <c r="AE10" i="5"/>
  <c r="AF10" i="5"/>
  <c r="Z10" i="5"/>
  <c r="Y10" i="5"/>
  <c r="R10" i="5"/>
  <c r="S9" i="5"/>
  <c r="Y8" i="5"/>
  <c r="T9" i="5"/>
  <c r="T8" i="5"/>
  <c r="X61" i="5"/>
  <c r="AH9" i="5" a="1"/>
  <c r="AG9" i="5" a="1"/>
  <c r="AG9" i="5" s="1"/>
  <c r="AA9" i="5"/>
  <c r="AB9" i="5"/>
  <c r="AC9" i="5"/>
  <c r="AD9" i="5"/>
  <c r="AE9" i="5"/>
  <c r="AF9" i="5"/>
  <c r="Z9" i="5"/>
  <c r="Y9" i="5"/>
  <c r="X9" i="5"/>
  <c r="W9" i="5"/>
  <c r="V9" i="5"/>
  <c r="U9" i="5"/>
  <c r="R9" i="5"/>
  <c r="AH8" i="5" a="1"/>
  <c r="AG8" i="5" a="1"/>
  <c r="AG8" i="5" s="1"/>
  <c r="AA8" i="5"/>
  <c r="AB8" i="5"/>
  <c r="AC8" i="5"/>
  <c r="AD8" i="5"/>
  <c r="AE8" i="5"/>
  <c r="AF8" i="5"/>
  <c r="Z8" i="5"/>
  <c r="X8" i="5"/>
  <c r="W8" i="5"/>
  <c r="V8" i="5"/>
  <c r="U8" i="5"/>
  <c r="S8" i="5"/>
  <c r="R8" i="5"/>
  <c r="S61" i="5"/>
  <c r="AH61" i="5" a="1"/>
  <c r="AG61" i="5" a="1"/>
  <c r="AG61" i="5" s="1"/>
  <c r="AF61" i="5"/>
  <c r="AA61" i="5"/>
  <c r="AB61" i="5"/>
  <c r="AC61" i="5"/>
  <c r="AD61" i="5"/>
  <c r="AE61" i="5"/>
  <c r="Z61" i="5"/>
  <c r="Y61" i="5"/>
  <c r="W61" i="5"/>
  <c r="V61" i="5"/>
  <c r="U61" i="5"/>
  <c r="T61" i="5"/>
  <c r="R61" i="5"/>
  <c r="R60" i="5"/>
  <c r="AH60" i="5" a="1"/>
  <c r="AG60" i="5" a="1"/>
  <c r="AG60" i="5" s="1"/>
  <c r="AA60" i="5"/>
  <c r="AB60" i="5"/>
  <c r="AC60" i="5"/>
  <c r="AD60" i="5"/>
  <c r="AE60" i="5"/>
  <c r="AF60" i="5"/>
  <c r="Z60" i="5"/>
  <c r="Y60" i="5"/>
  <c r="X60" i="5"/>
  <c r="W60" i="5"/>
  <c r="V60" i="5"/>
  <c r="U60" i="5"/>
  <c r="S60" i="5"/>
  <c r="T60" i="5"/>
  <c r="J1" i="19"/>
  <c r="L1" i="19"/>
  <c r="K1" i="19"/>
  <c r="T4" i="11"/>
  <c r="T3" i="11"/>
  <c r="I25" i="1"/>
  <c r="G22" i="19" a="1"/>
  <c r="G22" i="19"/>
  <c r="H30" i="19"/>
  <c r="H31" i="19"/>
  <c r="H26" i="1"/>
  <c r="H30" i="1"/>
  <c r="AC4" i="1" a="1"/>
  <c r="U158" i="19"/>
  <c r="W158" i="19" s="1"/>
  <c r="U155" i="19"/>
  <c r="W132" i="19"/>
  <c r="W136" i="19"/>
  <c r="W141" i="19"/>
  <c r="U129" i="19"/>
  <c r="W119" i="19"/>
  <c r="W120" i="19"/>
  <c r="W121" i="19"/>
  <c r="W122" i="19"/>
  <c r="W123" i="19"/>
  <c r="W124" i="19"/>
  <c r="W125" i="19"/>
  <c r="W126" i="19"/>
  <c r="W127" i="19"/>
  <c r="U89" i="19"/>
  <c r="U77" i="19"/>
  <c r="U71" i="19"/>
  <c r="W71" i="19" s="1"/>
  <c r="U57" i="19"/>
  <c r="U52" i="19"/>
  <c r="W52" i="19" s="1"/>
  <c r="U44" i="19"/>
  <c r="W44" i="19" s="1"/>
  <c r="U35" i="19"/>
  <c r="W35" i="19" s="1"/>
  <c r="U19" i="19"/>
  <c r="U2" i="19"/>
  <c r="W2" i="19" s="1"/>
  <c r="W81" i="19"/>
  <c r="W82" i="19"/>
  <c r="W83" i="19"/>
  <c r="W84" i="19"/>
  <c r="W85" i="19"/>
  <c r="W86" i="19"/>
  <c r="W87" i="19"/>
  <c r="U80" i="19"/>
  <c r="Z6" i="18"/>
  <c r="P16" i="1" a="1"/>
  <c r="P16" i="1"/>
  <c r="T2" i="1"/>
  <c r="B17" i="1"/>
  <c r="S16" i="3"/>
  <c r="V55" i="9"/>
  <c r="AG45" i="11" a="1"/>
  <c r="AG45" i="11" s="1"/>
  <c r="AH45" i="11" a="1"/>
  <c r="AA45" i="11"/>
  <c r="AB45" i="11"/>
  <c r="AC45" i="11"/>
  <c r="AD45" i="11"/>
  <c r="AE45" i="11"/>
  <c r="AF45" i="11"/>
  <c r="S45" i="11"/>
  <c r="T45" i="11"/>
  <c r="U45" i="11"/>
  <c r="V45" i="11"/>
  <c r="W45" i="11"/>
  <c r="X45" i="11"/>
  <c r="Y45" i="11"/>
  <c r="Z45" i="11"/>
  <c r="R45" i="11"/>
  <c r="AG44" i="11" a="1"/>
  <c r="AG44" i="11"/>
  <c r="AH44" i="11" a="1"/>
  <c r="Y44" i="11"/>
  <c r="Z44" i="11"/>
  <c r="AA44" i="11"/>
  <c r="AB44" i="11"/>
  <c r="AC44" i="11"/>
  <c r="AD44" i="11"/>
  <c r="AE44" i="11"/>
  <c r="AF44" i="11"/>
  <c r="X44" i="11"/>
  <c r="V44" i="11"/>
  <c r="W44" i="11"/>
  <c r="U44" i="11"/>
  <c r="T44" i="11"/>
  <c r="S44" i="11"/>
  <c r="R44" i="11"/>
  <c r="H32" i="19"/>
  <c r="H33" i="19"/>
  <c r="H34" i="19"/>
  <c r="K45" i="11"/>
  <c r="K44" i="11"/>
  <c r="V47" i="11" a="1"/>
  <c r="V47" i="11"/>
  <c r="W47" i="11" a="1"/>
  <c r="W47" i="11"/>
  <c r="M28" i="19" a="1"/>
  <c r="M28" i="19" s="1"/>
  <c r="AH47" i="11" a="1"/>
  <c r="AG47" i="11" a="1"/>
  <c r="AG47" i="11" s="1"/>
  <c r="AF47" i="11" a="1"/>
  <c r="AF47" i="11"/>
  <c r="T47" i="11" a="1"/>
  <c r="T47" i="11"/>
  <c r="S47" i="11" a="1"/>
  <c r="S47" i="11"/>
  <c r="U47" i="11" a="1"/>
  <c r="U47" i="11"/>
  <c r="X47" i="11" a="1"/>
  <c r="X47" i="11"/>
  <c r="Y47" i="11" a="1"/>
  <c r="Y47" i="11"/>
  <c r="Z47" i="11" a="1"/>
  <c r="Z47" i="11"/>
  <c r="AA47" i="11" a="1"/>
  <c r="AA47" i="11"/>
  <c r="AB47" i="11" a="1"/>
  <c r="AB47" i="11"/>
  <c r="AC47" i="11" a="1"/>
  <c r="AC47" i="11"/>
  <c r="AD47" i="11" a="1"/>
  <c r="AD47" i="11"/>
  <c r="AE47" i="11" a="1"/>
  <c r="AE47" i="11"/>
  <c r="R47" i="11" a="1"/>
  <c r="R47" i="11"/>
  <c r="K47" i="11"/>
  <c r="M27" i="19" a="1"/>
  <c r="M27" i="19"/>
  <c r="J28" i="19" a="1"/>
  <c r="O28" i="19" a="1"/>
  <c r="O28" i="19"/>
  <c r="S18" i="11"/>
  <c r="V18" i="11"/>
  <c r="Q5" i="19"/>
  <c r="N4" i="19"/>
  <c r="P5" i="19"/>
  <c r="P4" i="19"/>
  <c r="Q4" i="19"/>
  <c r="Q3" i="19"/>
  <c r="R3" i="19"/>
  <c r="R4" i="19"/>
  <c r="O4" i="19"/>
  <c r="W18" i="11"/>
  <c r="Y18" i="11"/>
  <c r="AG18" i="11" a="1"/>
  <c r="AG18" i="11" s="1"/>
  <c r="T18" i="11"/>
  <c r="U18" i="11"/>
  <c r="X18" i="11"/>
  <c r="AA18" i="11"/>
  <c r="AB18" i="11"/>
  <c r="AC18" i="11"/>
  <c r="AD18" i="11"/>
  <c r="AE18" i="11"/>
  <c r="AF18" i="11"/>
  <c r="R18" i="11"/>
  <c r="K18" i="11"/>
  <c r="AB6" i="11"/>
  <c r="V4" i="11"/>
  <c r="W54" i="11"/>
  <c r="W55" i="11"/>
  <c r="V55" i="11"/>
  <c r="S3" i="11"/>
  <c r="V3" i="11"/>
  <c r="S4" i="11"/>
  <c r="U3" i="11"/>
  <c r="W4" i="11"/>
  <c r="X4" i="11"/>
  <c r="U4" i="11"/>
  <c r="R4" i="11"/>
  <c r="R3" i="11"/>
  <c r="AF4" i="11"/>
  <c r="W3" i="11"/>
  <c r="X3" i="11"/>
  <c r="AA3" i="11"/>
  <c r="AB3" i="11"/>
  <c r="AC3" i="11"/>
  <c r="AD3" i="11"/>
  <c r="AE3" i="11"/>
  <c r="AA4" i="11"/>
  <c r="AB4" i="11"/>
  <c r="AC4" i="11"/>
  <c r="AD4" i="11"/>
  <c r="AE4" i="11"/>
  <c r="K4" i="11"/>
  <c r="K3" i="11"/>
  <c r="R54" i="11"/>
  <c r="AG31" i="11" a="1"/>
  <c r="AG31" i="11" s="1"/>
  <c r="S31" i="11" a="1"/>
  <c r="S31" i="11" s="1"/>
  <c r="T31" i="11" a="1"/>
  <c r="T31" i="11" s="1"/>
  <c r="U31" i="11" a="1"/>
  <c r="U31" i="11" s="1"/>
  <c r="V31" i="11" a="1"/>
  <c r="V31" i="11" s="1"/>
  <c r="W31" i="11" a="1"/>
  <c r="W31" i="11" s="1"/>
  <c r="X31" i="11" a="1"/>
  <c r="X31" i="11" s="1"/>
  <c r="Y31" i="11" a="1"/>
  <c r="Y31" i="11" s="1"/>
  <c r="AA31" i="11" a="1"/>
  <c r="AA31" i="11" s="1"/>
  <c r="AB31" i="11" a="1"/>
  <c r="AB31" i="11" s="1"/>
  <c r="AC31" i="11" a="1"/>
  <c r="AC31" i="11" s="1"/>
  <c r="AD31" i="11" a="1"/>
  <c r="AD31" i="11" s="1"/>
  <c r="AE31" i="11" a="1"/>
  <c r="AE31" i="11" s="1"/>
  <c r="AF31" i="11" a="1"/>
  <c r="AF31" i="11" s="1"/>
  <c r="R31" i="11" a="1"/>
  <c r="R31" i="11" s="1"/>
  <c r="R32" i="11"/>
  <c r="K31" i="11"/>
  <c r="I7" i="19" a="1"/>
  <c r="I7" i="19" s="1"/>
  <c r="I5" i="19" a="1"/>
  <c r="I5" i="19" s="1"/>
  <c r="K3" i="19" a="1"/>
  <c r="K3" i="19" s="1"/>
  <c r="J3" i="19" a="1"/>
  <c r="J3" i="19" s="1"/>
  <c r="M3" i="19" a="1"/>
  <c r="M3" i="19" s="1"/>
  <c r="I4" i="19" a="1"/>
  <c r="I4" i="19"/>
  <c r="I3" i="19" a="1"/>
  <c r="I3" i="19" s="1"/>
  <c r="K6" i="19" a="1"/>
  <c r="I6" i="19" a="1"/>
  <c r="I6" i="19" s="1"/>
  <c r="I2" i="19" a="1"/>
  <c r="R33" i="11"/>
  <c r="AG32" i="11" a="1"/>
  <c r="AG32" i="11" s="1"/>
  <c r="U32" i="11"/>
  <c r="S32" i="11"/>
  <c r="T32" i="11"/>
  <c r="V32" i="11"/>
  <c r="W32" i="11"/>
  <c r="X32" i="11"/>
  <c r="Y32" i="11"/>
  <c r="AA32" i="11"/>
  <c r="AB32" i="11"/>
  <c r="AC32" i="11"/>
  <c r="AD32" i="11"/>
  <c r="AE32" i="11"/>
  <c r="AF32" i="11"/>
  <c r="K32" i="11"/>
  <c r="X33" i="11"/>
  <c r="W33" i="11"/>
  <c r="U33" i="11"/>
  <c r="T33" i="11"/>
  <c r="S33" i="11"/>
  <c r="AG33" i="11" a="1"/>
  <c r="AG33" i="11" s="1"/>
  <c r="V33" i="11"/>
  <c r="Y33" i="11"/>
  <c r="AA33" i="11"/>
  <c r="AB33" i="11"/>
  <c r="AC33" i="11"/>
  <c r="AD33" i="11"/>
  <c r="AE33" i="11"/>
  <c r="AF33" i="11"/>
  <c r="K33" i="11"/>
  <c r="R36" i="11"/>
  <c r="AG36" i="11" a="1"/>
  <c r="AG36" i="11" s="1"/>
  <c r="S36" i="11"/>
  <c r="T36" i="11"/>
  <c r="U36" i="11"/>
  <c r="V36" i="11"/>
  <c r="W36" i="11"/>
  <c r="X36" i="11"/>
  <c r="Y36" i="11"/>
  <c r="AA36" i="11"/>
  <c r="AB36" i="11"/>
  <c r="AC36" i="11"/>
  <c r="AD36" i="11"/>
  <c r="AE36" i="11"/>
  <c r="AF36" i="11"/>
  <c r="K36" i="11"/>
  <c r="S28" i="11"/>
  <c r="U28" i="11"/>
  <c r="V27" i="11"/>
  <c r="T28" i="11"/>
  <c r="AG28" i="11" a="1"/>
  <c r="AG28" i="11" s="1"/>
  <c r="AG27" i="11" a="1"/>
  <c r="AG27" i="11" s="1"/>
  <c r="AC28" i="11"/>
  <c r="AB28" i="11"/>
  <c r="W27" i="11"/>
  <c r="AF27" i="11"/>
  <c r="Y27" i="11"/>
  <c r="Z27" i="11"/>
  <c r="AA27" i="11"/>
  <c r="AB27" i="11"/>
  <c r="AC27" i="11"/>
  <c r="AE27" i="11"/>
  <c r="AA28" i="11"/>
  <c r="AD28" i="11"/>
  <c r="AE28" i="11"/>
  <c r="AF28" i="11"/>
  <c r="Y28" i="11"/>
  <c r="X28" i="11"/>
  <c r="X27" i="11"/>
  <c r="W28" i="11"/>
  <c r="K28" i="11"/>
  <c r="Z28" i="11" s="1"/>
  <c r="K27" i="11"/>
  <c r="R27" i="11"/>
  <c r="V28" i="11"/>
  <c r="U27" i="11"/>
  <c r="T27" i="11"/>
  <c r="R28" i="11"/>
  <c r="AG30" i="11" a="1"/>
  <c r="AG30" i="11" s="1"/>
  <c r="S30" i="11"/>
  <c r="T30" i="11"/>
  <c r="U30" i="11"/>
  <c r="V30" i="11"/>
  <c r="W30" i="11"/>
  <c r="X30" i="11"/>
  <c r="Y30" i="11"/>
  <c r="AA30" i="11"/>
  <c r="AB30" i="11"/>
  <c r="AC30" i="11"/>
  <c r="AD30" i="11"/>
  <c r="AE30" i="11"/>
  <c r="AF30" i="11"/>
  <c r="R30" i="11"/>
  <c r="K30" i="11"/>
  <c r="S27" i="11"/>
  <c r="V51" i="11"/>
  <c r="W51" i="11"/>
  <c r="AG51" i="11" a="1"/>
  <c r="AG51" i="11" s="1"/>
  <c r="S51" i="11"/>
  <c r="T51" i="11"/>
  <c r="U51" i="11"/>
  <c r="X51" i="11"/>
  <c r="Y51" i="11"/>
  <c r="AA51" i="11"/>
  <c r="AB51" i="11"/>
  <c r="AC51" i="11"/>
  <c r="AD51" i="11"/>
  <c r="AE51" i="11"/>
  <c r="AF51" i="11"/>
  <c r="R51" i="11"/>
  <c r="AG50" i="11" a="1"/>
  <c r="AG50" i="11" s="1"/>
  <c r="Y50" i="11"/>
  <c r="AA50" i="11"/>
  <c r="AB50" i="11"/>
  <c r="AC50" i="11"/>
  <c r="AD50" i="11"/>
  <c r="AE50" i="11"/>
  <c r="AF50" i="11"/>
  <c r="X50" i="11"/>
  <c r="W50" i="11"/>
  <c r="U50" i="11"/>
  <c r="V50" i="11"/>
  <c r="T50" i="11"/>
  <c r="R50" i="11"/>
  <c r="S50" i="11"/>
  <c r="K50" i="11"/>
  <c r="K51" i="11"/>
  <c r="E201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 s="1"/>
  <c r="E156" i="1"/>
  <c r="F156" i="1" s="1"/>
  <c r="E157" i="1"/>
  <c r="F157" i="1" s="1"/>
  <c r="E158" i="1"/>
  <c r="F158" i="1"/>
  <c r="E159" i="1"/>
  <c r="F159" i="1"/>
  <c r="E160" i="1"/>
  <c r="F160" i="1"/>
  <c r="E161" i="1"/>
  <c r="F161" i="1"/>
  <c r="E162" i="1"/>
  <c r="F162" i="1"/>
  <c r="E163" i="1"/>
  <c r="F163" i="1" s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 s="1"/>
  <c r="E176" i="1"/>
  <c r="F176" i="1" s="1"/>
  <c r="E177" i="1"/>
  <c r="F177" i="1" s="1"/>
  <c r="E178" i="1"/>
  <c r="F178" i="1"/>
  <c r="E179" i="1"/>
  <c r="F179" i="1" s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 s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F201" i="1"/>
  <c r="E202" i="1"/>
  <c r="F202" i="1" s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 s="1"/>
  <c r="E210" i="1"/>
  <c r="F210" i="1"/>
  <c r="E211" i="1"/>
  <c r="F211" i="1"/>
  <c r="E212" i="1"/>
  <c r="F212" i="1"/>
  <c r="E213" i="1"/>
  <c r="F213" i="1" s="1"/>
  <c r="E214" i="1"/>
  <c r="F214" i="1" s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 s="1"/>
  <c r="E222" i="1"/>
  <c r="F222" i="1" s="1"/>
  <c r="E223" i="1"/>
  <c r="F223" i="1" s="1"/>
  <c r="E224" i="1"/>
  <c r="F224" i="1"/>
  <c r="E225" i="1"/>
  <c r="F225" i="1"/>
  <c r="E226" i="1"/>
  <c r="F226" i="1" s="1"/>
  <c r="E227" i="1"/>
  <c r="F227" i="1"/>
  <c r="E228" i="1"/>
  <c r="F228" i="1"/>
  <c r="E229" i="1"/>
  <c r="F229" i="1" s="1"/>
  <c r="E230" i="1"/>
  <c r="F230" i="1"/>
  <c r="E231" i="1"/>
  <c r="F231" i="1"/>
  <c r="E232" i="1"/>
  <c r="F232" i="1" s="1"/>
  <c r="E233" i="1"/>
  <c r="F233" i="1"/>
  <c r="E234" i="1"/>
  <c r="F234" i="1"/>
  <c r="E235" i="1"/>
  <c r="F235" i="1"/>
  <c r="E236" i="1"/>
  <c r="F236" i="1" s="1"/>
  <c r="E237" i="1"/>
  <c r="F237" i="1"/>
  <c r="E238" i="1"/>
  <c r="F238" i="1"/>
  <c r="E239" i="1"/>
  <c r="F239" i="1"/>
  <c r="E240" i="1"/>
  <c r="F240" i="1" s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 s="1"/>
  <c r="E253" i="1"/>
  <c r="F253" i="1" s="1"/>
  <c r="E254" i="1"/>
  <c r="F254" i="1"/>
  <c r="E255" i="1"/>
  <c r="F255" i="1"/>
  <c r="E256" i="1"/>
  <c r="F256" i="1"/>
  <c r="E257" i="1"/>
  <c r="F257" i="1" s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 s="1"/>
  <c r="E268" i="1"/>
  <c r="F268" i="1" s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 s="1"/>
  <c r="E276" i="1"/>
  <c r="F276" i="1" s="1"/>
  <c r="E277" i="1"/>
  <c r="F277" i="1" s="1"/>
  <c r="E278" i="1"/>
  <c r="F278" i="1"/>
  <c r="E279" i="1"/>
  <c r="F279" i="1" s="1"/>
  <c r="E280" i="1"/>
  <c r="F280" i="1"/>
  <c r="E281" i="1"/>
  <c r="F281" i="1" s="1"/>
  <c r="E282" i="1"/>
  <c r="F282" i="1"/>
  <c r="E283" i="1"/>
  <c r="F283" i="1"/>
  <c r="E284" i="1"/>
  <c r="F284" i="1"/>
  <c r="E285" i="1"/>
  <c r="F285" i="1"/>
  <c r="E286" i="1"/>
  <c r="F286" i="1"/>
  <c r="F32" i="1"/>
  <c r="E32" i="1"/>
  <c r="X55" i="11"/>
  <c r="R55" i="11"/>
  <c r="S55" i="11"/>
  <c r="S54" i="11"/>
  <c r="T55" i="11"/>
  <c r="U55" i="11"/>
  <c r="V54" i="11"/>
  <c r="X54" i="11"/>
  <c r="AG54" i="11" a="1"/>
  <c r="AG54" i="11" s="1"/>
  <c r="AG55" i="11" a="1"/>
  <c r="AG55" i="11" s="1"/>
  <c r="Y55" i="11"/>
  <c r="AA55" i="11"/>
  <c r="AB55" i="11"/>
  <c r="AC55" i="11"/>
  <c r="AD55" i="11"/>
  <c r="AE55" i="11"/>
  <c r="AF55" i="11"/>
  <c r="K55" i="11"/>
  <c r="T54" i="11"/>
  <c r="U54" i="11"/>
  <c r="Y54" i="11"/>
  <c r="AA54" i="11"/>
  <c r="AB54" i="11"/>
  <c r="AC54" i="11"/>
  <c r="AD54" i="11"/>
  <c r="AE54" i="11"/>
  <c r="AF54" i="11"/>
  <c r="K54" i="11"/>
  <c r="Z54" i="11" s="1"/>
  <c r="AH15" i="11" a="1"/>
  <c r="AG15" i="11" a="1"/>
  <c r="AG15" i="11" s="1"/>
  <c r="AA15" i="11"/>
  <c r="AB15" i="11"/>
  <c r="AC15" i="11"/>
  <c r="AD15" i="11"/>
  <c r="AE15" i="11"/>
  <c r="Z15" i="11"/>
  <c r="Y15" i="11"/>
  <c r="X15" i="11"/>
  <c r="W15" i="11"/>
  <c r="V15" i="11"/>
  <c r="U15" i="11"/>
  <c r="T15" i="11"/>
  <c r="S15" i="11"/>
  <c r="R15" i="11"/>
  <c r="AF15" i="11" s="1"/>
  <c r="W14" i="13"/>
  <c r="T14" i="13"/>
  <c r="R14" i="13"/>
  <c r="X14" i="13"/>
  <c r="X8" i="11"/>
  <c r="S7" i="11"/>
  <c r="V8" i="11"/>
  <c r="AG8" i="11" a="1"/>
  <c r="AG8" i="11" s="1"/>
  <c r="W8" i="11"/>
  <c r="Y8" i="11"/>
  <c r="AA8" i="11"/>
  <c r="AB8" i="11"/>
  <c r="AC8" i="11"/>
  <c r="AD8" i="11"/>
  <c r="AE8" i="11"/>
  <c r="AF8" i="11"/>
  <c r="K8" i="11"/>
  <c r="R8" i="11"/>
  <c r="S8" i="11"/>
  <c r="T8" i="11"/>
  <c r="U8" i="11"/>
  <c r="AG6" i="11" a="1"/>
  <c r="AG6" i="11" s="1"/>
  <c r="K6" i="11"/>
  <c r="AH6" i="11" s="1" a="1"/>
  <c r="S6" i="11"/>
  <c r="T6" i="11"/>
  <c r="U6" i="11"/>
  <c r="V6" i="11"/>
  <c r="W6" i="11"/>
  <c r="X6" i="11"/>
  <c r="Y6" i="11"/>
  <c r="Z6" i="11"/>
  <c r="AA6" i="11"/>
  <c r="AC6" i="11"/>
  <c r="AD6" i="11"/>
  <c r="AE6" i="11"/>
  <c r="AF6" i="11"/>
  <c r="R6" i="11"/>
  <c r="Y5" i="11"/>
  <c r="AG5" i="11" a="1"/>
  <c r="AG5" i="11" s="1"/>
  <c r="S5" i="11"/>
  <c r="T5" i="11"/>
  <c r="U5" i="11"/>
  <c r="V5" i="11"/>
  <c r="W5" i="11"/>
  <c r="X5" i="11"/>
  <c r="AA5" i="11"/>
  <c r="AB5" i="11"/>
  <c r="AC5" i="11"/>
  <c r="AD5" i="11"/>
  <c r="AE5" i="11"/>
  <c r="AF5" i="11"/>
  <c r="K5" i="11"/>
  <c r="R5" i="11"/>
  <c r="B15" i="21"/>
  <c r="AN40" i="11" a="1"/>
  <c r="AK40" i="11" a="1"/>
  <c r="AH40" i="11" a="1"/>
  <c r="AG40" i="11" a="1"/>
  <c r="AG40" i="11" s="1"/>
  <c r="AA40" i="11"/>
  <c r="AB40" i="11"/>
  <c r="AC40" i="11"/>
  <c r="AD40" i="11"/>
  <c r="AE40" i="11"/>
  <c r="AF40" i="11"/>
  <c r="Y40" i="11"/>
  <c r="X40" i="11"/>
  <c r="W40" i="11"/>
  <c r="V40" i="11"/>
  <c r="U40" i="11"/>
  <c r="T40" i="11"/>
  <c r="S40" i="11"/>
  <c r="R40" i="11"/>
  <c r="K40" i="11"/>
  <c r="Z40" i="11" s="1"/>
  <c r="AH38" i="11" a="1"/>
  <c r="AG38" i="11" a="1"/>
  <c r="AG38" i="11" s="1"/>
  <c r="AA38" i="11"/>
  <c r="AB38" i="11"/>
  <c r="AC38" i="11"/>
  <c r="AD38" i="11"/>
  <c r="AE38" i="11"/>
  <c r="AF38" i="11"/>
  <c r="Y38" i="11"/>
  <c r="X38" i="11"/>
  <c r="W38" i="11"/>
  <c r="V38" i="11"/>
  <c r="U38" i="11"/>
  <c r="T38" i="11"/>
  <c r="S38" i="11"/>
  <c r="R38" i="11"/>
  <c r="K38" i="11"/>
  <c r="AH35" i="11" a="1"/>
  <c r="AJ35" i="11" s="1"/>
  <c r="AG35" i="11" a="1"/>
  <c r="AG35" i="11" s="1"/>
  <c r="AB35" i="11"/>
  <c r="AC35" i="11"/>
  <c r="AD35" i="11"/>
  <c r="AE35" i="11"/>
  <c r="AF35" i="11"/>
  <c r="AA35" i="11"/>
  <c r="Y35" i="11"/>
  <c r="X35" i="11"/>
  <c r="W35" i="11"/>
  <c r="V35" i="11"/>
  <c r="U35" i="11"/>
  <c r="T35" i="11"/>
  <c r="S35" i="11"/>
  <c r="R35" i="11"/>
  <c r="K35" i="11"/>
  <c r="AH26" i="11" a="1"/>
  <c r="AG26" i="11" a="1"/>
  <c r="AG26" i="11" s="1"/>
  <c r="AA26" i="11"/>
  <c r="AB26" i="11"/>
  <c r="AC26" i="11"/>
  <c r="AD26" i="11"/>
  <c r="AE26" i="11"/>
  <c r="AF26" i="11"/>
  <c r="Y26" i="11"/>
  <c r="X26" i="11"/>
  <c r="W26" i="11"/>
  <c r="V26" i="11"/>
  <c r="U26" i="11"/>
  <c r="T26" i="11"/>
  <c r="S26" i="11"/>
  <c r="R26" i="11"/>
  <c r="K26" i="11"/>
  <c r="AG23" i="11" a="1"/>
  <c r="AG23" i="11" s="1"/>
  <c r="S23" i="11"/>
  <c r="T23" i="11"/>
  <c r="U23" i="11"/>
  <c r="V23" i="11"/>
  <c r="W23" i="11"/>
  <c r="X23" i="11"/>
  <c r="Y23" i="11"/>
  <c r="AA23" i="11"/>
  <c r="AB23" i="11"/>
  <c r="AC23" i="11"/>
  <c r="AD23" i="11"/>
  <c r="AE23" i="11"/>
  <c r="AF23" i="11"/>
  <c r="S16" i="11"/>
  <c r="R23" i="11"/>
  <c r="K23" i="11"/>
  <c r="AH21" i="11" a="1"/>
  <c r="AJ21" i="11" s="1"/>
  <c r="AG21" i="11" a="1"/>
  <c r="AG21" i="11" s="1"/>
  <c r="AB21" i="11"/>
  <c r="AC21" i="11"/>
  <c r="AD21" i="11"/>
  <c r="AE21" i="11"/>
  <c r="AF21" i="11"/>
  <c r="AA21" i="11"/>
  <c r="Y21" i="11"/>
  <c r="X21" i="11"/>
  <c r="W21" i="11"/>
  <c r="V21" i="11"/>
  <c r="U21" i="11"/>
  <c r="T21" i="11"/>
  <c r="T22" i="11"/>
  <c r="S21" i="11"/>
  <c r="R21" i="11"/>
  <c r="K21" i="11"/>
  <c r="S17" i="11"/>
  <c r="AH17" i="11" a="1"/>
  <c r="AG17" i="11" a="1"/>
  <c r="AG17" i="11" s="1"/>
  <c r="AF17" i="11"/>
  <c r="AE17" i="11"/>
  <c r="AD17" i="11"/>
  <c r="AC17" i="11"/>
  <c r="AB17" i="11"/>
  <c r="AA17" i="11"/>
  <c r="Y17" i="11"/>
  <c r="X17" i="11"/>
  <c r="W17" i="11"/>
  <c r="V17" i="11"/>
  <c r="U17" i="11"/>
  <c r="T17" i="11"/>
  <c r="R17" i="11"/>
  <c r="R16" i="11"/>
  <c r="K17" i="11"/>
  <c r="T20" i="15"/>
  <c r="T25" i="15"/>
  <c r="S25" i="15"/>
  <c r="AH25" i="15" a="1"/>
  <c r="AH25" i="15"/>
  <c r="AI25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G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R25" i="15"/>
  <c r="AH20" i="15" a="1"/>
  <c r="AH20" i="15"/>
  <c r="AI20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G20" i="15"/>
  <c r="Y22" i="15"/>
  <c r="X20" i="15"/>
  <c r="S20" i="15"/>
  <c r="U20" i="15"/>
  <c r="V20" i="15"/>
  <c r="W20" i="15"/>
  <c r="Y20" i="15"/>
  <c r="Z20" i="15"/>
  <c r="AA20" i="15"/>
  <c r="AB20" i="15"/>
  <c r="AC20" i="15"/>
  <c r="AD20" i="15"/>
  <c r="AE20" i="15"/>
  <c r="AF20" i="15"/>
  <c r="R20" i="15"/>
  <c r="K25" i="15"/>
  <c r="K20" i="15"/>
  <c r="AA21" i="15"/>
  <c r="Y21" i="15"/>
  <c r="X21" i="15"/>
  <c r="X22" i="15"/>
  <c r="S21" i="15"/>
  <c r="T21" i="15"/>
  <c r="U21" i="15"/>
  <c r="V21" i="15"/>
  <c r="W21" i="15"/>
  <c r="Z21" i="15"/>
  <c r="AB21" i="15"/>
  <c r="AC21" i="15"/>
  <c r="AD21" i="15"/>
  <c r="AE21" i="15"/>
  <c r="AF21" i="15"/>
  <c r="R21" i="15"/>
  <c r="AH24" i="15" a="1"/>
  <c r="AH24" i="15"/>
  <c r="AI24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G24" i="15"/>
  <c r="AH23" i="15" a="1"/>
  <c r="AH23" i="15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G23" i="15"/>
  <c r="AH22" i="15" a="1"/>
  <c r="AH22" i="15"/>
  <c r="AI22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G22" i="15"/>
  <c r="AH21" i="15" a="1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G21" i="15"/>
  <c r="V24" i="15"/>
  <c r="V23" i="15"/>
  <c r="S22" i="15"/>
  <c r="T22" i="15"/>
  <c r="U22" i="15"/>
  <c r="V22" i="15"/>
  <c r="W22" i="15"/>
  <c r="Z22" i="15"/>
  <c r="AA22" i="15"/>
  <c r="AB22" i="15"/>
  <c r="AC22" i="15"/>
  <c r="AD22" i="15"/>
  <c r="AE22" i="15"/>
  <c r="AF22" i="15"/>
  <c r="S23" i="15"/>
  <c r="T23" i="15"/>
  <c r="U23" i="15"/>
  <c r="W23" i="15"/>
  <c r="X23" i="15"/>
  <c r="Y23" i="15"/>
  <c r="Z23" i="15"/>
  <c r="AA23" i="15"/>
  <c r="AB23" i="15"/>
  <c r="AC23" i="15"/>
  <c r="AD23" i="15"/>
  <c r="AE23" i="15"/>
  <c r="AF23" i="15"/>
  <c r="S24" i="15"/>
  <c r="T24" i="15"/>
  <c r="U24" i="15"/>
  <c r="W24" i="15"/>
  <c r="X24" i="15"/>
  <c r="Y24" i="15"/>
  <c r="Z24" i="15"/>
  <c r="AA24" i="15"/>
  <c r="AB24" i="15"/>
  <c r="AC24" i="15"/>
  <c r="AD24" i="15"/>
  <c r="AE24" i="15"/>
  <c r="AF24" i="15"/>
  <c r="R24" i="15"/>
  <c r="R22" i="15"/>
  <c r="R23" i="15"/>
  <c r="K24" i="15"/>
  <c r="K23" i="15"/>
  <c r="K22" i="15"/>
  <c r="K21" i="15"/>
  <c r="AH6" i="15" a="1"/>
  <c r="AH5" i="15" a="1"/>
  <c r="AH5" i="15"/>
  <c r="AI5" i="15"/>
  <c r="AJ5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H4" i="15" a="1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G6" i="15"/>
  <c r="AG5" i="15"/>
  <c r="AG4" i="15"/>
  <c r="AF6" i="15"/>
  <c r="AF5" i="15"/>
  <c r="AF4" i="15"/>
  <c r="AG3" i="15"/>
  <c r="AF3" i="15"/>
  <c r="AH51" i="15" a="1"/>
  <c r="AH51" i="15"/>
  <c r="AI51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H50" i="15" a="1"/>
  <c r="AH50" i="15"/>
  <c r="AI50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H49" i="15" a="1"/>
  <c r="AH49" i="15"/>
  <c r="AI49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H48" i="15" a="1"/>
  <c r="AH48" i="15"/>
  <c r="AI48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H47" i="15" a="1"/>
  <c r="AH47" i="15"/>
  <c r="AI47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H46" i="15" a="1"/>
  <c r="AH46" i="15"/>
  <c r="AI46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H45" i="15" a="1"/>
  <c r="AH45" i="15"/>
  <c r="AI45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H43" i="15" a="1"/>
  <c r="AH43" i="15"/>
  <c r="AI43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H42" i="15" a="1"/>
  <c r="AH41" i="15" a="1"/>
  <c r="AH41" i="15"/>
  <c r="AI41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H40" i="15" a="1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H39" i="15" a="1"/>
  <c r="AH39" i="15"/>
  <c r="AI39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H38" i="15" a="1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H37" i="15" a="1"/>
  <c r="AH37" i="15"/>
  <c r="AI37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H36" i="15" a="1"/>
  <c r="AH36" i="15"/>
  <c r="AI36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H35" i="15" a="1"/>
  <c r="AH35" i="15"/>
  <c r="AI35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H34" i="15" a="1"/>
  <c r="AH34" i="15"/>
  <c r="AI34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H33" i="15" a="1"/>
  <c r="AH32" i="15" a="1"/>
  <c r="AG51" i="15"/>
  <c r="AG50" i="15"/>
  <c r="AG49" i="15"/>
  <c r="AG48" i="15"/>
  <c r="AG47" i="15"/>
  <c r="AG46" i="15"/>
  <c r="AG45" i="15"/>
  <c r="AG43" i="15"/>
  <c r="AG42" i="15"/>
  <c r="AG41" i="15"/>
  <c r="AG40" i="15"/>
  <c r="AG39" i="15"/>
  <c r="AG38" i="15"/>
  <c r="AG37" i="15"/>
  <c r="AG36" i="15"/>
  <c r="AG35" i="15"/>
  <c r="AG34" i="15"/>
  <c r="AG33" i="15"/>
  <c r="AG32" i="15"/>
  <c r="AH53" i="15" a="1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G53" i="15"/>
  <c r="AH52" i="15" a="1"/>
  <c r="AH52" i="15"/>
  <c r="AI52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G52" i="15"/>
  <c r="AH44" i="15" a="1"/>
  <c r="AG44" i="15"/>
  <c r="AH31" i="15" a="1"/>
  <c r="AH31" i="15"/>
  <c r="AI31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G31" i="15"/>
  <c r="AH30" i="15" a="1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G30" i="15"/>
  <c r="AG29" i="15"/>
  <c r="AF30" i="15"/>
  <c r="W31" i="15"/>
  <c r="W32" i="15"/>
  <c r="V52" i="15"/>
  <c r="W35" i="15"/>
  <c r="W33" i="15"/>
  <c r="W34" i="15"/>
  <c r="W30" i="15"/>
  <c r="X29" i="15"/>
  <c r="X38" i="15"/>
  <c r="R44" i="15"/>
  <c r="AF44" i="15" s="1"/>
  <c r="V44" i="15"/>
  <c r="U44" i="15"/>
  <c r="W44" i="15"/>
  <c r="V38" i="15"/>
  <c r="W39" i="15"/>
  <c r="W29" i="15"/>
  <c r="W26" i="15"/>
  <c r="R38" i="15"/>
  <c r="AA44" i="15"/>
  <c r="T52" i="15"/>
  <c r="U52" i="15"/>
  <c r="S52" i="15"/>
  <c r="W52" i="15"/>
  <c r="X52" i="15"/>
  <c r="Y52" i="15"/>
  <c r="Z52" i="15"/>
  <c r="AA52" i="15"/>
  <c r="AB52" i="15"/>
  <c r="AC52" i="15"/>
  <c r="AD52" i="15"/>
  <c r="AE52" i="15"/>
  <c r="AF52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X51" i="15"/>
  <c r="Y51" i="15"/>
  <c r="Z51" i="15"/>
  <c r="AA51" i="15"/>
  <c r="AB51" i="15"/>
  <c r="AC51" i="15"/>
  <c r="AD51" i="15"/>
  <c r="AE51" i="15"/>
  <c r="AF51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S46" i="15"/>
  <c r="T46" i="15"/>
  <c r="U46" i="15"/>
  <c r="V46" i="15"/>
  <c r="W46" i="15"/>
  <c r="X46" i="15"/>
  <c r="Y46" i="15"/>
  <c r="Z46" i="15"/>
  <c r="AA46" i="15"/>
  <c r="AB46" i="15"/>
  <c r="AC46" i="15"/>
  <c r="AD46" i="15"/>
  <c r="AE46" i="15"/>
  <c r="AF46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S48" i="15"/>
  <c r="T48" i="15"/>
  <c r="U48" i="15"/>
  <c r="V48" i="15"/>
  <c r="W48" i="15"/>
  <c r="X48" i="15"/>
  <c r="Y48" i="15"/>
  <c r="Z48" i="15"/>
  <c r="AA48" i="15"/>
  <c r="AB48" i="15"/>
  <c r="AC48" i="15"/>
  <c r="AD48" i="15"/>
  <c r="AE48" i="15"/>
  <c r="AF48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X44" i="15"/>
  <c r="Y44" i="15"/>
  <c r="Z44" i="15"/>
  <c r="AB44" i="15"/>
  <c r="AC44" i="15"/>
  <c r="AD44" i="15"/>
  <c r="AE44" i="15"/>
  <c r="S39" i="15"/>
  <c r="T39" i="15"/>
  <c r="U39" i="15"/>
  <c r="V39" i="15"/>
  <c r="X39" i="15"/>
  <c r="Y39" i="15"/>
  <c r="Z39" i="15"/>
  <c r="AA39" i="15"/>
  <c r="AB39" i="15"/>
  <c r="AC39" i="15"/>
  <c r="AD39" i="15"/>
  <c r="AE39" i="15"/>
  <c r="AF39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W38" i="15"/>
  <c r="Y38" i="15"/>
  <c r="Z38" i="15"/>
  <c r="AA38" i="15"/>
  <c r="AB38" i="15"/>
  <c r="AC38" i="15"/>
  <c r="AD38" i="15"/>
  <c r="AE38" i="15"/>
  <c r="AF38" i="15"/>
  <c r="S30" i="15"/>
  <c r="T30" i="15"/>
  <c r="U30" i="15"/>
  <c r="V30" i="15"/>
  <c r="X30" i="15"/>
  <c r="Y30" i="15"/>
  <c r="Z30" i="15"/>
  <c r="AA30" i="15"/>
  <c r="AB30" i="15"/>
  <c r="AC30" i="15"/>
  <c r="AD30" i="15"/>
  <c r="AE30" i="15"/>
  <c r="S31" i="15"/>
  <c r="T31" i="15"/>
  <c r="U31" i="15"/>
  <c r="V31" i="15"/>
  <c r="X31" i="15"/>
  <c r="Y31" i="15"/>
  <c r="Z31" i="15"/>
  <c r="AA31" i="15"/>
  <c r="AB31" i="15"/>
  <c r="AC31" i="15"/>
  <c r="AD31" i="15"/>
  <c r="AE31" i="15"/>
  <c r="AF31" i="15"/>
  <c r="S32" i="15"/>
  <c r="T32" i="15"/>
  <c r="U32" i="15"/>
  <c r="V32" i="15"/>
  <c r="X32" i="15"/>
  <c r="Y32" i="15"/>
  <c r="Z32" i="15"/>
  <c r="AA32" i="15"/>
  <c r="AB32" i="15"/>
  <c r="AC32" i="15"/>
  <c r="AD32" i="15"/>
  <c r="AE32" i="15"/>
  <c r="AF32" i="15"/>
  <c r="S33" i="15"/>
  <c r="T33" i="15"/>
  <c r="U33" i="15"/>
  <c r="V33" i="15"/>
  <c r="X33" i="15"/>
  <c r="Y33" i="15"/>
  <c r="Z33" i="15"/>
  <c r="AA33" i="15"/>
  <c r="AB33" i="15"/>
  <c r="AC33" i="15"/>
  <c r="AD33" i="15"/>
  <c r="AE33" i="15"/>
  <c r="AF33" i="15"/>
  <c r="S34" i="15"/>
  <c r="T34" i="15"/>
  <c r="U34" i="15"/>
  <c r="V34" i="15"/>
  <c r="X34" i="15"/>
  <c r="Y34" i="15"/>
  <c r="Z34" i="15"/>
  <c r="AA34" i="15"/>
  <c r="AB34" i="15"/>
  <c r="AC34" i="15"/>
  <c r="AD34" i="15"/>
  <c r="AE34" i="15"/>
  <c r="AF34" i="15"/>
  <c r="S35" i="15"/>
  <c r="T35" i="15"/>
  <c r="U35" i="15"/>
  <c r="V35" i="15"/>
  <c r="X35" i="15"/>
  <c r="Y35" i="15"/>
  <c r="Z35" i="15"/>
  <c r="AA35" i="15"/>
  <c r="AB35" i="15"/>
  <c r="AC35" i="15"/>
  <c r="AD35" i="15"/>
  <c r="AE35" i="15"/>
  <c r="AF35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V51" i="15"/>
  <c r="W51" i="15"/>
  <c r="S51" i="15"/>
  <c r="T51" i="15"/>
  <c r="U51" i="15"/>
  <c r="T44" i="15"/>
  <c r="S44" i="15"/>
  <c r="T38" i="15"/>
  <c r="S38" i="15"/>
  <c r="U38" i="15"/>
  <c r="R52" i="15"/>
  <c r="R42" i="15"/>
  <c r="V29" i="15"/>
  <c r="R35" i="15"/>
  <c r="R32" i="15"/>
  <c r="R53" i="15"/>
  <c r="R51" i="15"/>
  <c r="R50" i="15"/>
  <c r="R49" i="15"/>
  <c r="R48" i="15"/>
  <c r="R47" i="15"/>
  <c r="R46" i="15"/>
  <c r="R45" i="15"/>
  <c r="R43" i="15"/>
  <c r="R41" i="15"/>
  <c r="R40" i="15"/>
  <c r="R39" i="15"/>
  <c r="R37" i="15"/>
  <c r="R36" i="15"/>
  <c r="R34" i="15"/>
  <c r="R33" i="15"/>
  <c r="R31" i="15"/>
  <c r="R30" i="15"/>
  <c r="K54" i="15"/>
  <c r="Z54" i="15" s="1"/>
  <c r="K40" i="15"/>
  <c r="K39" i="15"/>
  <c r="K38" i="15"/>
  <c r="K37" i="15"/>
  <c r="K36" i="15"/>
  <c r="K35" i="15"/>
  <c r="K34" i="15"/>
  <c r="K33" i="15"/>
  <c r="K32" i="15"/>
  <c r="K31" i="15"/>
  <c r="K30" i="15"/>
  <c r="AH29" i="15" a="1"/>
  <c r="S29" i="15"/>
  <c r="T29" i="15"/>
  <c r="U29" i="15"/>
  <c r="Y29" i="15"/>
  <c r="AA29" i="15"/>
  <c r="AB29" i="15"/>
  <c r="AC29" i="15"/>
  <c r="AD29" i="15"/>
  <c r="AE29" i="15"/>
  <c r="AF29" i="15"/>
  <c r="R29" i="15"/>
  <c r="K29" i="15"/>
  <c r="Z29" i="15" s="1"/>
  <c r="U132" i="19"/>
  <c r="V132" i="19" s="1"/>
  <c r="X29" i="19"/>
  <c r="X28" i="19"/>
  <c r="Y27" i="19"/>
  <c r="Z27" i="19"/>
  <c r="AA27" i="19"/>
  <c r="AB27" i="19"/>
  <c r="AC27" i="19"/>
  <c r="AD27" i="19"/>
  <c r="AE27" i="19"/>
  <c r="AF27" i="19"/>
  <c r="AG27" i="19"/>
  <c r="AH27" i="19"/>
  <c r="AI27" i="19"/>
  <c r="AJ27" i="19"/>
  <c r="AK27" i="19"/>
  <c r="AL27" i="19"/>
  <c r="AM27" i="19"/>
  <c r="AN27" i="19"/>
  <c r="AO27" i="19"/>
  <c r="AP27" i="19"/>
  <c r="AQ27" i="19"/>
  <c r="AR27" i="19"/>
  <c r="Y28" i="19"/>
  <c r="Z28" i="19"/>
  <c r="AA28" i="19"/>
  <c r="AB28" i="19"/>
  <c r="AC28" i="19"/>
  <c r="AD28" i="19"/>
  <c r="AE28" i="19"/>
  <c r="AF28" i="19"/>
  <c r="AG28" i="19"/>
  <c r="AH28" i="19"/>
  <c r="AI28" i="19"/>
  <c r="AJ28" i="19"/>
  <c r="AK28" i="19"/>
  <c r="AL28" i="19"/>
  <c r="AM28" i="19"/>
  <c r="AN28" i="19"/>
  <c r="AO28" i="19"/>
  <c r="AP28" i="19"/>
  <c r="AQ28" i="19"/>
  <c r="AR28" i="19"/>
  <c r="Y29" i="19"/>
  <c r="Z29" i="19"/>
  <c r="AA29" i="19"/>
  <c r="AB29" i="19"/>
  <c r="AC29" i="19"/>
  <c r="AD29" i="19"/>
  <c r="AE29" i="19"/>
  <c r="AF29" i="19"/>
  <c r="AG29" i="19"/>
  <c r="AH29" i="19"/>
  <c r="AI29" i="19"/>
  <c r="AJ29" i="19"/>
  <c r="AK29" i="19"/>
  <c r="AL29" i="19"/>
  <c r="AM29" i="19"/>
  <c r="AN29" i="19"/>
  <c r="AO29" i="19"/>
  <c r="AP29" i="19"/>
  <c r="AQ29" i="19"/>
  <c r="AR29" i="19"/>
  <c r="X27" i="19"/>
  <c r="U28" i="19"/>
  <c r="W28" i="19" s="1"/>
  <c r="U29" i="19"/>
  <c r="X60" i="19"/>
  <c r="X59" i="19"/>
  <c r="X57" i="19"/>
  <c r="X58" i="19"/>
  <c r="Y60" i="19"/>
  <c r="Z60" i="19"/>
  <c r="AA60" i="19"/>
  <c r="AB60" i="19"/>
  <c r="AC60" i="19"/>
  <c r="AD60" i="19"/>
  <c r="AE60" i="19"/>
  <c r="AF60" i="19"/>
  <c r="AG60" i="19"/>
  <c r="AH60" i="19"/>
  <c r="AI60" i="19"/>
  <c r="AJ60" i="19"/>
  <c r="AK60" i="19"/>
  <c r="AL60" i="19"/>
  <c r="AM60" i="19"/>
  <c r="AN60" i="19"/>
  <c r="AO60" i="19"/>
  <c r="AP60" i="19"/>
  <c r="AQ60" i="19"/>
  <c r="AR60" i="19"/>
  <c r="U117" i="19"/>
  <c r="U116" i="19"/>
  <c r="Y16" i="15"/>
  <c r="Y71" i="19"/>
  <c r="Z71" i="19"/>
  <c r="AA71" i="19"/>
  <c r="AB71" i="19"/>
  <c r="AC71" i="19"/>
  <c r="AD71" i="19"/>
  <c r="AE71" i="19"/>
  <c r="AF71" i="19"/>
  <c r="AG71" i="19"/>
  <c r="AH71" i="19"/>
  <c r="AI71" i="19"/>
  <c r="AJ71" i="19"/>
  <c r="AK71" i="19"/>
  <c r="AL71" i="19"/>
  <c r="AM71" i="19"/>
  <c r="AN71" i="19"/>
  <c r="AO71" i="19"/>
  <c r="AP71" i="19"/>
  <c r="AQ71" i="19"/>
  <c r="AR71" i="19"/>
  <c r="Y72" i="19"/>
  <c r="Z72" i="19"/>
  <c r="AA72" i="19"/>
  <c r="AB72" i="19"/>
  <c r="AC72" i="19"/>
  <c r="AD72" i="19"/>
  <c r="AE72" i="19"/>
  <c r="AF72" i="19"/>
  <c r="AG72" i="19"/>
  <c r="AH72" i="19"/>
  <c r="AI72" i="19"/>
  <c r="AJ72" i="19"/>
  <c r="AK72" i="19"/>
  <c r="AL72" i="19"/>
  <c r="AM72" i="19"/>
  <c r="AN72" i="19"/>
  <c r="AO72" i="19"/>
  <c r="AP72" i="19"/>
  <c r="AQ72" i="19"/>
  <c r="AR72" i="19"/>
  <c r="Y73" i="19"/>
  <c r="Z73" i="19"/>
  <c r="AA73" i="19"/>
  <c r="AB73" i="19"/>
  <c r="AC73" i="19"/>
  <c r="AD73" i="19"/>
  <c r="AE73" i="19"/>
  <c r="AF73" i="19"/>
  <c r="AG73" i="19"/>
  <c r="AH73" i="19"/>
  <c r="AI73" i="19"/>
  <c r="AJ73" i="19"/>
  <c r="AK73" i="19"/>
  <c r="AL73" i="19"/>
  <c r="AM73" i="19"/>
  <c r="AN73" i="19"/>
  <c r="AO73" i="19"/>
  <c r="AP73" i="19"/>
  <c r="AQ73" i="19"/>
  <c r="AR73" i="19"/>
  <c r="Y74" i="19"/>
  <c r="Z74" i="19"/>
  <c r="AA74" i="19"/>
  <c r="AB74" i="19"/>
  <c r="AC74" i="19"/>
  <c r="AD74" i="19"/>
  <c r="AE74" i="19"/>
  <c r="AF74" i="19"/>
  <c r="AG74" i="19"/>
  <c r="AH74" i="19"/>
  <c r="AI74" i="19"/>
  <c r="AJ74" i="19"/>
  <c r="AK74" i="19"/>
  <c r="AL74" i="19"/>
  <c r="AM74" i="19"/>
  <c r="AN74" i="19"/>
  <c r="AO74" i="19"/>
  <c r="AP74" i="19"/>
  <c r="AQ74" i="19"/>
  <c r="AR74" i="19"/>
  <c r="Y75" i="19"/>
  <c r="Z75" i="19"/>
  <c r="AA75" i="19"/>
  <c r="AB75" i="19"/>
  <c r="AC75" i="19"/>
  <c r="AD75" i="19"/>
  <c r="AE75" i="19"/>
  <c r="AF75" i="19"/>
  <c r="AG75" i="19"/>
  <c r="AH75" i="19"/>
  <c r="AI75" i="19"/>
  <c r="AJ75" i="19"/>
  <c r="AK75" i="19"/>
  <c r="AL75" i="19"/>
  <c r="AM75" i="19"/>
  <c r="AN75" i="19"/>
  <c r="AO75" i="19"/>
  <c r="AP75" i="19"/>
  <c r="AQ75" i="19"/>
  <c r="AR75" i="19"/>
  <c r="X72" i="19"/>
  <c r="X73" i="19"/>
  <c r="X74" i="19"/>
  <c r="X75" i="19"/>
  <c r="X71" i="19"/>
  <c r="U75" i="19"/>
  <c r="W75" i="19" s="1"/>
  <c r="U72" i="19"/>
  <c r="W72" i="19" s="1"/>
  <c r="U73" i="19"/>
  <c r="W73" i="19" s="1"/>
  <c r="U74" i="19"/>
  <c r="W74" i="19" s="1"/>
  <c r="U87" i="19"/>
  <c r="Y35" i="19"/>
  <c r="Z35" i="19"/>
  <c r="AA35" i="19"/>
  <c r="AB35" i="19"/>
  <c r="AC35" i="19"/>
  <c r="AD35" i="19"/>
  <c r="AE35" i="19"/>
  <c r="AF35" i="19"/>
  <c r="AG35" i="19"/>
  <c r="AH35" i="19"/>
  <c r="AI35" i="19"/>
  <c r="AJ35" i="19"/>
  <c r="AK35" i="19"/>
  <c r="AL35" i="19"/>
  <c r="AM35" i="19"/>
  <c r="AN35" i="19"/>
  <c r="AO35" i="19"/>
  <c r="AP35" i="19"/>
  <c r="AQ35" i="19"/>
  <c r="AR35" i="19"/>
  <c r="Y36" i="19"/>
  <c r="Z36" i="19"/>
  <c r="AA36" i="19"/>
  <c r="AB36" i="19"/>
  <c r="AC36" i="19"/>
  <c r="AD36" i="19"/>
  <c r="AE36" i="19"/>
  <c r="AF36" i="19"/>
  <c r="AG36" i="19"/>
  <c r="AH36" i="19"/>
  <c r="AI36" i="19"/>
  <c r="AJ36" i="19"/>
  <c r="AK36" i="19"/>
  <c r="AL36" i="19"/>
  <c r="AM36" i="19"/>
  <c r="AN36" i="19"/>
  <c r="AO36" i="19"/>
  <c r="AP36" i="19"/>
  <c r="AQ36" i="19"/>
  <c r="AR36" i="19"/>
  <c r="Y37" i="19"/>
  <c r="Z37" i="19"/>
  <c r="AA37" i="19"/>
  <c r="AB37" i="19"/>
  <c r="AC37" i="19"/>
  <c r="AD37" i="19"/>
  <c r="AE37" i="19"/>
  <c r="AF37" i="19"/>
  <c r="AG37" i="19"/>
  <c r="AH37" i="19"/>
  <c r="AI37" i="19"/>
  <c r="AJ37" i="19"/>
  <c r="AK37" i="19"/>
  <c r="AL37" i="19"/>
  <c r="AM37" i="19"/>
  <c r="AN37" i="19"/>
  <c r="AO37" i="19"/>
  <c r="AP37" i="19"/>
  <c r="AQ37" i="19"/>
  <c r="AR37" i="19"/>
  <c r="Y38" i="19"/>
  <c r="Z38" i="19"/>
  <c r="AA38" i="19"/>
  <c r="AB38" i="19"/>
  <c r="AC38" i="19"/>
  <c r="AD38" i="19"/>
  <c r="AE38" i="19"/>
  <c r="AF38" i="19"/>
  <c r="AG38" i="19"/>
  <c r="AH38" i="19"/>
  <c r="AI38" i="19"/>
  <c r="AJ38" i="19"/>
  <c r="AK38" i="19"/>
  <c r="AL38" i="19"/>
  <c r="AM38" i="19"/>
  <c r="AN38" i="19"/>
  <c r="AO38" i="19"/>
  <c r="AP38" i="19"/>
  <c r="AQ38" i="19"/>
  <c r="AR38" i="19"/>
  <c r="Y39" i="19"/>
  <c r="Z39" i="19"/>
  <c r="AA39" i="19"/>
  <c r="AB39" i="19"/>
  <c r="AC39" i="19"/>
  <c r="AD39" i="19"/>
  <c r="AE39" i="19"/>
  <c r="AF39" i="19"/>
  <c r="AG39" i="19"/>
  <c r="AH39" i="19"/>
  <c r="AI39" i="19"/>
  <c r="AJ39" i="19"/>
  <c r="AK39" i="19"/>
  <c r="AL39" i="19"/>
  <c r="AM39" i="19"/>
  <c r="AN39" i="19"/>
  <c r="AO39" i="19"/>
  <c r="AP39" i="19"/>
  <c r="AQ39" i="19"/>
  <c r="AR39" i="19"/>
  <c r="Y40" i="19"/>
  <c r="Z40" i="19"/>
  <c r="AA40" i="19"/>
  <c r="AB40" i="19"/>
  <c r="AC40" i="19"/>
  <c r="AD40" i="19"/>
  <c r="AE40" i="19"/>
  <c r="AF40" i="19"/>
  <c r="AG40" i="19"/>
  <c r="AH40" i="19"/>
  <c r="AI40" i="19"/>
  <c r="AJ40" i="19"/>
  <c r="AK40" i="19"/>
  <c r="AL40" i="19"/>
  <c r="AM40" i="19"/>
  <c r="AN40" i="19"/>
  <c r="AO40" i="19"/>
  <c r="AP40" i="19"/>
  <c r="AQ40" i="19"/>
  <c r="AR40" i="19"/>
  <c r="Y41" i="19"/>
  <c r="Z41" i="19"/>
  <c r="AA41" i="19"/>
  <c r="AB41" i="19"/>
  <c r="AC41" i="19"/>
  <c r="AD41" i="19"/>
  <c r="AE41" i="19"/>
  <c r="AF41" i="19"/>
  <c r="AG41" i="19"/>
  <c r="AH41" i="19"/>
  <c r="AI41" i="19"/>
  <c r="AJ41" i="19"/>
  <c r="AK41" i="19"/>
  <c r="AL41" i="19"/>
  <c r="AM41" i="19"/>
  <c r="AN41" i="19"/>
  <c r="AO41" i="19"/>
  <c r="AP41" i="19"/>
  <c r="AQ41" i="19"/>
  <c r="AR41" i="19"/>
  <c r="Y42" i="19"/>
  <c r="Z42" i="19"/>
  <c r="AA42" i="19"/>
  <c r="AB42" i="19"/>
  <c r="AC42" i="19"/>
  <c r="AD42" i="19"/>
  <c r="AE42" i="19"/>
  <c r="AF42" i="19"/>
  <c r="AG42" i="19"/>
  <c r="AH42" i="19"/>
  <c r="AI42" i="19"/>
  <c r="AJ42" i="19"/>
  <c r="AK42" i="19"/>
  <c r="AL42" i="19"/>
  <c r="AM42" i="19"/>
  <c r="AN42" i="19"/>
  <c r="AO42" i="19"/>
  <c r="AP42" i="19"/>
  <c r="AQ42" i="19"/>
  <c r="AR42" i="19"/>
  <c r="X35" i="19"/>
  <c r="X36" i="19"/>
  <c r="X37" i="19"/>
  <c r="X38" i="19"/>
  <c r="X39" i="19"/>
  <c r="X40" i="19"/>
  <c r="X42" i="19"/>
  <c r="X41" i="19"/>
  <c r="U36" i="19"/>
  <c r="W36" i="19" s="1"/>
  <c r="U37" i="19"/>
  <c r="W37" i="19" s="1"/>
  <c r="U38" i="19"/>
  <c r="W38" i="19" s="1"/>
  <c r="U39" i="19"/>
  <c r="W39" i="19" s="1"/>
  <c r="U40" i="19"/>
  <c r="W40" i="19" s="1"/>
  <c r="U41" i="19"/>
  <c r="W41" i="19" s="1"/>
  <c r="U42" i="19"/>
  <c r="W42" i="19" s="1"/>
  <c r="V36" i="19"/>
  <c r="V87" i="19"/>
  <c r="U104" i="19"/>
  <c r="AA104" i="19"/>
  <c r="AB104" i="19"/>
  <c r="AB105" i="19"/>
  <c r="Y2" i="19"/>
  <c r="Z2" i="19"/>
  <c r="AA2" i="19"/>
  <c r="AB2" i="19"/>
  <c r="AC2" i="19"/>
  <c r="AD2" i="19"/>
  <c r="AE2" i="19"/>
  <c r="AF2" i="19"/>
  <c r="AG2" i="19"/>
  <c r="AH2" i="19"/>
  <c r="AI2" i="19"/>
  <c r="AJ2" i="19"/>
  <c r="AK2" i="19"/>
  <c r="AL2" i="19"/>
  <c r="AM2" i="19"/>
  <c r="AN2" i="19"/>
  <c r="AO2" i="19"/>
  <c r="AP2" i="19"/>
  <c r="AQ2" i="19"/>
  <c r="AR2" i="19"/>
  <c r="Y3" i="19"/>
  <c r="Z3" i="19"/>
  <c r="AA3" i="19"/>
  <c r="AB3" i="19"/>
  <c r="AC3" i="19"/>
  <c r="AD3" i="19"/>
  <c r="AE3" i="19"/>
  <c r="AF3" i="19"/>
  <c r="AG3" i="19"/>
  <c r="AH3" i="19"/>
  <c r="AI3" i="19"/>
  <c r="AJ3" i="19"/>
  <c r="AK3" i="19"/>
  <c r="AL3" i="19"/>
  <c r="AM3" i="19"/>
  <c r="AN3" i="19"/>
  <c r="AO3" i="19"/>
  <c r="AP3" i="19"/>
  <c r="AQ3" i="19"/>
  <c r="AR3" i="19"/>
  <c r="Y4" i="19"/>
  <c r="Z4" i="19"/>
  <c r="AA4" i="19"/>
  <c r="AB4" i="19"/>
  <c r="AC4" i="19"/>
  <c r="AD4" i="19"/>
  <c r="AE4" i="19"/>
  <c r="AF4" i="19"/>
  <c r="AG4" i="19"/>
  <c r="AH4" i="19"/>
  <c r="AI4" i="19"/>
  <c r="AJ4" i="19"/>
  <c r="AK4" i="19"/>
  <c r="AL4" i="19"/>
  <c r="AM4" i="19"/>
  <c r="AN4" i="19"/>
  <c r="AO4" i="19"/>
  <c r="AP4" i="19"/>
  <c r="AQ4" i="19"/>
  <c r="AR4" i="19"/>
  <c r="Y5" i="19"/>
  <c r="Z5" i="19"/>
  <c r="AA5" i="19"/>
  <c r="AB5" i="19"/>
  <c r="AC5" i="19"/>
  <c r="AD5" i="19"/>
  <c r="AE5" i="19"/>
  <c r="AF5" i="19"/>
  <c r="AG5" i="19"/>
  <c r="AH5" i="19"/>
  <c r="AI5" i="19"/>
  <c r="AJ5" i="19"/>
  <c r="AK5" i="19"/>
  <c r="AL5" i="19"/>
  <c r="AM5" i="19"/>
  <c r="AN5" i="19"/>
  <c r="AO5" i="19"/>
  <c r="AP5" i="19"/>
  <c r="AQ5" i="19"/>
  <c r="AR5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Y12" i="19"/>
  <c r="Z12" i="19"/>
  <c r="AA12" i="19"/>
  <c r="AB12" i="19"/>
  <c r="AC12" i="19"/>
  <c r="AD12" i="19"/>
  <c r="AE12" i="19"/>
  <c r="AF12" i="19"/>
  <c r="AG12" i="19"/>
  <c r="AH12" i="19"/>
  <c r="AI12" i="19"/>
  <c r="AJ12" i="19"/>
  <c r="AK12" i="19"/>
  <c r="AL12" i="19"/>
  <c r="AM12" i="19"/>
  <c r="AN12" i="19"/>
  <c r="AO12" i="19"/>
  <c r="AP12" i="19"/>
  <c r="AQ12" i="19"/>
  <c r="AR12" i="19"/>
  <c r="Y13" i="19"/>
  <c r="Z13" i="19"/>
  <c r="AA13" i="19"/>
  <c r="AB13" i="19"/>
  <c r="AC13" i="19"/>
  <c r="AD13" i="19"/>
  <c r="AE13" i="19"/>
  <c r="AF13" i="19"/>
  <c r="AG13" i="19"/>
  <c r="AH13" i="19"/>
  <c r="AI13" i="19"/>
  <c r="AJ13" i="19"/>
  <c r="AK13" i="19"/>
  <c r="AL13" i="19"/>
  <c r="AM13" i="19"/>
  <c r="AN13" i="19"/>
  <c r="AO13" i="19"/>
  <c r="AP13" i="19"/>
  <c r="AQ13" i="19"/>
  <c r="AR13" i="19"/>
  <c r="Y14" i="19"/>
  <c r="Z14" i="19"/>
  <c r="AA14" i="19"/>
  <c r="AB14" i="19"/>
  <c r="AC14" i="19"/>
  <c r="AD14" i="19"/>
  <c r="AE14" i="19"/>
  <c r="AF14" i="19"/>
  <c r="AG14" i="19"/>
  <c r="AH14" i="19"/>
  <c r="AI14" i="19"/>
  <c r="AJ14" i="19"/>
  <c r="AK14" i="19"/>
  <c r="AL14" i="19"/>
  <c r="AM14" i="19"/>
  <c r="AN14" i="19"/>
  <c r="AO14" i="19"/>
  <c r="AP14" i="19"/>
  <c r="AQ14" i="19"/>
  <c r="AR14" i="19"/>
  <c r="Y15" i="19"/>
  <c r="Z15" i="19"/>
  <c r="AA15" i="19"/>
  <c r="AB15" i="19"/>
  <c r="AC15" i="19"/>
  <c r="AD15" i="19"/>
  <c r="AE15" i="19"/>
  <c r="AF15" i="19"/>
  <c r="AG15" i="19"/>
  <c r="AH15" i="19"/>
  <c r="AI15" i="19"/>
  <c r="AJ15" i="19"/>
  <c r="AK15" i="19"/>
  <c r="AL15" i="19"/>
  <c r="AM15" i="19"/>
  <c r="AN15" i="19"/>
  <c r="AO15" i="19"/>
  <c r="AP15" i="19"/>
  <c r="AQ15" i="19"/>
  <c r="AR15" i="19"/>
  <c r="Y16" i="19"/>
  <c r="Z16" i="19"/>
  <c r="AA16" i="19"/>
  <c r="AB16" i="19"/>
  <c r="AC16" i="19"/>
  <c r="AD16" i="19"/>
  <c r="AE16" i="19"/>
  <c r="AF16" i="19"/>
  <c r="AG16" i="19"/>
  <c r="AH16" i="19"/>
  <c r="AI16" i="19"/>
  <c r="AJ16" i="19"/>
  <c r="AK16" i="19"/>
  <c r="AL16" i="19"/>
  <c r="AM16" i="19"/>
  <c r="AN16" i="19"/>
  <c r="AO16" i="19"/>
  <c r="AP16" i="19"/>
  <c r="AQ16" i="19"/>
  <c r="AR16" i="19"/>
  <c r="Y17" i="19"/>
  <c r="Z17" i="19"/>
  <c r="AA17" i="19"/>
  <c r="AB17" i="19"/>
  <c r="AC17" i="19"/>
  <c r="AD17" i="19"/>
  <c r="AE17" i="19"/>
  <c r="AF17" i="19"/>
  <c r="AG17" i="19"/>
  <c r="AH17" i="19"/>
  <c r="AI17" i="19"/>
  <c r="AJ17" i="19"/>
  <c r="AK17" i="19"/>
  <c r="AL17" i="19"/>
  <c r="AM17" i="19"/>
  <c r="AN17" i="19"/>
  <c r="AO17" i="19"/>
  <c r="AP17" i="19"/>
  <c r="AQ17" i="19"/>
  <c r="AR17" i="19"/>
  <c r="Y19" i="19"/>
  <c r="Z19" i="19"/>
  <c r="AA19" i="19"/>
  <c r="AB19" i="19"/>
  <c r="AC19" i="19"/>
  <c r="AD19" i="19"/>
  <c r="AE19" i="19"/>
  <c r="AF19" i="19"/>
  <c r="AG19" i="19"/>
  <c r="AH19" i="19"/>
  <c r="AI19" i="19"/>
  <c r="AJ19" i="19"/>
  <c r="AK19" i="19"/>
  <c r="AL19" i="19"/>
  <c r="AM19" i="19"/>
  <c r="AN19" i="19"/>
  <c r="AO19" i="19"/>
  <c r="AP19" i="19"/>
  <c r="AQ19" i="19"/>
  <c r="AR19" i="19"/>
  <c r="Y20" i="19"/>
  <c r="Z20" i="19"/>
  <c r="AA20" i="19"/>
  <c r="AB20" i="19"/>
  <c r="AC20" i="19"/>
  <c r="AD20" i="19"/>
  <c r="AE20" i="19"/>
  <c r="AF20" i="19"/>
  <c r="AG20" i="19"/>
  <c r="AH20" i="19"/>
  <c r="AI20" i="19"/>
  <c r="AJ20" i="19"/>
  <c r="AK20" i="19"/>
  <c r="AL20" i="19"/>
  <c r="AM20" i="19"/>
  <c r="AN20" i="19"/>
  <c r="AO20" i="19"/>
  <c r="AP20" i="19"/>
  <c r="AQ20" i="19"/>
  <c r="AR20" i="19"/>
  <c r="Y21" i="19"/>
  <c r="Z21" i="19"/>
  <c r="AA21" i="19"/>
  <c r="AB21" i="19"/>
  <c r="AC21" i="19"/>
  <c r="AD21" i="19"/>
  <c r="AE21" i="19"/>
  <c r="AF21" i="19"/>
  <c r="AG21" i="19"/>
  <c r="AH21" i="19"/>
  <c r="AI21" i="19"/>
  <c r="AJ21" i="19"/>
  <c r="AK21" i="19"/>
  <c r="AL21" i="19"/>
  <c r="AM21" i="19"/>
  <c r="AN21" i="19"/>
  <c r="AO21" i="19"/>
  <c r="AP21" i="19"/>
  <c r="AQ21" i="19"/>
  <c r="AR21" i="19"/>
  <c r="Y22" i="19"/>
  <c r="Z22" i="19"/>
  <c r="AA22" i="19"/>
  <c r="AB22" i="19"/>
  <c r="AC22" i="19"/>
  <c r="AD22" i="19"/>
  <c r="AE22" i="19"/>
  <c r="AF22" i="19"/>
  <c r="AG22" i="19"/>
  <c r="AH22" i="19"/>
  <c r="AI22" i="19"/>
  <c r="AJ22" i="19"/>
  <c r="AK22" i="19"/>
  <c r="AL22" i="19"/>
  <c r="AM22" i="19"/>
  <c r="AN22" i="19"/>
  <c r="AO22" i="19"/>
  <c r="AP22" i="19"/>
  <c r="AQ22" i="19"/>
  <c r="AR22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AK23" i="19"/>
  <c r="AL23" i="19"/>
  <c r="AM23" i="19"/>
  <c r="AN23" i="19"/>
  <c r="AO23" i="19"/>
  <c r="AP23" i="19"/>
  <c r="AQ23" i="19"/>
  <c r="AR23" i="19"/>
  <c r="Y24" i="19"/>
  <c r="Z24" i="19"/>
  <c r="AA24" i="19"/>
  <c r="AB24" i="19"/>
  <c r="AC24" i="19"/>
  <c r="AD24" i="19"/>
  <c r="AE24" i="19"/>
  <c r="AF24" i="19"/>
  <c r="AG24" i="19"/>
  <c r="AH24" i="19"/>
  <c r="AI24" i="19"/>
  <c r="AJ24" i="19"/>
  <c r="AK24" i="19"/>
  <c r="AL24" i="19"/>
  <c r="AM24" i="19"/>
  <c r="AN24" i="19"/>
  <c r="AO24" i="19"/>
  <c r="AP24" i="19"/>
  <c r="AQ24" i="19"/>
  <c r="AR24" i="19"/>
  <c r="Y25" i="19"/>
  <c r="Z25" i="19"/>
  <c r="AA25" i="19"/>
  <c r="AB25" i="19"/>
  <c r="AC25" i="19"/>
  <c r="AD25" i="19"/>
  <c r="AE25" i="19"/>
  <c r="AF25" i="19"/>
  <c r="AG25" i="19"/>
  <c r="AH25" i="19"/>
  <c r="AI25" i="19"/>
  <c r="AJ25" i="19"/>
  <c r="AK25" i="19"/>
  <c r="AL25" i="19"/>
  <c r="AM25" i="19"/>
  <c r="AN25" i="19"/>
  <c r="AO25" i="19"/>
  <c r="AP25" i="19"/>
  <c r="AQ25" i="19"/>
  <c r="AR25" i="19"/>
  <c r="Y26" i="19"/>
  <c r="Z26" i="19"/>
  <c r="AA26" i="19"/>
  <c r="AB26" i="19"/>
  <c r="AC26" i="19"/>
  <c r="AD26" i="19"/>
  <c r="AE26" i="19"/>
  <c r="AF26" i="19"/>
  <c r="AG26" i="19"/>
  <c r="AH26" i="19"/>
  <c r="AI26" i="19"/>
  <c r="AJ26" i="19"/>
  <c r="AK26" i="19"/>
  <c r="AL26" i="19"/>
  <c r="AM26" i="19"/>
  <c r="AN26" i="19"/>
  <c r="AO26" i="19"/>
  <c r="AP26" i="19"/>
  <c r="AQ26" i="19"/>
  <c r="AR26" i="19"/>
  <c r="Y30" i="19"/>
  <c r="Z30" i="19"/>
  <c r="AA30" i="19"/>
  <c r="AB30" i="19"/>
  <c r="AC30" i="19"/>
  <c r="AD30" i="19"/>
  <c r="AE30" i="19"/>
  <c r="AF30" i="19"/>
  <c r="AG30" i="19"/>
  <c r="AH30" i="19"/>
  <c r="AI30" i="19"/>
  <c r="AJ30" i="19"/>
  <c r="AK30" i="19"/>
  <c r="AL30" i="19"/>
  <c r="AM30" i="19"/>
  <c r="AN30" i="19"/>
  <c r="AO30" i="19"/>
  <c r="AP30" i="19"/>
  <c r="AQ30" i="19"/>
  <c r="AR30" i="19"/>
  <c r="Y31" i="19"/>
  <c r="Z31" i="19"/>
  <c r="AA31" i="19"/>
  <c r="AB31" i="19"/>
  <c r="AC31" i="19"/>
  <c r="AD31" i="19"/>
  <c r="AE31" i="19"/>
  <c r="AF31" i="19"/>
  <c r="AG31" i="19"/>
  <c r="AH31" i="19"/>
  <c r="AI31" i="19"/>
  <c r="AJ31" i="19"/>
  <c r="AK31" i="19"/>
  <c r="AL31" i="19"/>
  <c r="AM31" i="19"/>
  <c r="AN31" i="19"/>
  <c r="AO31" i="19"/>
  <c r="AP31" i="19"/>
  <c r="AQ31" i="19"/>
  <c r="AR31" i="19"/>
  <c r="Y32" i="19"/>
  <c r="Z32" i="19"/>
  <c r="AA32" i="19"/>
  <c r="AB32" i="19"/>
  <c r="AC32" i="19"/>
  <c r="AD32" i="19"/>
  <c r="AE32" i="19"/>
  <c r="AF32" i="19"/>
  <c r="AG32" i="19"/>
  <c r="AH32" i="19"/>
  <c r="AI32" i="19"/>
  <c r="AJ32" i="19"/>
  <c r="AK32" i="19"/>
  <c r="AL32" i="19"/>
  <c r="AM32" i="19"/>
  <c r="AN32" i="19"/>
  <c r="AO32" i="19"/>
  <c r="AP32" i="19"/>
  <c r="AQ32" i="19"/>
  <c r="AR32" i="19"/>
  <c r="Y33" i="19"/>
  <c r="Z33" i="19"/>
  <c r="AA33" i="19"/>
  <c r="AB33" i="19"/>
  <c r="AC33" i="19"/>
  <c r="AD33" i="19"/>
  <c r="AE33" i="19"/>
  <c r="AF33" i="19"/>
  <c r="AG33" i="19"/>
  <c r="AH33" i="19"/>
  <c r="AI33" i="19"/>
  <c r="AJ33" i="19"/>
  <c r="AK33" i="19"/>
  <c r="AL33" i="19"/>
  <c r="AM33" i="19"/>
  <c r="AN33" i="19"/>
  <c r="AO33" i="19"/>
  <c r="AP33" i="19"/>
  <c r="AQ33" i="19"/>
  <c r="AR33" i="19"/>
  <c r="Y44" i="19"/>
  <c r="Z44" i="19"/>
  <c r="AA44" i="19"/>
  <c r="AB44" i="19"/>
  <c r="AC44" i="19"/>
  <c r="AD44" i="19"/>
  <c r="AE44" i="19"/>
  <c r="AF44" i="19"/>
  <c r="AG44" i="19"/>
  <c r="AH44" i="19"/>
  <c r="AI44" i="19"/>
  <c r="AJ44" i="19"/>
  <c r="AK44" i="19"/>
  <c r="AL44" i="19"/>
  <c r="AM44" i="19"/>
  <c r="AN44" i="19"/>
  <c r="AO44" i="19"/>
  <c r="AP44" i="19"/>
  <c r="AQ44" i="19"/>
  <c r="AR44" i="19"/>
  <c r="Y45" i="19"/>
  <c r="Z45" i="19"/>
  <c r="AA45" i="19"/>
  <c r="AB45" i="19"/>
  <c r="AC45" i="19"/>
  <c r="AD45" i="19"/>
  <c r="AE45" i="19"/>
  <c r="AF45" i="19"/>
  <c r="AG45" i="19"/>
  <c r="AH45" i="19"/>
  <c r="AI45" i="19"/>
  <c r="AJ45" i="19"/>
  <c r="AK45" i="19"/>
  <c r="AL45" i="19"/>
  <c r="AM45" i="19"/>
  <c r="AN45" i="19"/>
  <c r="AO45" i="19"/>
  <c r="AP45" i="19"/>
  <c r="AQ45" i="19"/>
  <c r="AR45" i="19"/>
  <c r="Y46" i="19"/>
  <c r="Z46" i="19"/>
  <c r="AA46" i="19"/>
  <c r="AB46" i="19"/>
  <c r="AC46" i="19"/>
  <c r="AD46" i="19"/>
  <c r="AE46" i="19"/>
  <c r="AF46" i="19"/>
  <c r="AG46" i="19"/>
  <c r="AH46" i="19"/>
  <c r="AI46" i="19"/>
  <c r="AJ46" i="19"/>
  <c r="AK46" i="19"/>
  <c r="AL46" i="19"/>
  <c r="AM46" i="19"/>
  <c r="AN46" i="19"/>
  <c r="AO46" i="19"/>
  <c r="AP46" i="19"/>
  <c r="AQ46" i="19"/>
  <c r="AR46" i="19"/>
  <c r="Y47" i="19"/>
  <c r="Z47" i="19"/>
  <c r="AA47" i="19"/>
  <c r="AB47" i="19"/>
  <c r="AC47" i="19"/>
  <c r="AD47" i="19"/>
  <c r="AE47" i="19"/>
  <c r="AF47" i="19"/>
  <c r="AG47" i="19"/>
  <c r="AH47" i="19"/>
  <c r="AI47" i="19"/>
  <c r="AJ47" i="19"/>
  <c r="AK47" i="19"/>
  <c r="AL47" i="19"/>
  <c r="AM47" i="19"/>
  <c r="AN47" i="19"/>
  <c r="AO47" i="19"/>
  <c r="AP47" i="19"/>
  <c r="AQ47" i="19"/>
  <c r="AR47" i="19"/>
  <c r="Y48" i="19"/>
  <c r="Z48" i="19"/>
  <c r="AA48" i="19"/>
  <c r="AB48" i="19"/>
  <c r="AC48" i="19"/>
  <c r="AD48" i="19"/>
  <c r="AE48" i="19"/>
  <c r="AF48" i="19"/>
  <c r="AG48" i="19"/>
  <c r="AH48" i="19"/>
  <c r="AI48" i="19"/>
  <c r="AJ48" i="19"/>
  <c r="AK48" i="19"/>
  <c r="AL48" i="19"/>
  <c r="AM48" i="19"/>
  <c r="AN48" i="19"/>
  <c r="AO48" i="19"/>
  <c r="AP48" i="19"/>
  <c r="AQ48" i="19"/>
  <c r="AR48" i="19"/>
  <c r="Y49" i="19"/>
  <c r="Z49" i="19"/>
  <c r="AA49" i="19"/>
  <c r="AB49" i="19"/>
  <c r="AC49" i="19"/>
  <c r="AD49" i="19"/>
  <c r="AE49" i="19"/>
  <c r="AF49" i="19"/>
  <c r="AG49" i="19"/>
  <c r="AH49" i="19"/>
  <c r="AI49" i="19"/>
  <c r="AJ49" i="19"/>
  <c r="AK49" i="19"/>
  <c r="AL49" i="19"/>
  <c r="AM49" i="19"/>
  <c r="AN49" i="19"/>
  <c r="AO49" i="19"/>
  <c r="AP49" i="19"/>
  <c r="AQ49" i="19"/>
  <c r="AR49" i="19"/>
  <c r="Y50" i="19"/>
  <c r="Z50" i="19"/>
  <c r="AA50" i="19"/>
  <c r="AB50" i="19"/>
  <c r="AC50" i="19"/>
  <c r="AD50" i="19"/>
  <c r="AE50" i="19"/>
  <c r="AF50" i="19"/>
  <c r="AG50" i="19"/>
  <c r="AH50" i="19"/>
  <c r="AI50" i="19"/>
  <c r="AJ50" i="19"/>
  <c r="AK50" i="19"/>
  <c r="AL50" i="19"/>
  <c r="AM50" i="19"/>
  <c r="AN50" i="19"/>
  <c r="AO50" i="19"/>
  <c r="AP50" i="19"/>
  <c r="AQ50" i="19"/>
  <c r="AR50" i="19"/>
  <c r="Y52" i="19"/>
  <c r="Z52" i="19"/>
  <c r="AA52" i="19"/>
  <c r="AB52" i="19"/>
  <c r="AC52" i="19"/>
  <c r="AD52" i="19"/>
  <c r="AE52" i="19"/>
  <c r="AF52" i="19"/>
  <c r="AG52" i="19"/>
  <c r="AH52" i="19"/>
  <c r="AI52" i="19"/>
  <c r="AJ52" i="19"/>
  <c r="AK52" i="19"/>
  <c r="AL52" i="19"/>
  <c r="AM52" i="19"/>
  <c r="AN52" i="19"/>
  <c r="AO52" i="19"/>
  <c r="AP52" i="19"/>
  <c r="AQ52" i="19"/>
  <c r="AR52" i="19"/>
  <c r="Y53" i="19"/>
  <c r="Z53" i="19"/>
  <c r="AA53" i="19"/>
  <c r="AB53" i="19"/>
  <c r="AC53" i="19"/>
  <c r="AD53" i="19"/>
  <c r="AE53" i="19"/>
  <c r="AF53" i="19"/>
  <c r="AG53" i="19"/>
  <c r="AH53" i="19"/>
  <c r="AI53" i="19"/>
  <c r="AJ53" i="19"/>
  <c r="AK53" i="19"/>
  <c r="AL53" i="19"/>
  <c r="AM53" i="19"/>
  <c r="AN53" i="19"/>
  <c r="AO53" i="19"/>
  <c r="AP53" i="19"/>
  <c r="AQ53" i="19"/>
  <c r="AR53" i="19"/>
  <c r="Y54" i="19"/>
  <c r="Z54" i="19"/>
  <c r="AA54" i="19"/>
  <c r="AB54" i="19"/>
  <c r="AC54" i="19"/>
  <c r="AD54" i="19"/>
  <c r="AE54" i="19"/>
  <c r="AF54" i="19"/>
  <c r="AG54" i="19"/>
  <c r="AH54" i="19"/>
  <c r="AI54" i="19"/>
  <c r="AJ54" i="19"/>
  <c r="AK54" i="19"/>
  <c r="AL54" i="19"/>
  <c r="AM54" i="19"/>
  <c r="AN54" i="19"/>
  <c r="AO54" i="19"/>
  <c r="AP54" i="19"/>
  <c r="AQ54" i="19"/>
  <c r="AR54" i="19"/>
  <c r="Y55" i="19"/>
  <c r="Z55" i="19"/>
  <c r="AA55" i="19"/>
  <c r="AB55" i="19"/>
  <c r="AC55" i="19"/>
  <c r="AD55" i="19"/>
  <c r="AE55" i="19"/>
  <c r="AF55" i="19"/>
  <c r="AG55" i="19"/>
  <c r="AH55" i="19"/>
  <c r="AI55" i="19"/>
  <c r="AJ55" i="19"/>
  <c r="AK55" i="19"/>
  <c r="AL55" i="19"/>
  <c r="AM55" i="19"/>
  <c r="AN55" i="19"/>
  <c r="AO55" i="19"/>
  <c r="AP55" i="19"/>
  <c r="AQ55" i="19"/>
  <c r="AR55" i="19"/>
  <c r="Y57" i="19"/>
  <c r="Z57" i="19"/>
  <c r="AA57" i="19"/>
  <c r="AB57" i="19"/>
  <c r="AC57" i="19"/>
  <c r="AD57" i="19"/>
  <c r="AE57" i="19"/>
  <c r="AF57" i="19"/>
  <c r="AG57" i="19"/>
  <c r="AH57" i="19"/>
  <c r="AI57" i="19"/>
  <c r="AJ57" i="19"/>
  <c r="AK57" i="19"/>
  <c r="AL57" i="19"/>
  <c r="AM57" i="19"/>
  <c r="AN57" i="19"/>
  <c r="AO57" i="19"/>
  <c r="AP57" i="19"/>
  <c r="AQ57" i="19"/>
  <c r="AR57" i="19"/>
  <c r="Y58" i="19"/>
  <c r="Z58" i="19"/>
  <c r="AA58" i="19"/>
  <c r="AB58" i="19"/>
  <c r="AC58" i="19"/>
  <c r="AD58" i="19"/>
  <c r="AE58" i="19"/>
  <c r="AF58" i="19"/>
  <c r="AG58" i="19"/>
  <c r="AH58" i="19"/>
  <c r="AI58" i="19"/>
  <c r="AJ58" i="19"/>
  <c r="AK58" i="19"/>
  <c r="AL58" i="19"/>
  <c r="AM58" i="19"/>
  <c r="AN58" i="19"/>
  <c r="AO58" i="19"/>
  <c r="AP58" i="19"/>
  <c r="AQ58" i="19"/>
  <c r="AR58" i="19"/>
  <c r="Y59" i="19"/>
  <c r="Z59" i="19"/>
  <c r="AA59" i="19"/>
  <c r="AB59" i="19"/>
  <c r="AC59" i="19"/>
  <c r="AD59" i="19"/>
  <c r="AE59" i="19"/>
  <c r="AF59" i="19"/>
  <c r="AG59" i="19"/>
  <c r="AH59" i="19"/>
  <c r="AI59" i="19"/>
  <c r="AJ59" i="19"/>
  <c r="AK59" i="19"/>
  <c r="AL59" i="19"/>
  <c r="AM59" i="19"/>
  <c r="AN59" i="19"/>
  <c r="AO59" i="19"/>
  <c r="AP59" i="19"/>
  <c r="AQ59" i="19"/>
  <c r="AR59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Y68" i="19"/>
  <c r="Z68" i="19"/>
  <c r="AA68" i="19"/>
  <c r="AB68" i="19"/>
  <c r="AC68" i="19"/>
  <c r="AD68" i="19"/>
  <c r="AE68" i="19"/>
  <c r="AF68" i="19"/>
  <c r="AG68" i="19"/>
  <c r="AH68" i="19"/>
  <c r="AI68" i="19"/>
  <c r="AJ68" i="19"/>
  <c r="AK68" i="19"/>
  <c r="AL68" i="19"/>
  <c r="AM68" i="19"/>
  <c r="AN68" i="19"/>
  <c r="AO68" i="19"/>
  <c r="AP68" i="19"/>
  <c r="AQ68" i="19"/>
  <c r="AR68" i="19"/>
  <c r="Y69" i="19"/>
  <c r="Z69" i="19"/>
  <c r="AA69" i="19"/>
  <c r="AB69" i="19"/>
  <c r="AC69" i="19"/>
  <c r="AD69" i="19"/>
  <c r="AE69" i="19"/>
  <c r="AF69" i="19"/>
  <c r="AG69" i="19"/>
  <c r="AH69" i="19"/>
  <c r="AI69" i="19"/>
  <c r="AJ69" i="19"/>
  <c r="AK69" i="19"/>
  <c r="AL69" i="19"/>
  <c r="AM69" i="19"/>
  <c r="AN69" i="19"/>
  <c r="AO69" i="19"/>
  <c r="AP69" i="19"/>
  <c r="AQ69" i="19"/>
  <c r="AR69" i="19"/>
  <c r="Y77" i="19"/>
  <c r="Z77" i="19"/>
  <c r="AA77" i="19"/>
  <c r="AB77" i="19"/>
  <c r="AC77" i="19"/>
  <c r="AD77" i="19"/>
  <c r="AE77" i="19"/>
  <c r="AF77" i="19"/>
  <c r="AG77" i="19"/>
  <c r="AH77" i="19"/>
  <c r="AI77" i="19"/>
  <c r="AJ77" i="19"/>
  <c r="AK77" i="19"/>
  <c r="AL77" i="19"/>
  <c r="AM77" i="19"/>
  <c r="AN77" i="19"/>
  <c r="AO77" i="19"/>
  <c r="AP77" i="19"/>
  <c r="AQ77" i="19"/>
  <c r="AR77" i="19"/>
  <c r="Y78" i="19"/>
  <c r="Z78" i="19"/>
  <c r="AA78" i="19"/>
  <c r="AB78" i="19"/>
  <c r="AC78" i="19"/>
  <c r="AD78" i="19"/>
  <c r="AE78" i="19"/>
  <c r="AF78" i="19"/>
  <c r="AG78" i="19"/>
  <c r="AH78" i="19"/>
  <c r="AI78" i="19"/>
  <c r="AJ78" i="19"/>
  <c r="AK78" i="19"/>
  <c r="AL78" i="19"/>
  <c r="AM78" i="19"/>
  <c r="AN78" i="19"/>
  <c r="AO78" i="19"/>
  <c r="AP78" i="19"/>
  <c r="AQ78" i="19"/>
  <c r="AR78" i="19"/>
  <c r="Y80" i="19"/>
  <c r="Z80" i="19"/>
  <c r="AA80" i="19"/>
  <c r="AB80" i="19"/>
  <c r="AC80" i="19"/>
  <c r="AD80" i="19"/>
  <c r="AE80" i="19"/>
  <c r="AF80" i="19"/>
  <c r="AG80" i="19"/>
  <c r="AH80" i="19"/>
  <c r="AI80" i="19"/>
  <c r="AJ80" i="19"/>
  <c r="AK80" i="19"/>
  <c r="AL80" i="19"/>
  <c r="AM80" i="19"/>
  <c r="AN80" i="19"/>
  <c r="AO80" i="19"/>
  <c r="AP80" i="19"/>
  <c r="AQ80" i="19"/>
  <c r="AR80" i="19"/>
  <c r="Y81" i="19"/>
  <c r="Z81" i="19"/>
  <c r="AA81" i="19"/>
  <c r="AB81" i="19"/>
  <c r="AC81" i="19"/>
  <c r="AD81" i="19"/>
  <c r="AE81" i="19"/>
  <c r="AF81" i="19"/>
  <c r="AG81" i="19"/>
  <c r="AH81" i="19"/>
  <c r="AI81" i="19"/>
  <c r="AJ81" i="19"/>
  <c r="AK81" i="19"/>
  <c r="AL81" i="19"/>
  <c r="AM81" i="19"/>
  <c r="AN81" i="19"/>
  <c r="AO81" i="19"/>
  <c r="AP81" i="19"/>
  <c r="AQ81" i="19"/>
  <c r="AR81" i="19"/>
  <c r="Y82" i="19"/>
  <c r="Z82" i="19"/>
  <c r="AA82" i="19"/>
  <c r="AB82" i="19"/>
  <c r="AC82" i="19"/>
  <c r="AD82" i="19"/>
  <c r="AE82" i="19"/>
  <c r="AF82" i="19"/>
  <c r="AG82" i="19"/>
  <c r="AH82" i="19"/>
  <c r="AI82" i="19"/>
  <c r="AJ82" i="19"/>
  <c r="AK82" i="19"/>
  <c r="AL82" i="19"/>
  <c r="AM82" i="19"/>
  <c r="AN82" i="19"/>
  <c r="AO82" i="19"/>
  <c r="AP82" i="19"/>
  <c r="AQ82" i="19"/>
  <c r="AR82" i="19"/>
  <c r="Y83" i="19"/>
  <c r="Z83" i="19"/>
  <c r="AA83" i="19"/>
  <c r="AB83" i="19"/>
  <c r="AC83" i="19"/>
  <c r="AD83" i="19"/>
  <c r="AE83" i="19"/>
  <c r="AF83" i="19"/>
  <c r="AG83" i="19"/>
  <c r="AH83" i="19"/>
  <c r="AI83" i="19"/>
  <c r="AJ83" i="19"/>
  <c r="AK83" i="19"/>
  <c r="AL83" i="19"/>
  <c r="AM83" i="19"/>
  <c r="AN83" i="19"/>
  <c r="AO83" i="19"/>
  <c r="AP83" i="19"/>
  <c r="AQ83" i="19"/>
  <c r="AR83" i="19"/>
  <c r="Y84" i="19"/>
  <c r="Z84" i="19"/>
  <c r="AA84" i="19"/>
  <c r="AB84" i="19"/>
  <c r="AC84" i="19"/>
  <c r="AD84" i="19"/>
  <c r="AE84" i="19"/>
  <c r="AF84" i="19"/>
  <c r="AG84" i="19"/>
  <c r="AH84" i="19"/>
  <c r="AI84" i="19"/>
  <c r="AJ84" i="19"/>
  <c r="AK84" i="19"/>
  <c r="AL84" i="19"/>
  <c r="AM84" i="19"/>
  <c r="AN84" i="19"/>
  <c r="AO84" i="19"/>
  <c r="AP84" i="19"/>
  <c r="AQ84" i="19"/>
  <c r="AR84" i="19"/>
  <c r="Y85" i="19"/>
  <c r="Z85" i="19"/>
  <c r="AA85" i="19"/>
  <c r="AB85" i="19"/>
  <c r="AC85" i="19"/>
  <c r="AD85" i="19"/>
  <c r="AE85" i="19"/>
  <c r="AF85" i="19"/>
  <c r="AG85" i="19"/>
  <c r="AH85" i="19"/>
  <c r="AI85" i="19"/>
  <c r="AJ85" i="19"/>
  <c r="AK85" i="19"/>
  <c r="AL85" i="19"/>
  <c r="AM85" i="19"/>
  <c r="AN85" i="19"/>
  <c r="AO85" i="19"/>
  <c r="AP85" i="19"/>
  <c r="AQ85" i="19"/>
  <c r="AR85" i="19"/>
  <c r="Y86" i="19"/>
  <c r="Z86" i="19"/>
  <c r="AA86" i="19"/>
  <c r="AB86" i="19"/>
  <c r="AC86" i="19"/>
  <c r="AD86" i="19"/>
  <c r="AE86" i="19"/>
  <c r="AF86" i="19"/>
  <c r="AG86" i="19"/>
  <c r="AH86" i="19"/>
  <c r="AI86" i="19"/>
  <c r="AJ86" i="19"/>
  <c r="AK86" i="19"/>
  <c r="AL86" i="19"/>
  <c r="AM86" i="19"/>
  <c r="AN86" i="19"/>
  <c r="AO86" i="19"/>
  <c r="AP86" i="19"/>
  <c r="AQ86" i="19"/>
  <c r="AR86" i="19"/>
  <c r="Y87" i="19"/>
  <c r="Z87" i="19"/>
  <c r="AA87" i="19"/>
  <c r="AB87" i="19"/>
  <c r="AC87" i="19"/>
  <c r="AD87" i="19"/>
  <c r="AE87" i="19"/>
  <c r="AF87" i="19"/>
  <c r="AG87" i="19"/>
  <c r="AH87" i="19"/>
  <c r="AI87" i="19"/>
  <c r="AJ87" i="19"/>
  <c r="AK87" i="19"/>
  <c r="AL87" i="19"/>
  <c r="AM87" i="19"/>
  <c r="AN87" i="19"/>
  <c r="AO87" i="19"/>
  <c r="AP87" i="19"/>
  <c r="AQ87" i="19"/>
  <c r="AR87" i="19"/>
  <c r="Y89" i="19"/>
  <c r="Z89" i="19"/>
  <c r="AA89" i="19"/>
  <c r="AB89" i="19"/>
  <c r="AC89" i="19"/>
  <c r="AD89" i="19"/>
  <c r="AE89" i="19"/>
  <c r="AF89" i="19"/>
  <c r="AG89" i="19"/>
  <c r="AH89" i="19"/>
  <c r="AI89" i="19"/>
  <c r="AJ89" i="19"/>
  <c r="AK89" i="19"/>
  <c r="AL89" i="19"/>
  <c r="AM89" i="19"/>
  <c r="AN89" i="19"/>
  <c r="AO89" i="19"/>
  <c r="AP89" i="19"/>
  <c r="AQ89" i="19"/>
  <c r="AR89" i="19"/>
  <c r="Y90" i="19"/>
  <c r="Z90" i="19"/>
  <c r="AA90" i="19"/>
  <c r="AB90" i="19"/>
  <c r="AC90" i="19"/>
  <c r="AD90" i="19"/>
  <c r="AE90" i="19"/>
  <c r="AF90" i="19"/>
  <c r="AG90" i="19"/>
  <c r="AH90" i="19"/>
  <c r="AI90" i="19"/>
  <c r="AJ90" i="19"/>
  <c r="AK90" i="19"/>
  <c r="AL90" i="19"/>
  <c r="AM90" i="19"/>
  <c r="AN90" i="19"/>
  <c r="AO90" i="19"/>
  <c r="AP90" i="19"/>
  <c r="AQ90" i="19"/>
  <c r="AR90" i="19"/>
  <c r="Y91" i="19"/>
  <c r="Z91" i="19"/>
  <c r="AA91" i="19"/>
  <c r="AB91" i="19"/>
  <c r="AC91" i="19"/>
  <c r="AD91" i="19"/>
  <c r="AE91" i="19"/>
  <c r="AF91" i="19"/>
  <c r="AG91" i="19"/>
  <c r="AH91" i="19"/>
  <c r="AI91" i="19"/>
  <c r="AJ91" i="19"/>
  <c r="AK91" i="19"/>
  <c r="AL91" i="19"/>
  <c r="AM91" i="19"/>
  <c r="AN91" i="19"/>
  <c r="AO91" i="19"/>
  <c r="AP91" i="19"/>
  <c r="AQ91" i="19"/>
  <c r="AR91" i="19"/>
  <c r="Y92" i="19"/>
  <c r="Z92" i="19"/>
  <c r="AA92" i="19"/>
  <c r="AB92" i="19"/>
  <c r="AC92" i="19"/>
  <c r="AD92" i="19"/>
  <c r="AE92" i="19"/>
  <c r="AF92" i="19"/>
  <c r="AG92" i="19"/>
  <c r="AH92" i="19"/>
  <c r="AI92" i="19"/>
  <c r="AJ92" i="19"/>
  <c r="AK92" i="19"/>
  <c r="AL92" i="19"/>
  <c r="AM92" i="19"/>
  <c r="AN92" i="19"/>
  <c r="AO92" i="19"/>
  <c r="AP92" i="19"/>
  <c r="AQ92" i="19"/>
  <c r="AR92" i="19"/>
  <c r="Y93" i="19"/>
  <c r="Z93" i="19"/>
  <c r="AA93" i="19"/>
  <c r="AB93" i="19"/>
  <c r="AC93" i="19"/>
  <c r="AD93" i="19"/>
  <c r="AE93" i="19"/>
  <c r="AF93" i="19"/>
  <c r="AG93" i="19"/>
  <c r="AH93" i="19"/>
  <c r="AI93" i="19"/>
  <c r="AJ93" i="19"/>
  <c r="AK93" i="19"/>
  <c r="AL93" i="19"/>
  <c r="AM93" i="19"/>
  <c r="AN93" i="19"/>
  <c r="AO93" i="19"/>
  <c r="AP93" i="19"/>
  <c r="AQ93" i="19"/>
  <c r="AR93" i="19"/>
  <c r="Y94" i="19"/>
  <c r="Z94" i="19"/>
  <c r="AA94" i="19"/>
  <c r="AB94" i="19"/>
  <c r="AC94" i="19"/>
  <c r="AD94" i="19"/>
  <c r="AE94" i="19"/>
  <c r="AF94" i="19"/>
  <c r="AG94" i="19"/>
  <c r="AH94" i="19"/>
  <c r="AI94" i="19"/>
  <c r="AJ94" i="19"/>
  <c r="AK94" i="19"/>
  <c r="AL94" i="19"/>
  <c r="AM94" i="19"/>
  <c r="AN94" i="19"/>
  <c r="AO94" i="19"/>
  <c r="AP94" i="19"/>
  <c r="AQ94" i="19"/>
  <c r="AR94" i="19"/>
  <c r="Y95" i="19"/>
  <c r="Z95" i="19"/>
  <c r="AA95" i="19"/>
  <c r="AB95" i="19"/>
  <c r="AC95" i="19"/>
  <c r="AD95" i="19"/>
  <c r="AE95" i="19"/>
  <c r="AF95" i="19"/>
  <c r="AG95" i="19"/>
  <c r="AH95" i="19"/>
  <c r="AI95" i="19"/>
  <c r="AJ95" i="19"/>
  <c r="AK95" i="19"/>
  <c r="AL95" i="19"/>
  <c r="AM95" i="19"/>
  <c r="AN95" i="19"/>
  <c r="AO95" i="19"/>
  <c r="AP95" i="19"/>
  <c r="AQ95" i="19"/>
  <c r="AR95" i="19"/>
  <c r="AA96" i="19"/>
  <c r="AB96" i="19"/>
  <c r="AC96" i="19"/>
  <c r="AD96" i="19"/>
  <c r="AE96" i="19"/>
  <c r="AF96" i="19"/>
  <c r="AG96" i="19"/>
  <c r="AH96" i="19"/>
  <c r="AI96" i="19"/>
  <c r="AJ96" i="19"/>
  <c r="AK96" i="19"/>
  <c r="AL96" i="19"/>
  <c r="AM96" i="19"/>
  <c r="AN96" i="19"/>
  <c r="AO96" i="19"/>
  <c r="AP96" i="19"/>
  <c r="AQ96" i="19"/>
  <c r="AR96" i="19"/>
  <c r="Y97" i="19"/>
  <c r="Z97" i="19"/>
  <c r="AA97" i="19"/>
  <c r="AB97" i="19"/>
  <c r="AC97" i="19"/>
  <c r="AD97" i="19"/>
  <c r="AE97" i="19"/>
  <c r="AF97" i="19"/>
  <c r="AG97" i="19"/>
  <c r="AH97" i="19"/>
  <c r="AI97" i="19"/>
  <c r="AJ97" i="19"/>
  <c r="AK97" i="19"/>
  <c r="AL97" i="19"/>
  <c r="AM97" i="19"/>
  <c r="AN97" i="19"/>
  <c r="AO97" i="19"/>
  <c r="AP97" i="19"/>
  <c r="AQ97" i="19"/>
  <c r="AR97" i="19"/>
  <c r="Y98" i="19"/>
  <c r="Z98" i="19"/>
  <c r="AA98" i="19"/>
  <c r="AB98" i="19"/>
  <c r="AC98" i="19"/>
  <c r="AD98" i="19"/>
  <c r="AE98" i="19"/>
  <c r="AF98" i="19"/>
  <c r="AG98" i="19"/>
  <c r="AH98" i="19"/>
  <c r="AI98" i="19"/>
  <c r="AJ98" i="19"/>
  <c r="AK98" i="19"/>
  <c r="AL98" i="19"/>
  <c r="AM98" i="19"/>
  <c r="AN98" i="19"/>
  <c r="AO98" i="19"/>
  <c r="AP98" i="19"/>
  <c r="AQ98" i="19"/>
  <c r="AR98" i="19"/>
  <c r="Y99" i="19"/>
  <c r="Z99" i="19"/>
  <c r="AA99" i="19"/>
  <c r="AB99" i="19"/>
  <c r="AC99" i="19"/>
  <c r="AD99" i="19"/>
  <c r="AE99" i="19"/>
  <c r="AF99" i="19"/>
  <c r="AG99" i="19"/>
  <c r="AH99" i="19"/>
  <c r="AI99" i="19"/>
  <c r="AJ99" i="19"/>
  <c r="AK99" i="19"/>
  <c r="AL99" i="19"/>
  <c r="AM99" i="19"/>
  <c r="AN99" i="19"/>
  <c r="AO99" i="19"/>
  <c r="AP99" i="19"/>
  <c r="AQ99" i="19"/>
  <c r="AR99" i="19"/>
  <c r="Y100" i="19"/>
  <c r="Z100" i="19"/>
  <c r="AA100" i="19"/>
  <c r="AB100" i="19"/>
  <c r="AC100" i="19"/>
  <c r="AD100" i="19"/>
  <c r="AE100" i="19"/>
  <c r="AF100" i="19"/>
  <c r="AG100" i="19"/>
  <c r="AH100" i="19"/>
  <c r="AI100" i="19"/>
  <c r="AJ100" i="19"/>
  <c r="AK100" i="19"/>
  <c r="AL100" i="19"/>
  <c r="AM100" i="19"/>
  <c r="AN100" i="19"/>
  <c r="AO100" i="19"/>
  <c r="AP100" i="19"/>
  <c r="AQ100" i="19"/>
  <c r="AR100" i="19"/>
  <c r="Y101" i="19"/>
  <c r="Z101" i="19"/>
  <c r="AA101" i="19"/>
  <c r="AB101" i="19"/>
  <c r="AC101" i="19"/>
  <c r="AD101" i="19"/>
  <c r="AE101" i="19"/>
  <c r="AF101" i="19"/>
  <c r="AG101" i="19"/>
  <c r="AH101" i="19"/>
  <c r="AI101" i="19"/>
  <c r="AJ101" i="19"/>
  <c r="AK101" i="19"/>
  <c r="AL101" i="19"/>
  <c r="AM101" i="19"/>
  <c r="AN101" i="19"/>
  <c r="AO101" i="19"/>
  <c r="AP101" i="19"/>
  <c r="AQ101" i="19"/>
  <c r="AR101" i="19"/>
  <c r="Y102" i="19"/>
  <c r="Z102" i="19"/>
  <c r="AA102" i="19"/>
  <c r="AB102" i="19"/>
  <c r="AC102" i="19"/>
  <c r="AD102" i="19"/>
  <c r="AE102" i="19"/>
  <c r="AF102" i="19"/>
  <c r="AG102" i="19"/>
  <c r="AH102" i="19"/>
  <c r="AI102" i="19"/>
  <c r="AJ102" i="19"/>
  <c r="AK102" i="19"/>
  <c r="AL102" i="19"/>
  <c r="AM102" i="19"/>
  <c r="AN102" i="19"/>
  <c r="AO102" i="19"/>
  <c r="AP102" i="19"/>
  <c r="AQ102" i="19"/>
  <c r="AR102" i="19"/>
  <c r="Y103" i="19"/>
  <c r="Z103" i="19"/>
  <c r="AA103" i="19"/>
  <c r="AB103" i="19"/>
  <c r="AC103" i="19"/>
  <c r="AD103" i="19"/>
  <c r="AE103" i="19"/>
  <c r="AF103" i="19"/>
  <c r="AG103" i="19"/>
  <c r="AH103" i="19"/>
  <c r="AI103" i="19"/>
  <c r="AJ103" i="19"/>
  <c r="AK103" i="19"/>
  <c r="AL103" i="19"/>
  <c r="AM103" i="19"/>
  <c r="AN103" i="19"/>
  <c r="AO103" i="19"/>
  <c r="AP103" i="19"/>
  <c r="AQ103" i="19"/>
  <c r="AR103" i="19"/>
  <c r="AC104" i="19"/>
  <c r="AD104" i="19"/>
  <c r="AE104" i="19"/>
  <c r="AF104" i="19"/>
  <c r="AG104" i="19"/>
  <c r="AH104" i="19"/>
  <c r="AI104" i="19"/>
  <c r="AJ104" i="19"/>
  <c r="AK104" i="19"/>
  <c r="AL104" i="19"/>
  <c r="AM104" i="19"/>
  <c r="AN104" i="19"/>
  <c r="AO104" i="19"/>
  <c r="AP104" i="19"/>
  <c r="AQ104" i="19"/>
  <c r="AR104" i="19"/>
  <c r="AA105" i="19"/>
  <c r="AC105" i="19"/>
  <c r="AD105" i="19"/>
  <c r="AE105" i="19"/>
  <c r="AF105" i="19"/>
  <c r="AG105" i="19"/>
  <c r="AH105" i="19"/>
  <c r="AI105" i="19"/>
  <c r="AJ105" i="19"/>
  <c r="AK105" i="19"/>
  <c r="AL105" i="19"/>
  <c r="AM105" i="19"/>
  <c r="AN105" i="19"/>
  <c r="AO105" i="19"/>
  <c r="AP105" i="19"/>
  <c r="AQ105" i="19"/>
  <c r="AR105" i="19"/>
  <c r="Y106" i="19"/>
  <c r="Z106" i="19"/>
  <c r="AA106" i="19"/>
  <c r="AB106" i="19"/>
  <c r="AC106" i="19"/>
  <c r="AD106" i="19"/>
  <c r="AE106" i="19"/>
  <c r="AF106" i="19"/>
  <c r="AG106" i="19"/>
  <c r="AH106" i="19"/>
  <c r="AI106" i="19"/>
  <c r="AJ106" i="19"/>
  <c r="AK106" i="19"/>
  <c r="AL106" i="19"/>
  <c r="AM106" i="19"/>
  <c r="AN106" i="19"/>
  <c r="AO106" i="19"/>
  <c r="AP106" i="19"/>
  <c r="AQ106" i="19"/>
  <c r="AR106" i="19"/>
  <c r="Y107" i="19"/>
  <c r="Z107" i="19"/>
  <c r="AA107" i="19"/>
  <c r="AB107" i="19"/>
  <c r="AC107" i="19"/>
  <c r="AD107" i="19"/>
  <c r="AE107" i="19"/>
  <c r="AF107" i="19"/>
  <c r="AG107" i="19"/>
  <c r="AH107" i="19"/>
  <c r="AI107" i="19"/>
  <c r="AJ107" i="19"/>
  <c r="AK107" i="19"/>
  <c r="AL107" i="19"/>
  <c r="AM107" i="19"/>
  <c r="AN107" i="19"/>
  <c r="AO107" i="19"/>
  <c r="AP107" i="19"/>
  <c r="AQ107" i="19"/>
  <c r="AR107" i="19"/>
  <c r="Y108" i="19"/>
  <c r="Z108" i="19"/>
  <c r="AA108" i="19"/>
  <c r="AB108" i="19"/>
  <c r="AC108" i="19"/>
  <c r="AD108" i="19"/>
  <c r="AE108" i="19"/>
  <c r="AF108" i="19"/>
  <c r="AG108" i="19"/>
  <c r="AH108" i="19"/>
  <c r="AI108" i="19"/>
  <c r="AJ108" i="19"/>
  <c r="AK108" i="19"/>
  <c r="AL108" i="19"/>
  <c r="AM108" i="19"/>
  <c r="AN108" i="19"/>
  <c r="AO108" i="19"/>
  <c r="AP108" i="19"/>
  <c r="AQ108" i="19"/>
  <c r="AR108" i="19"/>
  <c r="Y109" i="19"/>
  <c r="Z109" i="19"/>
  <c r="AA109" i="19"/>
  <c r="AB109" i="19"/>
  <c r="AC109" i="19"/>
  <c r="AD109" i="19"/>
  <c r="AE109" i="19"/>
  <c r="AF109" i="19"/>
  <c r="AG109" i="19"/>
  <c r="AH109" i="19"/>
  <c r="AI109" i="19"/>
  <c r="AJ109" i="19"/>
  <c r="AK109" i="19"/>
  <c r="AL109" i="19"/>
  <c r="AM109" i="19"/>
  <c r="AN109" i="19"/>
  <c r="AO109" i="19"/>
  <c r="AP109" i="19"/>
  <c r="AQ109" i="19"/>
  <c r="AR109" i="19"/>
  <c r="Y110" i="19"/>
  <c r="Z110" i="19"/>
  <c r="AA110" i="19"/>
  <c r="AB110" i="19"/>
  <c r="AC110" i="19"/>
  <c r="AD110" i="19"/>
  <c r="AE110" i="19"/>
  <c r="AF110" i="19"/>
  <c r="AG110" i="19"/>
  <c r="AH110" i="19"/>
  <c r="AI110" i="19"/>
  <c r="AJ110" i="19"/>
  <c r="AK110" i="19"/>
  <c r="AL110" i="19"/>
  <c r="AM110" i="19"/>
  <c r="AN110" i="19"/>
  <c r="AO110" i="19"/>
  <c r="AP110" i="19"/>
  <c r="AQ110" i="19"/>
  <c r="AR110" i="19"/>
  <c r="Y111" i="19"/>
  <c r="Z111" i="19"/>
  <c r="AA111" i="19"/>
  <c r="AB111" i="19"/>
  <c r="AC111" i="19"/>
  <c r="AD111" i="19"/>
  <c r="AE111" i="19"/>
  <c r="AF111" i="19"/>
  <c r="AG111" i="19"/>
  <c r="AH111" i="19"/>
  <c r="AI111" i="19"/>
  <c r="AJ111" i="19"/>
  <c r="AK111" i="19"/>
  <c r="AL111" i="19"/>
  <c r="AM111" i="19"/>
  <c r="AN111" i="19"/>
  <c r="AO111" i="19"/>
  <c r="AP111" i="19"/>
  <c r="AQ111" i="19"/>
  <c r="AR111" i="19"/>
  <c r="Y112" i="19"/>
  <c r="Z112" i="19"/>
  <c r="AA112" i="19"/>
  <c r="AB112" i="19"/>
  <c r="AC112" i="19"/>
  <c r="AD112" i="19"/>
  <c r="AE112" i="19"/>
  <c r="AF112" i="19"/>
  <c r="AG112" i="19"/>
  <c r="AH112" i="19"/>
  <c r="AI112" i="19"/>
  <c r="AJ112" i="19"/>
  <c r="AK112" i="19"/>
  <c r="AL112" i="19"/>
  <c r="AM112" i="19"/>
  <c r="AN112" i="19"/>
  <c r="AO112" i="19"/>
  <c r="AP112" i="19"/>
  <c r="AQ112" i="19"/>
  <c r="AR112" i="19"/>
  <c r="Y113" i="19"/>
  <c r="Z113" i="19"/>
  <c r="AA113" i="19"/>
  <c r="AB113" i="19"/>
  <c r="AC113" i="19"/>
  <c r="AD113" i="19"/>
  <c r="AE113" i="19"/>
  <c r="AF113" i="19"/>
  <c r="AG113" i="19"/>
  <c r="AH113" i="19"/>
  <c r="AI113" i="19"/>
  <c r="AJ113" i="19"/>
  <c r="AK113" i="19"/>
  <c r="AL113" i="19"/>
  <c r="AM113" i="19"/>
  <c r="AN113" i="19"/>
  <c r="AO113" i="19"/>
  <c r="AP113" i="19"/>
  <c r="AQ113" i="19"/>
  <c r="AR113" i="19"/>
  <c r="Y116" i="19"/>
  <c r="Z116" i="19"/>
  <c r="AA116" i="19"/>
  <c r="AB116" i="19"/>
  <c r="AC116" i="19"/>
  <c r="AD116" i="19"/>
  <c r="AE116" i="19"/>
  <c r="AF116" i="19"/>
  <c r="AG116" i="19"/>
  <c r="AH116" i="19"/>
  <c r="AI116" i="19"/>
  <c r="AJ116" i="19"/>
  <c r="AK116" i="19"/>
  <c r="AL116" i="19"/>
  <c r="AM116" i="19"/>
  <c r="AN116" i="19"/>
  <c r="AO116" i="19"/>
  <c r="AP116" i="19"/>
  <c r="AQ116" i="19"/>
  <c r="AR116" i="19"/>
  <c r="Y117" i="19"/>
  <c r="Z117" i="19"/>
  <c r="AA117" i="19"/>
  <c r="AB117" i="19"/>
  <c r="AC117" i="19"/>
  <c r="AD117" i="19"/>
  <c r="AE117" i="19"/>
  <c r="AF117" i="19"/>
  <c r="AG117" i="19"/>
  <c r="AH117" i="19"/>
  <c r="AI117" i="19"/>
  <c r="AJ117" i="19"/>
  <c r="AK117" i="19"/>
  <c r="AL117" i="19"/>
  <c r="AM117" i="19"/>
  <c r="AN117" i="19"/>
  <c r="AO117" i="19"/>
  <c r="AP117" i="19"/>
  <c r="AQ117" i="19"/>
  <c r="AR117" i="19"/>
  <c r="Y118" i="19"/>
  <c r="Z118" i="19"/>
  <c r="AA118" i="19"/>
  <c r="AB118" i="19"/>
  <c r="AC118" i="19"/>
  <c r="AD118" i="19"/>
  <c r="AE118" i="19"/>
  <c r="AF118" i="19"/>
  <c r="AG118" i="19"/>
  <c r="AH118" i="19"/>
  <c r="AI118" i="19"/>
  <c r="AJ118" i="19"/>
  <c r="AK118" i="19"/>
  <c r="AL118" i="19"/>
  <c r="AM118" i="19"/>
  <c r="AN118" i="19"/>
  <c r="AO118" i="19"/>
  <c r="AP118" i="19"/>
  <c r="AQ118" i="19"/>
  <c r="AR118" i="19"/>
  <c r="Y119" i="19"/>
  <c r="Z119" i="19"/>
  <c r="AA119" i="19"/>
  <c r="AB119" i="19"/>
  <c r="AC119" i="19"/>
  <c r="AD119" i="19"/>
  <c r="AE119" i="19"/>
  <c r="AF119" i="19"/>
  <c r="AG119" i="19"/>
  <c r="AH119" i="19"/>
  <c r="AI119" i="19"/>
  <c r="AJ119" i="19"/>
  <c r="AK119" i="19"/>
  <c r="AL119" i="19"/>
  <c r="AM119" i="19"/>
  <c r="AN119" i="19"/>
  <c r="AO119" i="19"/>
  <c r="AP119" i="19"/>
  <c r="AQ119" i="19"/>
  <c r="AR119" i="19"/>
  <c r="Y120" i="19"/>
  <c r="Z120" i="19"/>
  <c r="AA120" i="19"/>
  <c r="AB120" i="19"/>
  <c r="AC120" i="19"/>
  <c r="AD120" i="19"/>
  <c r="AE120" i="19"/>
  <c r="AF120" i="19"/>
  <c r="AG120" i="19"/>
  <c r="AH120" i="19"/>
  <c r="AI120" i="19"/>
  <c r="AJ120" i="19"/>
  <c r="AK120" i="19"/>
  <c r="AL120" i="19"/>
  <c r="AM120" i="19"/>
  <c r="AN120" i="19"/>
  <c r="AO120" i="19"/>
  <c r="AP120" i="19"/>
  <c r="AQ120" i="19"/>
  <c r="AR120" i="19"/>
  <c r="Y121" i="19"/>
  <c r="Z121" i="19"/>
  <c r="AA121" i="19"/>
  <c r="AB121" i="19"/>
  <c r="AC121" i="19"/>
  <c r="AD121" i="19"/>
  <c r="AE121" i="19"/>
  <c r="AF121" i="19"/>
  <c r="AG121" i="19"/>
  <c r="AH121" i="19"/>
  <c r="AI121" i="19"/>
  <c r="AJ121" i="19"/>
  <c r="AK121" i="19"/>
  <c r="AL121" i="19"/>
  <c r="AM121" i="19"/>
  <c r="AN121" i="19"/>
  <c r="AO121" i="19"/>
  <c r="AP121" i="19"/>
  <c r="AQ121" i="19"/>
  <c r="AR121" i="19"/>
  <c r="Y122" i="19"/>
  <c r="Z122" i="19"/>
  <c r="AA122" i="19"/>
  <c r="AB122" i="19"/>
  <c r="AC122" i="19"/>
  <c r="AD122" i="19"/>
  <c r="AE122" i="19"/>
  <c r="AF122" i="19"/>
  <c r="AG122" i="19"/>
  <c r="AH122" i="19"/>
  <c r="AI122" i="19"/>
  <c r="AJ122" i="19"/>
  <c r="AK122" i="19"/>
  <c r="AL122" i="19"/>
  <c r="AM122" i="19"/>
  <c r="AN122" i="19"/>
  <c r="AO122" i="19"/>
  <c r="AP122" i="19"/>
  <c r="AQ122" i="19"/>
  <c r="AR122" i="19"/>
  <c r="Y123" i="19"/>
  <c r="Z123" i="19"/>
  <c r="AA123" i="19"/>
  <c r="AB123" i="19"/>
  <c r="AC123" i="19"/>
  <c r="AD123" i="19"/>
  <c r="AE123" i="19"/>
  <c r="AF123" i="19"/>
  <c r="AG123" i="19"/>
  <c r="AH123" i="19"/>
  <c r="AI123" i="19"/>
  <c r="AJ123" i="19"/>
  <c r="AK123" i="19"/>
  <c r="AL123" i="19"/>
  <c r="AM123" i="19"/>
  <c r="AN123" i="19"/>
  <c r="AO123" i="19"/>
  <c r="AP123" i="19"/>
  <c r="AQ123" i="19"/>
  <c r="AR123" i="19"/>
  <c r="Y124" i="19"/>
  <c r="Z124" i="19"/>
  <c r="AA124" i="19"/>
  <c r="AB124" i="19"/>
  <c r="AC124" i="19"/>
  <c r="AD124" i="19"/>
  <c r="AE124" i="19"/>
  <c r="AF124" i="19"/>
  <c r="AG124" i="19"/>
  <c r="AH124" i="19"/>
  <c r="AI124" i="19"/>
  <c r="AJ124" i="19"/>
  <c r="AK124" i="19"/>
  <c r="AL124" i="19"/>
  <c r="AM124" i="19"/>
  <c r="AN124" i="19"/>
  <c r="AO124" i="19"/>
  <c r="AP124" i="19"/>
  <c r="AQ124" i="19"/>
  <c r="AR124" i="19"/>
  <c r="Y125" i="19"/>
  <c r="Z125" i="19"/>
  <c r="AA125" i="19"/>
  <c r="AB125" i="19"/>
  <c r="AC125" i="19"/>
  <c r="AD125" i="19"/>
  <c r="AE125" i="19"/>
  <c r="AF125" i="19"/>
  <c r="AG125" i="19"/>
  <c r="AH125" i="19"/>
  <c r="AI125" i="19"/>
  <c r="AJ125" i="19"/>
  <c r="AK125" i="19"/>
  <c r="AL125" i="19"/>
  <c r="AM125" i="19"/>
  <c r="AN125" i="19"/>
  <c r="AO125" i="19"/>
  <c r="AP125" i="19"/>
  <c r="AQ125" i="19"/>
  <c r="AR125" i="19"/>
  <c r="Y126" i="19"/>
  <c r="Z126" i="19"/>
  <c r="AA126" i="19"/>
  <c r="AB126" i="19"/>
  <c r="AC126" i="19"/>
  <c r="AD126" i="19"/>
  <c r="AE126" i="19"/>
  <c r="AF126" i="19"/>
  <c r="AG126" i="19"/>
  <c r="AH126" i="19"/>
  <c r="AI126" i="19"/>
  <c r="AJ126" i="19"/>
  <c r="AK126" i="19"/>
  <c r="AL126" i="19"/>
  <c r="AM126" i="19"/>
  <c r="AN126" i="19"/>
  <c r="AO126" i="19"/>
  <c r="AP126" i="19"/>
  <c r="AQ126" i="19"/>
  <c r="AR126" i="19"/>
  <c r="Y127" i="19"/>
  <c r="Z127" i="19"/>
  <c r="AA127" i="19"/>
  <c r="AB127" i="19"/>
  <c r="AC127" i="19"/>
  <c r="AD127" i="19"/>
  <c r="AE127" i="19"/>
  <c r="AF127" i="19"/>
  <c r="AG127" i="19"/>
  <c r="AH127" i="19"/>
  <c r="AI127" i="19"/>
  <c r="AJ127" i="19"/>
  <c r="AK127" i="19"/>
  <c r="AL127" i="19"/>
  <c r="AM127" i="19"/>
  <c r="AN127" i="19"/>
  <c r="AO127" i="19"/>
  <c r="AP127" i="19"/>
  <c r="AQ127" i="19"/>
  <c r="AR127" i="19"/>
  <c r="Y129" i="19"/>
  <c r="Z129" i="19"/>
  <c r="AA129" i="19"/>
  <c r="AB129" i="19"/>
  <c r="AC129" i="19"/>
  <c r="AD129" i="19"/>
  <c r="AE129" i="19"/>
  <c r="AF129" i="19"/>
  <c r="AG129" i="19"/>
  <c r="AH129" i="19"/>
  <c r="AI129" i="19"/>
  <c r="AJ129" i="19"/>
  <c r="AK129" i="19"/>
  <c r="AL129" i="19"/>
  <c r="AM129" i="19"/>
  <c r="AN129" i="19"/>
  <c r="AO129" i="19"/>
  <c r="AP129" i="19"/>
  <c r="AQ129" i="19"/>
  <c r="AR129" i="19"/>
  <c r="Y130" i="19"/>
  <c r="Z130" i="19"/>
  <c r="AA130" i="19"/>
  <c r="AB130" i="19"/>
  <c r="AC130" i="19"/>
  <c r="AD130" i="19"/>
  <c r="AE130" i="19"/>
  <c r="AF130" i="19"/>
  <c r="AG130" i="19"/>
  <c r="AH130" i="19"/>
  <c r="AI130" i="19"/>
  <c r="AJ130" i="19"/>
  <c r="AK130" i="19"/>
  <c r="AL130" i="19"/>
  <c r="AM130" i="19"/>
  <c r="AN130" i="19"/>
  <c r="AO130" i="19"/>
  <c r="AP130" i="19"/>
  <c r="AQ130" i="19"/>
  <c r="AR130" i="19"/>
  <c r="Y131" i="19"/>
  <c r="Z131" i="19"/>
  <c r="AA131" i="19"/>
  <c r="AB131" i="19"/>
  <c r="AC131" i="19"/>
  <c r="AD131" i="19"/>
  <c r="AE131" i="19"/>
  <c r="AF131" i="19"/>
  <c r="AG131" i="19"/>
  <c r="AH131" i="19"/>
  <c r="AI131" i="19"/>
  <c r="AJ131" i="19"/>
  <c r="AK131" i="19"/>
  <c r="AL131" i="19"/>
  <c r="AM131" i="19"/>
  <c r="AN131" i="19"/>
  <c r="AO131" i="19"/>
  <c r="AP131" i="19"/>
  <c r="AQ131" i="19"/>
  <c r="AR131" i="19"/>
  <c r="Y132" i="19"/>
  <c r="Z132" i="19"/>
  <c r="AA132" i="19"/>
  <c r="AB132" i="19"/>
  <c r="AC132" i="19"/>
  <c r="AD132" i="19"/>
  <c r="AE132" i="19"/>
  <c r="AF132" i="19"/>
  <c r="AG132" i="19"/>
  <c r="AH132" i="19"/>
  <c r="AI132" i="19"/>
  <c r="AJ132" i="19"/>
  <c r="AK132" i="19"/>
  <c r="AL132" i="19"/>
  <c r="AM132" i="19"/>
  <c r="AN132" i="19"/>
  <c r="AO132" i="19"/>
  <c r="AP132" i="19"/>
  <c r="AQ132" i="19"/>
  <c r="AR132" i="19"/>
  <c r="Y133" i="19"/>
  <c r="Z133" i="19"/>
  <c r="AA133" i="19"/>
  <c r="AB133" i="19"/>
  <c r="AC133" i="19"/>
  <c r="AD133" i="19"/>
  <c r="AE133" i="19"/>
  <c r="AF133" i="19"/>
  <c r="AG133" i="19"/>
  <c r="AH133" i="19"/>
  <c r="AI133" i="19"/>
  <c r="AJ133" i="19"/>
  <c r="AK133" i="19"/>
  <c r="AL133" i="19"/>
  <c r="AM133" i="19"/>
  <c r="AN133" i="19"/>
  <c r="AO133" i="19"/>
  <c r="AP133" i="19"/>
  <c r="AQ133" i="19"/>
  <c r="AR133" i="19"/>
  <c r="Y134" i="19"/>
  <c r="Z134" i="19"/>
  <c r="AA134" i="19"/>
  <c r="AB134" i="19"/>
  <c r="AC134" i="19"/>
  <c r="AD134" i="19"/>
  <c r="AE134" i="19"/>
  <c r="AF134" i="19"/>
  <c r="AG134" i="19"/>
  <c r="AH134" i="19"/>
  <c r="AI134" i="19"/>
  <c r="AJ134" i="19"/>
  <c r="AK134" i="19"/>
  <c r="AL134" i="19"/>
  <c r="AM134" i="19"/>
  <c r="AN134" i="19"/>
  <c r="AO134" i="19"/>
  <c r="AP134" i="19"/>
  <c r="AQ134" i="19"/>
  <c r="AR134" i="19"/>
  <c r="Y135" i="19"/>
  <c r="Z135" i="19"/>
  <c r="AA135" i="19"/>
  <c r="AB135" i="19"/>
  <c r="AC135" i="19"/>
  <c r="AD135" i="19"/>
  <c r="AE135" i="19"/>
  <c r="AF135" i="19"/>
  <c r="AG135" i="19"/>
  <c r="AH135" i="19"/>
  <c r="AI135" i="19"/>
  <c r="AJ135" i="19"/>
  <c r="AK135" i="19"/>
  <c r="AL135" i="19"/>
  <c r="AM135" i="19"/>
  <c r="AN135" i="19"/>
  <c r="AO135" i="19"/>
  <c r="AP135" i="19"/>
  <c r="AQ135" i="19"/>
  <c r="AR135" i="19"/>
  <c r="Y136" i="19"/>
  <c r="Z136" i="19"/>
  <c r="AA136" i="19"/>
  <c r="AB136" i="19"/>
  <c r="AC136" i="19"/>
  <c r="AD136" i="19"/>
  <c r="AE136" i="19"/>
  <c r="AF136" i="19"/>
  <c r="AG136" i="19"/>
  <c r="AH136" i="19"/>
  <c r="AI136" i="19"/>
  <c r="AJ136" i="19"/>
  <c r="AK136" i="19"/>
  <c r="AL136" i="19"/>
  <c r="AM136" i="19"/>
  <c r="AN136" i="19"/>
  <c r="AO136" i="19"/>
  <c r="AP136" i="19"/>
  <c r="AQ136" i="19"/>
  <c r="AR136" i="19"/>
  <c r="Y137" i="19"/>
  <c r="Z137" i="19"/>
  <c r="AA137" i="19"/>
  <c r="AB137" i="19"/>
  <c r="AC137" i="19"/>
  <c r="AD137" i="19"/>
  <c r="AE137" i="19"/>
  <c r="AF137" i="19"/>
  <c r="AG137" i="19"/>
  <c r="AH137" i="19"/>
  <c r="AI137" i="19"/>
  <c r="AJ137" i="19"/>
  <c r="AK137" i="19"/>
  <c r="AL137" i="19"/>
  <c r="AM137" i="19"/>
  <c r="AN137" i="19"/>
  <c r="AO137" i="19"/>
  <c r="AP137" i="19"/>
  <c r="AQ137" i="19"/>
  <c r="AR137" i="19"/>
  <c r="Y138" i="19"/>
  <c r="Z138" i="19"/>
  <c r="AA138" i="19"/>
  <c r="AB138" i="19"/>
  <c r="AC138" i="19"/>
  <c r="AD138" i="19"/>
  <c r="AE138" i="19"/>
  <c r="AF138" i="19"/>
  <c r="AG138" i="19"/>
  <c r="AH138" i="19"/>
  <c r="AI138" i="19"/>
  <c r="AJ138" i="19"/>
  <c r="AK138" i="19"/>
  <c r="AL138" i="19"/>
  <c r="AM138" i="19"/>
  <c r="AN138" i="19"/>
  <c r="AO138" i="19"/>
  <c r="AP138" i="19"/>
  <c r="AQ138" i="19"/>
  <c r="AR138" i="19"/>
  <c r="Y139" i="19"/>
  <c r="Z139" i="19"/>
  <c r="AA139" i="19"/>
  <c r="AB139" i="19"/>
  <c r="AC139" i="19"/>
  <c r="AD139" i="19"/>
  <c r="AE139" i="19"/>
  <c r="AF139" i="19"/>
  <c r="AG139" i="19"/>
  <c r="AH139" i="19"/>
  <c r="AI139" i="19"/>
  <c r="AJ139" i="19"/>
  <c r="AK139" i="19"/>
  <c r="AL139" i="19"/>
  <c r="AM139" i="19"/>
  <c r="AN139" i="19"/>
  <c r="AO139" i="19"/>
  <c r="AP139" i="19"/>
  <c r="AQ139" i="19"/>
  <c r="AR139" i="19"/>
  <c r="Y140" i="19"/>
  <c r="Z140" i="19"/>
  <c r="AA140" i="19"/>
  <c r="AB140" i="19"/>
  <c r="AC140" i="19"/>
  <c r="AD140" i="19"/>
  <c r="AE140" i="19"/>
  <c r="AF140" i="19"/>
  <c r="AG140" i="19"/>
  <c r="AH140" i="19"/>
  <c r="AI140" i="19"/>
  <c r="AJ140" i="19"/>
  <c r="AK140" i="19"/>
  <c r="AL140" i="19"/>
  <c r="AM140" i="19"/>
  <c r="AN140" i="19"/>
  <c r="AO140" i="19"/>
  <c r="AP140" i="19"/>
  <c r="AQ140" i="19"/>
  <c r="AR140" i="19"/>
  <c r="AB141" i="19"/>
  <c r="AC141" i="19"/>
  <c r="AD141" i="19"/>
  <c r="AE141" i="19"/>
  <c r="AF141" i="19"/>
  <c r="AG141" i="19"/>
  <c r="AH141" i="19"/>
  <c r="AI141" i="19"/>
  <c r="AJ141" i="19"/>
  <c r="AK141" i="19"/>
  <c r="AL141" i="19"/>
  <c r="AM141" i="19"/>
  <c r="AN141" i="19"/>
  <c r="AO141" i="19"/>
  <c r="AP141" i="19"/>
  <c r="AQ141" i="19"/>
  <c r="AR141" i="19"/>
  <c r="AB142" i="19"/>
  <c r="AC142" i="19"/>
  <c r="AD142" i="19"/>
  <c r="AE142" i="19"/>
  <c r="AF142" i="19"/>
  <c r="AG142" i="19"/>
  <c r="AH142" i="19"/>
  <c r="AI142" i="19"/>
  <c r="AJ142" i="19"/>
  <c r="AK142" i="19"/>
  <c r="AL142" i="19"/>
  <c r="AM142" i="19"/>
  <c r="AN142" i="19"/>
  <c r="AO142" i="19"/>
  <c r="AP142" i="19"/>
  <c r="AQ142" i="19"/>
  <c r="AR142" i="19"/>
  <c r="Y143" i="19"/>
  <c r="Z143" i="19"/>
  <c r="AA143" i="19"/>
  <c r="AB143" i="19"/>
  <c r="AC143" i="19"/>
  <c r="AD143" i="19"/>
  <c r="AE143" i="19"/>
  <c r="AF143" i="19"/>
  <c r="AG143" i="19"/>
  <c r="AH143" i="19"/>
  <c r="AI143" i="19"/>
  <c r="AJ143" i="19"/>
  <c r="AK143" i="19"/>
  <c r="AL143" i="19"/>
  <c r="AM143" i="19"/>
  <c r="AN143" i="19"/>
  <c r="AO143" i="19"/>
  <c r="AP143" i="19"/>
  <c r="AQ143" i="19"/>
  <c r="AR143" i="19"/>
  <c r="Y144" i="19"/>
  <c r="Z144" i="19"/>
  <c r="AA144" i="19"/>
  <c r="AB144" i="19"/>
  <c r="AC144" i="19"/>
  <c r="AD144" i="19"/>
  <c r="AE144" i="19"/>
  <c r="AF144" i="19"/>
  <c r="AG144" i="19"/>
  <c r="AH144" i="19"/>
  <c r="AI144" i="19"/>
  <c r="AJ144" i="19"/>
  <c r="AK144" i="19"/>
  <c r="AL144" i="19"/>
  <c r="AM144" i="19"/>
  <c r="AN144" i="19"/>
  <c r="AO144" i="19"/>
  <c r="AP144" i="19"/>
  <c r="AQ144" i="19"/>
  <c r="AR144" i="19"/>
  <c r="Y145" i="19"/>
  <c r="Z145" i="19"/>
  <c r="AA145" i="19"/>
  <c r="AB145" i="19"/>
  <c r="AC145" i="19"/>
  <c r="AD145" i="19"/>
  <c r="AE145" i="19"/>
  <c r="AF145" i="19"/>
  <c r="AG145" i="19"/>
  <c r="AH145" i="19"/>
  <c r="AI145" i="19"/>
  <c r="AJ145" i="19"/>
  <c r="AK145" i="19"/>
  <c r="AL145" i="19"/>
  <c r="AM145" i="19"/>
  <c r="AN145" i="19"/>
  <c r="AO145" i="19"/>
  <c r="AP145" i="19"/>
  <c r="AQ145" i="19"/>
  <c r="AR145" i="19"/>
  <c r="Y146" i="19"/>
  <c r="Z146" i="19"/>
  <c r="AA146" i="19"/>
  <c r="AB146" i="19"/>
  <c r="AC146" i="19"/>
  <c r="AD146" i="19"/>
  <c r="AE146" i="19"/>
  <c r="AF146" i="19"/>
  <c r="AG146" i="19"/>
  <c r="AH146" i="19"/>
  <c r="AI146" i="19"/>
  <c r="AJ146" i="19"/>
  <c r="AK146" i="19"/>
  <c r="AL146" i="19"/>
  <c r="AM146" i="19"/>
  <c r="AN146" i="19"/>
  <c r="AO146" i="19"/>
  <c r="AP146" i="19"/>
  <c r="AQ146" i="19"/>
  <c r="AR146" i="19"/>
  <c r="Y147" i="19"/>
  <c r="Z147" i="19"/>
  <c r="AA147" i="19"/>
  <c r="AB147" i="19"/>
  <c r="AC147" i="19"/>
  <c r="AD147" i="19"/>
  <c r="AE147" i="19"/>
  <c r="AF147" i="19"/>
  <c r="AG147" i="19"/>
  <c r="AH147" i="19"/>
  <c r="AI147" i="19"/>
  <c r="AJ147" i="19"/>
  <c r="AK147" i="19"/>
  <c r="AL147" i="19"/>
  <c r="AM147" i="19"/>
  <c r="AN147" i="19"/>
  <c r="AO147" i="19"/>
  <c r="AP147" i="19"/>
  <c r="AQ147" i="19"/>
  <c r="AR147" i="19"/>
  <c r="Y148" i="19"/>
  <c r="Z148" i="19"/>
  <c r="AA148" i="19"/>
  <c r="AB148" i="19"/>
  <c r="AC148" i="19"/>
  <c r="AD148" i="19"/>
  <c r="AE148" i="19"/>
  <c r="AF148" i="19"/>
  <c r="AG148" i="19"/>
  <c r="AH148" i="19"/>
  <c r="AI148" i="19"/>
  <c r="AJ148" i="19"/>
  <c r="AK148" i="19"/>
  <c r="AL148" i="19"/>
  <c r="AM148" i="19"/>
  <c r="AN148" i="19"/>
  <c r="AO148" i="19"/>
  <c r="AP148" i="19"/>
  <c r="AQ148" i="19"/>
  <c r="AR148" i="19"/>
  <c r="Y149" i="19"/>
  <c r="Z149" i="19"/>
  <c r="AA149" i="19"/>
  <c r="AB149" i="19"/>
  <c r="AC149" i="19"/>
  <c r="AD149" i="19"/>
  <c r="AE149" i="19"/>
  <c r="AF149" i="19"/>
  <c r="AG149" i="19"/>
  <c r="AH149" i="19"/>
  <c r="AI149" i="19"/>
  <c r="AJ149" i="19"/>
  <c r="AK149" i="19"/>
  <c r="AL149" i="19"/>
  <c r="AM149" i="19"/>
  <c r="AN149" i="19"/>
  <c r="AO149" i="19"/>
  <c r="AP149" i="19"/>
  <c r="AQ149" i="19"/>
  <c r="AR149" i="19"/>
  <c r="Y150" i="19"/>
  <c r="Z150" i="19"/>
  <c r="AA150" i="19"/>
  <c r="AB150" i="19"/>
  <c r="AC150" i="19"/>
  <c r="AD150" i="19"/>
  <c r="AE150" i="19"/>
  <c r="AF150" i="19"/>
  <c r="AG150" i="19"/>
  <c r="AH150" i="19"/>
  <c r="AI150" i="19"/>
  <c r="AJ150" i="19"/>
  <c r="AK150" i="19"/>
  <c r="AL150" i="19"/>
  <c r="AM150" i="19"/>
  <c r="AN150" i="19"/>
  <c r="AO150" i="19"/>
  <c r="AP150" i="19"/>
  <c r="AQ150" i="19"/>
  <c r="AR150" i="19"/>
  <c r="Y151" i="19"/>
  <c r="Z151" i="19"/>
  <c r="AA151" i="19"/>
  <c r="AB151" i="19"/>
  <c r="AC151" i="19"/>
  <c r="AD151" i="19"/>
  <c r="AE151" i="19"/>
  <c r="AF151" i="19"/>
  <c r="AG151" i="19"/>
  <c r="AH151" i="19"/>
  <c r="AI151" i="19"/>
  <c r="AJ151" i="19"/>
  <c r="AK151" i="19"/>
  <c r="AL151" i="19"/>
  <c r="AM151" i="19"/>
  <c r="AN151" i="19"/>
  <c r="AO151" i="19"/>
  <c r="AP151" i="19"/>
  <c r="AQ151" i="19"/>
  <c r="AR151" i="19"/>
  <c r="Y152" i="19"/>
  <c r="Z152" i="19"/>
  <c r="AA152" i="19"/>
  <c r="AB152" i="19"/>
  <c r="AC152" i="19"/>
  <c r="AD152" i="19"/>
  <c r="AE152" i="19"/>
  <c r="AF152" i="19"/>
  <c r="AG152" i="19"/>
  <c r="AH152" i="19"/>
  <c r="AI152" i="19"/>
  <c r="AJ152" i="19"/>
  <c r="AK152" i="19"/>
  <c r="AL152" i="19"/>
  <c r="AM152" i="19"/>
  <c r="AN152" i="19"/>
  <c r="AO152" i="19"/>
  <c r="AP152" i="19"/>
  <c r="AQ152" i="19"/>
  <c r="AR152" i="19"/>
  <c r="Y153" i="19"/>
  <c r="Z153" i="19"/>
  <c r="AA153" i="19"/>
  <c r="AB153" i="19"/>
  <c r="AC153" i="19"/>
  <c r="AD153" i="19"/>
  <c r="AE153" i="19"/>
  <c r="AF153" i="19"/>
  <c r="AG153" i="19"/>
  <c r="AH153" i="19"/>
  <c r="AI153" i="19"/>
  <c r="AJ153" i="19"/>
  <c r="AK153" i="19"/>
  <c r="AL153" i="19"/>
  <c r="AM153" i="19"/>
  <c r="AN153" i="19"/>
  <c r="AO153" i="19"/>
  <c r="AP153" i="19"/>
  <c r="AQ153" i="19"/>
  <c r="AR153" i="19"/>
  <c r="Y155" i="19"/>
  <c r="Z155" i="19"/>
  <c r="AA155" i="19"/>
  <c r="AB155" i="19"/>
  <c r="AC155" i="19"/>
  <c r="AD155" i="19"/>
  <c r="AE155" i="19"/>
  <c r="AF155" i="19"/>
  <c r="AG155" i="19"/>
  <c r="AH155" i="19"/>
  <c r="AI155" i="19"/>
  <c r="AJ155" i="19"/>
  <c r="AK155" i="19"/>
  <c r="AL155" i="19"/>
  <c r="AM155" i="19"/>
  <c r="AN155" i="19"/>
  <c r="AO155" i="19"/>
  <c r="AP155" i="19"/>
  <c r="AQ155" i="19"/>
  <c r="AR155" i="19"/>
  <c r="Y156" i="19"/>
  <c r="Z156" i="19"/>
  <c r="AA156" i="19"/>
  <c r="AB156" i="19"/>
  <c r="AC156" i="19"/>
  <c r="AD156" i="19"/>
  <c r="AE156" i="19"/>
  <c r="AF156" i="19"/>
  <c r="AG156" i="19"/>
  <c r="AH156" i="19"/>
  <c r="AI156" i="19"/>
  <c r="AJ156" i="19"/>
  <c r="AK156" i="19"/>
  <c r="AL156" i="19"/>
  <c r="AM156" i="19"/>
  <c r="AN156" i="19"/>
  <c r="AO156" i="19"/>
  <c r="AP156" i="19"/>
  <c r="AQ156" i="19"/>
  <c r="AR156" i="19"/>
  <c r="Y158" i="19"/>
  <c r="Z158" i="19"/>
  <c r="AA158" i="19"/>
  <c r="AB158" i="19"/>
  <c r="AC158" i="19"/>
  <c r="AD158" i="19"/>
  <c r="AE158" i="19"/>
  <c r="AF158" i="19"/>
  <c r="AG158" i="19"/>
  <c r="AH158" i="19"/>
  <c r="AI158" i="19"/>
  <c r="AJ158" i="19"/>
  <c r="AK158" i="19"/>
  <c r="AL158" i="19"/>
  <c r="AM158" i="19"/>
  <c r="AN158" i="19"/>
  <c r="AO158" i="19"/>
  <c r="AP158" i="19"/>
  <c r="AQ158" i="19"/>
  <c r="AR158" i="19"/>
  <c r="Y159" i="19"/>
  <c r="Z159" i="19"/>
  <c r="AA159" i="19"/>
  <c r="AB159" i="19"/>
  <c r="AC159" i="19"/>
  <c r="AD159" i="19"/>
  <c r="AE159" i="19"/>
  <c r="AF159" i="19"/>
  <c r="AG159" i="19"/>
  <c r="AH159" i="19"/>
  <c r="AI159" i="19"/>
  <c r="AJ159" i="19"/>
  <c r="AK159" i="19"/>
  <c r="AL159" i="19"/>
  <c r="AM159" i="19"/>
  <c r="AN159" i="19"/>
  <c r="AO159" i="19"/>
  <c r="AP159" i="19"/>
  <c r="AQ159" i="19"/>
  <c r="AR159" i="19"/>
  <c r="Y160" i="19"/>
  <c r="Z160" i="19"/>
  <c r="AA160" i="19"/>
  <c r="AB160" i="19"/>
  <c r="AC160" i="19"/>
  <c r="AD160" i="19"/>
  <c r="AE160" i="19"/>
  <c r="AF160" i="19"/>
  <c r="AG160" i="19"/>
  <c r="AH160" i="19"/>
  <c r="AI160" i="19"/>
  <c r="AJ160" i="19"/>
  <c r="AK160" i="19"/>
  <c r="AL160" i="19"/>
  <c r="AM160" i="19"/>
  <c r="AN160" i="19"/>
  <c r="AO160" i="19"/>
  <c r="AP160" i="19"/>
  <c r="AQ160" i="19"/>
  <c r="AR160" i="19"/>
  <c r="Y161" i="19"/>
  <c r="Z161" i="19"/>
  <c r="AA161" i="19"/>
  <c r="AB161" i="19"/>
  <c r="AC161" i="19"/>
  <c r="AD161" i="19"/>
  <c r="AE161" i="19"/>
  <c r="AF161" i="19"/>
  <c r="AG161" i="19"/>
  <c r="AH161" i="19"/>
  <c r="AI161" i="19"/>
  <c r="AJ161" i="19"/>
  <c r="AK161" i="19"/>
  <c r="AL161" i="19"/>
  <c r="AM161" i="19"/>
  <c r="AN161" i="19"/>
  <c r="AO161" i="19"/>
  <c r="AP161" i="19"/>
  <c r="AQ161" i="19"/>
  <c r="AR161" i="19"/>
  <c r="Y162" i="19"/>
  <c r="Z162" i="19"/>
  <c r="AA162" i="19"/>
  <c r="AB162" i="19"/>
  <c r="AC162" i="19"/>
  <c r="AD162" i="19"/>
  <c r="AE162" i="19"/>
  <c r="AF162" i="19"/>
  <c r="AG162" i="19"/>
  <c r="AH162" i="19"/>
  <c r="AI162" i="19"/>
  <c r="AJ162" i="19"/>
  <c r="AK162" i="19"/>
  <c r="AL162" i="19"/>
  <c r="AM162" i="19"/>
  <c r="AN162" i="19"/>
  <c r="AO162" i="19"/>
  <c r="AP162" i="19"/>
  <c r="AQ162" i="19"/>
  <c r="AR162" i="19"/>
  <c r="Y163" i="19"/>
  <c r="Z163" i="19"/>
  <c r="AA163" i="19"/>
  <c r="AB163" i="19"/>
  <c r="AC163" i="19"/>
  <c r="AD163" i="19"/>
  <c r="AE163" i="19"/>
  <c r="AF163" i="19"/>
  <c r="AG163" i="19"/>
  <c r="AH163" i="19"/>
  <c r="AI163" i="19"/>
  <c r="AJ163" i="19"/>
  <c r="AK163" i="19"/>
  <c r="AL163" i="19"/>
  <c r="AM163" i="19"/>
  <c r="AN163" i="19"/>
  <c r="AO163" i="19"/>
  <c r="AP163" i="19"/>
  <c r="AQ163" i="19"/>
  <c r="AR163" i="19"/>
  <c r="Z164" i="19"/>
  <c r="AA164" i="19"/>
  <c r="AB164" i="19"/>
  <c r="AC164" i="19"/>
  <c r="AD164" i="19"/>
  <c r="AE164" i="19"/>
  <c r="AF164" i="19"/>
  <c r="AG164" i="19"/>
  <c r="AH164" i="19"/>
  <c r="AI164" i="19"/>
  <c r="AJ164" i="19"/>
  <c r="AK164" i="19"/>
  <c r="AL164" i="19"/>
  <c r="AM164" i="19"/>
  <c r="AN164" i="19"/>
  <c r="AO164" i="19"/>
  <c r="AP164" i="19"/>
  <c r="AQ164" i="19"/>
  <c r="AR164" i="19"/>
  <c r="X159" i="19"/>
  <c r="X160" i="19"/>
  <c r="X161" i="19"/>
  <c r="X162" i="19"/>
  <c r="X163" i="19"/>
  <c r="X158" i="19"/>
  <c r="X156" i="19"/>
  <c r="X155" i="19"/>
  <c r="X130" i="19"/>
  <c r="X131" i="19"/>
  <c r="X132" i="19"/>
  <c r="X133" i="19"/>
  <c r="X134" i="19"/>
  <c r="X135" i="19"/>
  <c r="X136" i="19"/>
  <c r="X137" i="19"/>
  <c r="X138" i="19"/>
  <c r="X139" i="19"/>
  <c r="X140" i="19"/>
  <c r="X143" i="19"/>
  <c r="X144" i="19"/>
  <c r="X145" i="19"/>
  <c r="X146" i="19"/>
  <c r="X147" i="19"/>
  <c r="X148" i="19"/>
  <c r="X149" i="19"/>
  <c r="X150" i="19"/>
  <c r="X151" i="19"/>
  <c r="X152" i="19"/>
  <c r="X153" i="19"/>
  <c r="X129" i="19"/>
  <c r="X90" i="19"/>
  <c r="X91" i="19"/>
  <c r="X92" i="19"/>
  <c r="X93" i="19"/>
  <c r="X94" i="19"/>
  <c r="X95" i="19"/>
  <c r="X97" i="19"/>
  <c r="X98" i="19"/>
  <c r="X99" i="19"/>
  <c r="X100" i="19"/>
  <c r="X106" i="19"/>
  <c r="X107" i="19"/>
  <c r="X108" i="19"/>
  <c r="X109" i="19"/>
  <c r="X110" i="19"/>
  <c r="X111" i="19"/>
  <c r="X112" i="19"/>
  <c r="X113" i="19"/>
  <c r="X116" i="19"/>
  <c r="X117" i="19"/>
  <c r="X118" i="19"/>
  <c r="X119" i="19"/>
  <c r="X120" i="19"/>
  <c r="X121" i="19"/>
  <c r="X122" i="19"/>
  <c r="X123" i="19"/>
  <c r="X124" i="19"/>
  <c r="X125" i="19"/>
  <c r="X126" i="19"/>
  <c r="X127" i="19"/>
  <c r="X89" i="19"/>
  <c r="X81" i="19"/>
  <c r="X82" i="19"/>
  <c r="X83" i="19"/>
  <c r="X84" i="19"/>
  <c r="X85" i="19"/>
  <c r="X86" i="19"/>
  <c r="X87" i="19"/>
  <c r="X80" i="19"/>
  <c r="X78" i="19"/>
  <c r="X77" i="19"/>
  <c r="X61" i="19"/>
  <c r="X62" i="19"/>
  <c r="X63" i="19"/>
  <c r="X64" i="19"/>
  <c r="X65" i="19"/>
  <c r="X66" i="19"/>
  <c r="X67" i="19"/>
  <c r="X68" i="19"/>
  <c r="X69" i="19"/>
  <c r="X53" i="19"/>
  <c r="X54" i="19"/>
  <c r="X55" i="19"/>
  <c r="X52" i="19"/>
  <c r="X45" i="19"/>
  <c r="X46" i="19"/>
  <c r="X47" i="19"/>
  <c r="X48" i="19"/>
  <c r="X49" i="19"/>
  <c r="X50" i="19"/>
  <c r="X44" i="19"/>
  <c r="X20" i="19"/>
  <c r="X21" i="19"/>
  <c r="X22" i="19"/>
  <c r="X23" i="19"/>
  <c r="X24" i="19"/>
  <c r="X25" i="19"/>
  <c r="X26" i="19"/>
  <c r="X30" i="19"/>
  <c r="X31" i="19"/>
  <c r="X32" i="19"/>
  <c r="X33" i="19"/>
  <c r="X19" i="19"/>
  <c r="X3" i="19"/>
  <c r="X4" i="19"/>
  <c r="X5" i="19"/>
  <c r="X6" i="19"/>
  <c r="X7" i="19"/>
  <c r="X8" i="19"/>
  <c r="X9" i="19"/>
  <c r="X10" i="19"/>
  <c r="X11" i="19"/>
  <c r="X12" i="19"/>
  <c r="X13" i="19"/>
  <c r="X14" i="19"/>
  <c r="X15" i="19"/>
  <c r="X16" i="19"/>
  <c r="X17" i="19"/>
  <c r="U90" i="19"/>
  <c r="U91" i="19"/>
  <c r="U92" i="19"/>
  <c r="U93" i="19"/>
  <c r="U94" i="19"/>
  <c r="U95" i="19"/>
  <c r="U96" i="19"/>
  <c r="U97" i="19"/>
  <c r="U98" i="19"/>
  <c r="U99" i="19"/>
  <c r="U100" i="19"/>
  <c r="U101" i="19"/>
  <c r="U102" i="19"/>
  <c r="U103" i="19"/>
  <c r="U105" i="19"/>
  <c r="U106" i="19"/>
  <c r="U107" i="19"/>
  <c r="U108" i="19"/>
  <c r="U109" i="19"/>
  <c r="U110" i="19"/>
  <c r="U111" i="19"/>
  <c r="U112" i="19"/>
  <c r="U113" i="19"/>
  <c r="U114" i="19"/>
  <c r="U115" i="19"/>
  <c r="U118" i="19"/>
  <c r="U119" i="19"/>
  <c r="U120" i="19"/>
  <c r="U121" i="19"/>
  <c r="U122" i="19"/>
  <c r="U123" i="19"/>
  <c r="U124" i="19"/>
  <c r="U125" i="19"/>
  <c r="U126" i="19"/>
  <c r="U127" i="19"/>
  <c r="V119" i="19"/>
  <c r="V120" i="19"/>
  <c r="V121" i="19"/>
  <c r="V122" i="19"/>
  <c r="V123" i="19"/>
  <c r="V124" i="19"/>
  <c r="V125" i="19"/>
  <c r="V126" i="19"/>
  <c r="V127" i="19"/>
  <c r="U141" i="19"/>
  <c r="U136" i="19"/>
  <c r="U86" i="19"/>
  <c r="V86" i="19" s="1"/>
  <c r="U81" i="19"/>
  <c r="U82" i="19"/>
  <c r="U83" i="19"/>
  <c r="V83" i="19" s="1"/>
  <c r="U84" i="19"/>
  <c r="U85" i="19"/>
  <c r="V81" i="19"/>
  <c r="V82" i="19"/>
  <c r="V84" i="19"/>
  <c r="V85" i="19"/>
  <c r="V15" i="15"/>
  <c r="X2" i="19"/>
  <c r="U159" i="19"/>
  <c r="U160" i="19"/>
  <c r="U161" i="19"/>
  <c r="W161" i="19" s="1"/>
  <c r="V161" i="19"/>
  <c r="U162" i="19"/>
  <c r="W162" i="19" s="1"/>
  <c r="V162" i="19"/>
  <c r="U163" i="19"/>
  <c r="W163" i="19" s="1"/>
  <c r="V163" i="19"/>
  <c r="U164" i="19"/>
  <c r="W164" i="19" s="1"/>
  <c r="V164" i="19"/>
  <c r="U156" i="19"/>
  <c r="W156" i="19" s="1"/>
  <c r="V156" i="19"/>
  <c r="U130" i="19"/>
  <c r="W130" i="19" s="1"/>
  <c r="U131" i="19"/>
  <c r="W131" i="19" s="1"/>
  <c r="V131" i="19"/>
  <c r="U133" i="19"/>
  <c r="W133" i="19" s="1"/>
  <c r="V133" i="19"/>
  <c r="U134" i="19"/>
  <c r="U135" i="19"/>
  <c r="W135" i="19" s="1"/>
  <c r="U137" i="19"/>
  <c r="W137" i="19" s="1"/>
  <c r="U138" i="19"/>
  <c r="W138" i="19" s="1"/>
  <c r="U139" i="19"/>
  <c r="W139" i="19" s="1"/>
  <c r="U140" i="19"/>
  <c r="W140" i="19" s="1"/>
  <c r="U142" i="19"/>
  <c r="W142" i="19" s="1"/>
  <c r="U143" i="19"/>
  <c r="U144" i="19"/>
  <c r="W144" i="19" s="1"/>
  <c r="U145" i="19"/>
  <c r="W145" i="19" s="1"/>
  <c r="U146" i="19"/>
  <c r="W146" i="19" s="1"/>
  <c r="U147" i="19"/>
  <c r="W147" i="19" s="1"/>
  <c r="U148" i="19"/>
  <c r="W148" i="19" s="1"/>
  <c r="U149" i="19"/>
  <c r="W149" i="19" s="1"/>
  <c r="U150" i="19"/>
  <c r="W150" i="19" s="1"/>
  <c r="U151" i="19"/>
  <c r="W151" i="19" s="1"/>
  <c r="U152" i="19"/>
  <c r="W152" i="19" s="1"/>
  <c r="U153" i="19"/>
  <c r="W153" i="19" s="1"/>
  <c r="U78" i="19"/>
  <c r="W78" i="19" s="1"/>
  <c r="V78" i="19"/>
  <c r="U69" i="19"/>
  <c r="U58" i="19"/>
  <c r="U59" i="19"/>
  <c r="W59" i="19" s="1"/>
  <c r="U60" i="19"/>
  <c r="W60" i="19" s="1"/>
  <c r="V60" i="19"/>
  <c r="U61" i="19"/>
  <c r="W61" i="19" s="1"/>
  <c r="V61" i="19"/>
  <c r="U62" i="19"/>
  <c r="U63" i="19"/>
  <c r="W63" i="19" s="1"/>
  <c r="V63" i="19"/>
  <c r="U64" i="19"/>
  <c r="U65" i="19"/>
  <c r="W65" i="19" s="1"/>
  <c r="V65" i="19"/>
  <c r="U66" i="19"/>
  <c r="W66" i="19" s="1"/>
  <c r="U67" i="19"/>
  <c r="W67" i="19" s="1"/>
  <c r="U68" i="19"/>
  <c r="W68" i="19" s="1"/>
  <c r="U53" i="19"/>
  <c r="W53" i="19" s="1"/>
  <c r="U54" i="19"/>
  <c r="W54" i="19" s="1"/>
  <c r="U55" i="19"/>
  <c r="W55" i="19" s="1"/>
  <c r="U45" i="19"/>
  <c r="W45" i="19" s="1"/>
  <c r="U46" i="19"/>
  <c r="W46" i="19" s="1"/>
  <c r="U47" i="19"/>
  <c r="W47" i="19" s="1"/>
  <c r="U48" i="19"/>
  <c r="W48" i="19" s="1"/>
  <c r="U49" i="19"/>
  <c r="W49" i="19" s="1"/>
  <c r="U50" i="19"/>
  <c r="W50" i="19" s="1"/>
  <c r="U20" i="19"/>
  <c r="W20" i="19" s="1"/>
  <c r="U21" i="19"/>
  <c r="W21" i="19" s="1"/>
  <c r="U22" i="19"/>
  <c r="W22" i="19" s="1"/>
  <c r="U23" i="19"/>
  <c r="W23" i="19" s="1"/>
  <c r="U24" i="19"/>
  <c r="W24" i="19" s="1"/>
  <c r="U25" i="19"/>
  <c r="W25" i="19" s="1"/>
  <c r="U26" i="19"/>
  <c r="W26" i="19" s="1"/>
  <c r="U27" i="19"/>
  <c r="W27" i="19" s="1"/>
  <c r="U30" i="19"/>
  <c r="W30" i="19" s="1"/>
  <c r="U31" i="19"/>
  <c r="W31" i="19" s="1"/>
  <c r="U32" i="19"/>
  <c r="W32" i="19" s="1"/>
  <c r="U33" i="19"/>
  <c r="W33" i="19" s="1"/>
  <c r="U3" i="19"/>
  <c r="W3" i="19" s="1"/>
  <c r="U4" i="19"/>
  <c r="W4" i="19" s="1"/>
  <c r="U5" i="19"/>
  <c r="W5" i="19" s="1"/>
  <c r="U6" i="19"/>
  <c r="W6" i="19" s="1"/>
  <c r="U7" i="19"/>
  <c r="W7" i="19" s="1"/>
  <c r="U8" i="19"/>
  <c r="W8" i="19" s="1"/>
  <c r="U9" i="19"/>
  <c r="W9" i="19" s="1"/>
  <c r="U10" i="19"/>
  <c r="W10" i="19" s="1"/>
  <c r="U11" i="19"/>
  <c r="W11" i="19" s="1"/>
  <c r="U12" i="19"/>
  <c r="W12" i="19" s="1"/>
  <c r="U13" i="19"/>
  <c r="W13" i="19" s="1"/>
  <c r="U14" i="19"/>
  <c r="W14" i="19" s="1"/>
  <c r="U15" i="19"/>
  <c r="W15" i="19" s="1"/>
  <c r="U16" i="19"/>
  <c r="W16" i="19" s="1"/>
  <c r="U17" i="19"/>
  <c r="W17" i="19" s="1"/>
  <c r="AH16" i="15" a="1"/>
  <c r="AG16" i="15"/>
  <c r="AF16" i="15"/>
  <c r="X15" i="15"/>
  <c r="U15" i="15"/>
  <c r="AE15" i="15"/>
  <c r="W15" i="15"/>
  <c r="AG15" i="15" a="1"/>
  <c r="AG15" i="15"/>
  <c r="AH15" i="15" a="1"/>
  <c r="AM15" i="15"/>
  <c r="AN15" i="15"/>
  <c r="AO15" i="15"/>
  <c r="AP15" i="15"/>
  <c r="AQ15" i="15"/>
  <c r="AR15" i="15"/>
  <c r="R15" i="15"/>
  <c r="S15" i="15"/>
  <c r="T15" i="15"/>
  <c r="Y15" i="15"/>
  <c r="AA15" i="15"/>
  <c r="AB15" i="15"/>
  <c r="AC15" i="15"/>
  <c r="AD15" i="15"/>
  <c r="AF15" i="15"/>
  <c r="K15" i="15"/>
  <c r="Z15" i="15" s="1"/>
  <c r="AA16" i="15"/>
  <c r="AB16" i="15"/>
  <c r="AC16" i="15"/>
  <c r="AD16" i="15"/>
  <c r="AE16" i="15"/>
  <c r="S16" i="15"/>
  <c r="T16" i="15"/>
  <c r="U16" i="15"/>
  <c r="V16" i="15"/>
  <c r="W16" i="15"/>
  <c r="X16" i="15"/>
  <c r="K16" i="15"/>
  <c r="Z16" i="15" s="1"/>
  <c r="R16" i="15"/>
  <c r="U11" i="15"/>
  <c r="S12" i="15"/>
  <c r="S10" i="15"/>
  <c r="T14" i="15"/>
  <c r="T13" i="15"/>
  <c r="S13" i="15"/>
  <c r="S11" i="15"/>
  <c r="R10" i="15"/>
  <c r="V13" i="15"/>
  <c r="V14" i="15"/>
  <c r="AG10" i="15" a="1"/>
  <c r="AG10" i="15" s="1"/>
  <c r="T11" i="15"/>
  <c r="V11" i="15"/>
  <c r="W11" i="15"/>
  <c r="X11" i="15"/>
  <c r="AA11" i="15"/>
  <c r="AB11" i="15"/>
  <c r="AC11" i="15"/>
  <c r="AD11" i="15"/>
  <c r="AE11" i="15"/>
  <c r="T12" i="15"/>
  <c r="U12" i="15"/>
  <c r="V12" i="15"/>
  <c r="W12" i="15"/>
  <c r="X12" i="15"/>
  <c r="AA12" i="15"/>
  <c r="AB12" i="15"/>
  <c r="AC12" i="15"/>
  <c r="AD12" i="15"/>
  <c r="AE12" i="15"/>
  <c r="U13" i="15"/>
  <c r="W13" i="15"/>
  <c r="X13" i="15"/>
  <c r="AA13" i="15"/>
  <c r="AB13" i="15"/>
  <c r="AC13" i="15"/>
  <c r="AD13" i="15"/>
  <c r="AE13" i="15"/>
  <c r="S14" i="15"/>
  <c r="U14" i="15"/>
  <c r="W14" i="15"/>
  <c r="X14" i="15"/>
  <c r="AA14" i="15"/>
  <c r="AB14" i="15"/>
  <c r="AC14" i="15"/>
  <c r="AD14" i="15"/>
  <c r="AE14" i="15"/>
  <c r="R14" i="15"/>
  <c r="R13" i="15"/>
  <c r="R12" i="15"/>
  <c r="R11" i="15"/>
  <c r="K14" i="15"/>
  <c r="K11" i="15"/>
  <c r="K12" i="15"/>
  <c r="K13" i="15"/>
  <c r="T10" i="15"/>
  <c r="U10" i="15"/>
  <c r="V10" i="15"/>
  <c r="W10" i="15"/>
  <c r="X10" i="15"/>
  <c r="AA10" i="15"/>
  <c r="AB10" i="15"/>
  <c r="AC10" i="15"/>
  <c r="AD10" i="15"/>
  <c r="AE10" i="15"/>
  <c r="AF10" i="15"/>
  <c r="K10" i="15"/>
  <c r="W3" i="15"/>
  <c r="AP3" i="15"/>
  <c r="AO3" i="15"/>
  <c r="X4" i="15"/>
  <c r="X5" i="15"/>
  <c r="X6" i="15"/>
  <c r="X3" i="15"/>
  <c r="W5" i="15"/>
  <c r="AN3" i="15"/>
  <c r="AA4" i="15"/>
  <c r="Y4" i="15"/>
  <c r="Y3" i="15"/>
  <c r="V3" i="15"/>
  <c r="U3" i="15"/>
  <c r="AL3" i="15" a="1"/>
  <c r="T3" i="15"/>
  <c r="AJ3" i="15" a="1"/>
  <c r="AH3" i="15" a="1"/>
  <c r="S3" i="15"/>
  <c r="S4" i="15"/>
  <c r="T4" i="15"/>
  <c r="U4" i="15"/>
  <c r="V4" i="15"/>
  <c r="W4" i="15"/>
  <c r="AB4" i="15"/>
  <c r="AC4" i="15"/>
  <c r="AD4" i="15"/>
  <c r="AE4" i="15"/>
  <c r="S5" i="15"/>
  <c r="T5" i="15"/>
  <c r="U5" i="15"/>
  <c r="V5" i="15"/>
  <c r="Y5" i="15"/>
  <c r="AA5" i="15"/>
  <c r="AB5" i="15"/>
  <c r="AC5" i="15"/>
  <c r="AD5" i="15"/>
  <c r="AE5" i="15"/>
  <c r="S6" i="15"/>
  <c r="T6" i="15"/>
  <c r="U6" i="15"/>
  <c r="V6" i="15"/>
  <c r="W6" i="15"/>
  <c r="Y6" i="15"/>
  <c r="AA6" i="15"/>
  <c r="AB6" i="15"/>
  <c r="AC6" i="15"/>
  <c r="AD6" i="15"/>
  <c r="AE6" i="15"/>
  <c r="R6" i="15"/>
  <c r="R5" i="15"/>
  <c r="R4" i="15"/>
  <c r="AA3" i="15"/>
  <c r="AB3" i="15"/>
  <c r="AC3" i="15"/>
  <c r="AD3" i="15"/>
  <c r="AE3" i="15"/>
  <c r="R3" i="15"/>
  <c r="K6" i="15"/>
  <c r="Z6" i="15" s="1"/>
  <c r="K5" i="15"/>
  <c r="Z5" i="15" s="1"/>
  <c r="K4" i="15"/>
  <c r="Z4" i="15" s="1"/>
  <c r="K3" i="15"/>
  <c r="Z3" i="15" s="1"/>
  <c r="B8" i="21"/>
  <c r="B10" i="21"/>
  <c r="A53" i="19"/>
  <c r="A38" i="19"/>
  <c r="A39" i="19"/>
  <c r="A40" i="19"/>
  <c r="AC57" i="3"/>
  <c r="AB57" i="3"/>
  <c r="AA57" i="3"/>
  <c r="Z57" i="3"/>
  <c r="AA47" i="3" a="1"/>
  <c r="AA47" i="3"/>
  <c r="B5" i="21"/>
  <c r="C5" i="21" s="1"/>
  <c r="B16" i="21"/>
  <c r="D4" i="21"/>
  <c r="D16" i="21"/>
  <c r="C16" i="21" s="1"/>
  <c r="D6" i="21"/>
  <c r="D5" i="21"/>
  <c r="B1" i="26"/>
  <c r="B1" i="25"/>
  <c r="D3" i="21"/>
  <c r="B1" i="24"/>
  <c r="B1" i="23"/>
  <c r="AH25" i="18" a="1"/>
  <c r="AG25" i="18" a="1"/>
  <c r="AG25" i="18" s="1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AH16" i="18" a="1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AH6" i="18" a="1"/>
  <c r="AF6" i="18"/>
  <c r="AE6" i="18"/>
  <c r="AD6" i="18"/>
  <c r="AC6" i="18"/>
  <c r="AB6" i="18"/>
  <c r="AA6" i="18"/>
  <c r="Y6" i="18"/>
  <c r="X6" i="18"/>
  <c r="W6" i="18"/>
  <c r="V6" i="18"/>
  <c r="U6" i="18"/>
  <c r="T6" i="18"/>
  <c r="S6" i="18"/>
  <c r="R6" i="18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 a="1"/>
  <c r="AG76" i="5" s="1"/>
  <c r="AH76" i="5" a="1"/>
  <c r="D8" i="21"/>
  <c r="D17" i="21"/>
  <c r="B17" i="21"/>
  <c r="C17" i="21" s="1"/>
  <c r="D11" i="21"/>
  <c r="D12" i="21"/>
  <c r="D10" i="21"/>
  <c r="D15" i="21"/>
  <c r="B1" i="15"/>
  <c r="B1" i="13"/>
  <c r="B1" i="12"/>
  <c r="D13" i="21"/>
  <c r="AH25" i="5" a="1"/>
  <c r="AG25" i="5" a="1"/>
  <c r="AG25" i="5" s="1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AH68" i="5" a="1"/>
  <c r="AG68" i="5" a="1"/>
  <c r="AG68" i="5" s="1"/>
  <c r="AA68" i="5"/>
  <c r="AB68" i="5"/>
  <c r="AC68" i="5"/>
  <c r="AD68" i="5"/>
  <c r="AE68" i="5"/>
  <c r="AF68" i="5"/>
  <c r="Z68" i="5"/>
  <c r="Y68" i="5"/>
  <c r="X68" i="5"/>
  <c r="W68" i="5"/>
  <c r="V68" i="5"/>
  <c r="U68" i="5"/>
  <c r="T68" i="5"/>
  <c r="S68" i="5"/>
  <c r="R68" i="5"/>
  <c r="AH64" i="5" a="1"/>
  <c r="AG64" i="5" a="1"/>
  <c r="AG64" i="5" s="1"/>
  <c r="AE64" i="5"/>
  <c r="AF64" i="5"/>
  <c r="AD64" i="5"/>
  <c r="AC64" i="5"/>
  <c r="AB65" i="5"/>
  <c r="AB64" i="5"/>
  <c r="AA64" i="5"/>
  <c r="Z64" i="5"/>
  <c r="Y64" i="5"/>
  <c r="X64" i="5"/>
  <c r="W64" i="5"/>
  <c r="V64" i="5"/>
  <c r="U64" i="5"/>
  <c r="T64" i="5"/>
  <c r="S64" i="5"/>
  <c r="R64" i="5"/>
  <c r="AG7" i="5" a="1"/>
  <c r="AG7" i="5" s="1"/>
  <c r="R7" i="5"/>
  <c r="R74" i="3"/>
  <c r="AH7" i="5" a="1"/>
  <c r="AA7" i="5"/>
  <c r="AB7" i="5"/>
  <c r="AC7" i="5"/>
  <c r="AD7" i="5"/>
  <c r="AE7" i="5"/>
  <c r="AF7" i="5"/>
  <c r="Z7" i="5"/>
  <c r="Y7" i="5"/>
  <c r="X7" i="5"/>
  <c r="W7" i="5"/>
  <c r="V7" i="5"/>
  <c r="U7" i="5"/>
  <c r="T7" i="5"/>
  <c r="S7" i="5"/>
  <c r="R10" i="17"/>
  <c r="AH74" i="3" a="1"/>
  <c r="AG74" i="3" a="1"/>
  <c r="AG74" i="3" s="1"/>
  <c r="AA74" i="3"/>
  <c r="AB74" i="3"/>
  <c r="AC74" i="3"/>
  <c r="AD74" i="3"/>
  <c r="AE74" i="3"/>
  <c r="AF74" i="3"/>
  <c r="Z74" i="3"/>
  <c r="Y74" i="3"/>
  <c r="X74" i="3"/>
  <c r="W74" i="3"/>
  <c r="V74" i="3"/>
  <c r="U74" i="3"/>
  <c r="T74" i="3"/>
  <c r="S74" i="3"/>
  <c r="R3" i="17"/>
  <c r="T10" i="17"/>
  <c r="S10" i="17"/>
  <c r="W10" i="17"/>
  <c r="V10" i="17"/>
  <c r="AH10" i="17" a="1"/>
  <c r="AG10" i="17" a="1"/>
  <c r="AG10" i="17" s="1"/>
  <c r="AF10" i="17"/>
  <c r="AE10" i="17"/>
  <c r="AD10" i="17"/>
  <c r="AC10" i="17"/>
  <c r="AB10" i="17"/>
  <c r="AA10" i="17"/>
  <c r="Z10" i="17"/>
  <c r="Y10" i="17"/>
  <c r="X10" i="17"/>
  <c r="U10" i="17"/>
  <c r="R9" i="17"/>
  <c r="AH6" i="6" a="1"/>
  <c r="AH6" i="6" s="1"/>
  <c r="AG17" i="13" a="1"/>
  <c r="AG17" i="13" s="1"/>
  <c r="AG16" i="13" a="1"/>
  <c r="AG16" i="13" s="1"/>
  <c r="AG15" i="13" a="1"/>
  <c r="AG15" i="13"/>
  <c r="AG14" i="13" a="1"/>
  <c r="AG14" i="13"/>
  <c r="AG13" i="13" a="1"/>
  <c r="AG13" i="13"/>
  <c r="AG12" i="13" a="1"/>
  <c r="AG12" i="13" s="1"/>
  <c r="AG11" i="13" a="1"/>
  <c r="AG11" i="13" s="1"/>
  <c r="AG10" i="13" a="1"/>
  <c r="AG10" i="13" s="1"/>
  <c r="AG9" i="13" a="1"/>
  <c r="AG9" i="13" s="1"/>
  <c r="AG8" i="13" a="1"/>
  <c r="AG8" i="13"/>
  <c r="AG7" i="13" a="1"/>
  <c r="AG7" i="13" s="1"/>
  <c r="AG6" i="13" a="1"/>
  <c r="AG6" i="13"/>
  <c r="AG5" i="13" a="1"/>
  <c r="AG5" i="13" s="1"/>
  <c r="AG4" i="13" a="1"/>
  <c r="AG4" i="13" s="1"/>
  <c r="AG3" i="13" a="1"/>
  <c r="AG3" i="13" s="1"/>
  <c r="AG114" i="12" a="1"/>
  <c r="AG114" i="12" s="1"/>
  <c r="AG113" i="12" a="1"/>
  <c r="AG113" i="12" s="1"/>
  <c r="AG112" i="12" a="1"/>
  <c r="AG112" i="12" s="1"/>
  <c r="AG14" i="12" a="1"/>
  <c r="AG14" i="12" s="1"/>
  <c r="AG13" i="12" a="1"/>
  <c r="AG13" i="12" s="1"/>
  <c r="AG12" i="12" a="1"/>
  <c r="AG12" i="12" s="1"/>
  <c r="AG18" i="6" a="1"/>
  <c r="AG18" i="6" s="1"/>
  <c r="AG14" i="6" a="1"/>
  <c r="AG14" i="6" s="1"/>
  <c r="AG13" i="6" a="1"/>
  <c r="AG13" i="6" s="1"/>
  <c r="AG12" i="6" a="1"/>
  <c r="AG12" i="6" s="1"/>
  <c r="AG11" i="6" a="1"/>
  <c r="AG11" i="6" s="1"/>
  <c r="AG8" i="6" a="1"/>
  <c r="AG8" i="6" s="1"/>
  <c r="AG7" i="6" a="1"/>
  <c r="AG7" i="6" s="1"/>
  <c r="AG6" i="6" a="1"/>
  <c r="AG6" i="6" s="1"/>
  <c r="X5" i="17"/>
  <c r="AG5" i="17" a="1"/>
  <c r="AG5" i="17" s="1"/>
  <c r="AG20" i="17" a="1"/>
  <c r="AG20" i="17" s="1"/>
  <c r="AG26" i="17" a="1"/>
  <c r="AG26" i="17"/>
  <c r="AG22" i="17" a="1"/>
  <c r="AG22" i="17"/>
  <c r="AG19" i="17" a="1"/>
  <c r="AG19" i="17"/>
  <c r="AG18" i="17" a="1"/>
  <c r="AG18" i="17"/>
  <c r="AG14" i="17" a="1"/>
  <c r="AG14" i="17"/>
  <c r="AG13" i="17" a="1"/>
  <c r="AG13" i="17"/>
  <c r="AG12" i="17" a="1"/>
  <c r="AG12" i="17"/>
  <c r="AG11" i="17" a="1"/>
  <c r="AG11" i="17"/>
  <c r="AG6" i="17" a="1"/>
  <c r="AG6" i="17"/>
  <c r="AG4" i="17" a="1"/>
  <c r="AG4" i="17"/>
  <c r="AG3" i="17" a="1"/>
  <c r="AG3" i="17"/>
  <c r="AG95" i="5" a="1"/>
  <c r="AG95" i="5" s="1"/>
  <c r="AG88" i="5" a="1"/>
  <c r="AG88" i="5" s="1"/>
  <c r="AG87" i="5" a="1"/>
  <c r="AG87" i="5" s="1"/>
  <c r="AG79" i="5" a="1"/>
  <c r="AG79" i="5" s="1"/>
  <c r="AG78" i="5" a="1"/>
  <c r="AG78" i="5" s="1"/>
  <c r="AG75" i="5" a="1"/>
  <c r="AG75" i="5" s="1"/>
  <c r="AG74" i="5" a="1"/>
  <c r="AG74" i="5" s="1"/>
  <c r="AG73" i="5" a="1"/>
  <c r="AG73" i="5" s="1"/>
  <c r="AG57" i="5" a="1"/>
  <c r="AG57" i="5" s="1"/>
  <c r="AG42" i="5" a="1"/>
  <c r="AG42" i="5" s="1"/>
  <c r="AG37" i="5" a="1"/>
  <c r="AG37" i="5" s="1"/>
  <c r="AG24" i="5" a="1"/>
  <c r="AG24" i="5" s="1"/>
  <c r="AG6" i="5" a="1"/>
  <c r="AG6" i="5" s="1"/>
  <c r="AG29" i="18" a="1"/>
  <c r="AG29" i="18" s="1"/>
  <c r="AG27" i="18" a="1"/>
  <c r="AG27" i="18" s="1"/>
  <c r="AG26" i="18" a="1"/>
  <c r="AG26" i="18" s="1"/>
  <c r="AG28" i="18" a="1"/>
  <c r="AG28" i="18" s="1"/>
  <c r="AG53" i="11" a="1"/>
  <c r="AG53" i="11" s="1"/>
  <c r="AG52" i="11" a="1"/>
  <c r="AG52" i="11" s="1"/>
  <c r="AG49" i="11" a="1"/>
  <c r="AG49" i="11" s="1"/>
  <c r="AG43" i="11" a="1"/>
  <c r="AG43" i="11" s="1"/>
  <c r="AG39" i="11" a="1"/>
  <c r="AG39" i="11" s="1"/>
  <c r="AG37" i="11" a="1"/>
  <c r="AG37" i="11" s="1"/>
  <c r="AG34" i="11" a="1"/>
  <c r="AG34" i="11" s="1"/>
  <c r="AG25" i="11" a="1"/>
  <c r="AG25" i="11" s="1"/>
  <c r="AG24" i="11" a="1"/>
  <c r="AG24" i="11" s="1"/>
  <c r="AG22" i="11" a="1"/>
  <c r="AG22" i="11" s="1"/>
  <c r="AG20" i="11" a="1"/>
  <c r="AG20" i="11" s="1"/>
  <c r="AG16" i="11" a="1"/>
  <c r="AG16" i="11" s="1"/>
  <c r="AG11" i="11" a="1"/>
  <c r="AG11" i="11" s="1"/>
  <c r="AG10" i="11" a="1"/>
  <c r="AG10" i="11" s="1"/>
  <c r="AG9" i="11" a="1"/>
  <c r="AG9" i="11" s="1"/>
  <c r="AG7" i="11" a="1"/>
  <c r="AG7" i="11" s="1"/>
  <c r="AG46" i="9" a="1"/>
  <c r="AG46" i="9" s="1"/>
  <c r="AG45" i="9" a="1"/>
  <c r="AG45" i="9" s="1"/>
  <c r="AG41" i="9" a="1"/>
  <c r="AG41" i="9" s="1"/>
  <c r="AG40" i="9" a="1"/>
  <c r="AG40" i="9" s="1"/>
  <c r="AG34" i="9" a="1"/>
  <c r="AG34" i="9" s="1"/>
  <c r="AG33" i="9" a="1"/>
  <c r="AG33" i="9" s="1"/>
  <c r="AG27" i="9" a="1"/>
  <c r="AG27" i="9" s="1"/>
  <c r="AG26" i="9" a="1"/>
  <c r="AG26" i="9" s="1"/>
  <c r="AG25" i="9" a="1"/>
  <c r="AG25" i="9"/>
  <c r="AG22" i="9" a="1"/>
  <c r="AG22" i="9"/>
  <c r="AF25" i="8" a="1"/>
  <c r="AF25" i="8" s="1"/>
  <c r="AE25" i="8" a="1"/>
  <c r="AE25" i="8" s="1"/>
  <c r="AD25" i="8" a="1"/>
  <c r="AD25" i="8" s="1"/>
  <c r="AC25" i="8" a="1"/>
  <c r="AC25" i="8" s="1"/>
  <c r="AB25" i="8" a="1"/>
  <c r="AB25" i="8" s="1"/>
  <c r="AA25" i="8" a="1"/>
  <c r="AA25" i="8" s="1"/>
  <c r="Y25" i="8" a="1"/>
  <c r="Y25" i="8" s="1"/>
  <c r="X25" i="8" a="1"/>
  <c r="X25" i="8" s="1"/>
  <c r="W25" i="8" a="1"/>
  <c r="W25" i="8" s="1"/>
  <c r="V25" i="8" a="1"/>
  <c r="V25" i="8" s="1"/>
  <c r="U25" i="8" a="1"/>
  <c r="U25" i="8" s="1"/>
  <c r="T25" i="8" a="1"/>
  <c r="T25" i="8" s="1"/>
  <c r="S25" i="8" a="1"/>
  <c r="S25" i="8" s="1"/>
  <c r="R25" i="8" a="1"/>
  <c r="R25" i="8" s="1"/>
  <c r="AD11" i="8" a="1"/>
  <c r="AD11" i="8" s="1"/>
  <c r="AC11" i="8" a="1"/>
  <c r="AC11" i="8" s="1"/>
  <c r="AB11" i="8" a="1"/>
  <c r="AB11" i="8" s="1"/>
  <c r="AA11" i="8" a="1"/>
  <c r="AA11" i="8" s="1"/>
  <c r="V11" i="8" a="1"/>
  <c r="V11" i="8" s="1"/>
  <c r="U11" i="8" a="1"/>
  <c r="U11" i="8" s="1"/>
  <c r="T11" i="8" a="1"/>
  <c r="T11" i="8" s="1"/>
  <c r="S11" i="8" a="1"/>
  <c r="S11" i="8" s="1"/>
  <c r="AF11" i="8" s="1" a="1"/>
  <c r="AF11" i="8" s="1"/>
  <c r="R11" i="8" a="1"/>
  <c r="R11" i="8" s="1"/>
  <c r="AE11" i="8" s="1" a="1"/>
  <c r="AE11" i="8" s="1"/>
  <c r="AM11" i="8" a="1"/>
  <c r="AM11" i="8" s="1"/>
  <c r="AG9" i="8" a="1"/>
  <c r="AG9" i="8" s="1"/>
  <c r="AG25" i="8" a="1"/>
  <c r="AG25" i="8" s="1"/>
  <c r="AG20" i="8" a="1"/>
  <c r="AG20" i="8" s="1"/>
  <c r="AG11" i="8" a="1"/>
  <c r="AG11" i="8" s="1"/>
  <c r="AG10" i="8" a="1"/>
  <c r="AG10" i="8" s="1"/>
  <c r="AG8" i="8" a="1"/>
  <c r="AG8" i="8" s="1"/>
  <c r="AG21" i="8"/>
  <c r="V24" i="1" a="1"/>
  <c r="V24" i="1" s="1"/>
  <c r="V23" i="1" a="1"/>
  <c r="V23" i="1" s="1"/>
  <c r="Z25" i="1"/>
  <c r="T134" i="12" a="1"/>
  <c r="T134" i="12" s="1"/>
  <c r="V25" i="1" a="1"/>
  <c r="V25" i="1" s="1"/>
  <c r="T23" i="1"/>
  <c r="T22" i="1"/>
  <c r="W20" i="11"/>
  <c r="T20" i="11"/>
  <c r="U20" i="11"/>
  <c r="R56" i="12"/>
  <c r="AG3" i="12" a="1"/>
  <c r="AG3" i="12" s="1"/>
  <c r="E16" i="21"/>
  <c r="E6" i="21"/>
  <c r="E5" i="21"/>
  <c r="B1" i="11"/>
  <c r="AW25" i="18"/>
  <c r="AV25" i="18"/>
  <c r="AU25" i="18"/>
  <c r="AT25" i="18"/>
  <c r="AS25" i="18"/>
  <c r="AR25" i="18"/>
  <c r="AQ25" i="18"/>
  <c r="AP25" i="18"/>
  <c r="AO25" i="18"/>
  <c r="AN25" i="18"/>
  <c r="AM25" i="18"/>
  <c r="AL25" i="18"/>
  <c r="AK25" i="18"/>
  <c r="AJ25" i="18"/>
  <c r="AI25" i="18"/>
  <c r="AH25" i="18"/>
  <c r="B1" i="3"/>
  <c r="B1" i="8"/>
  <c r="B1" i="6"/>
  <c r="B1" i="18"/>
  <c r="E17" i="21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H74" i="3"/>
  <c r="AK74" i="3"/>
  <c r="AL74" i="3"/>
  <c r="AM74" i="3"/>
  <c r="AN74" i="3"/>
  <c r="AO74" i="3"/>
  <c r="AP74" i="3"/>
  <c r="AQ74" i="3"/>
  <c r="AT74" i="3"/>
  <c r="AU74" i="3"/>
  <c r="AV74" i="3"/>
  <c r="AW74" i="3"/>
  <c r="AJ74" i="3"/>
  <c r="AS74" i="3"/>
  <c r="AI74" i="3"/>
  <c r="AR74" i="3"/>
  <c r="U14" i="1" a="1"/>
  <c r="K41" i="11"/>
  <c r="R41" i="11"/>
  <c r="S41" i="11"/>
  <c r="T41" i="11"/>
  <c r="U41" i="11"/>
  <c r="V41" i="11"/>
  <c r="W41" i="11"/>
  <c r="X41" i="11"/>
  <c r="Y41" i="11"/>
  <c r="AA41" i="11"/>
  <c r="AB41" i="11"/>
  <c r="AC41" i="11"/>
  <c r="AD41" i="11"/>
  <c r="AE41" i="11"/>
  <c r="AF41" i="11"/>
  <c r="AG41" i="11" a="1"/>
  <c r="AG41" i="11" s="1"/>
  <c r="S42" i="11"/>
  <c r="R42" i="11"/>
  <c r="AO42" i="11" a="1"/>
  <c r="AH42" i="11" a="1"/>
  <c r="AH42" i="11" s="1"/>
  <c r="AG42" i="11" a="1"/>
  <c r="AG42" i="11" s="1"/>
  <c r="T42" i="11"/>
  <c r="U42" i="11"/>
  <c r="V42" i="11"/>
  <c r="W42" i="11"/>
  <c r="X42" i="11"/>
  <c r="Y42" i="11"/>
  <c r="AA42" i="11"/>
  <c r="AB42" i="11"/>
  <c r="AC42" i="11"/>
  <c r="AD42" i="11"/>
  <c r="AE42" i="11"/>
  <c r="AF42" i="11"/>
  <c r="K42" i="11"/>
  <c r="AL42" i="11" a="1"/>
  <c r="AI46" i="11" a="1"/>
  <c r="AG46" i="11"/>
  <c r="AK22" i="12" a="1"/>
  <c r="O19" i="19" a="1"/>
  <c r="O19" i="19" s="1"/>
  <c r="N19" i="19" a="1"/>
  <c r="N19" i="19" s="1"/>
  <c r="N17" i="19" a="1"/>
  <c r="N17" i="19" s="1"/>
  <c r="AE22" i="12" a="1"/>
  <c r="AE22" i="12" s="1"/>
  <c r="AC22" i="12" a="1"/>
  <c r="AC22" i="12" s="1"/>
  <c r="AA22" i="12" a="1"/>
  <c r="AA22" i="12" s="1"/>
  <c r="Y22" i="12" a="1"/>
  <c r="Y22" i="12" s="1"/>
  <c r="X22" i="12" a="1"/>
  <c r="X22" i="12" s="1"/>
  <c r="W22" i="12" a="1"/>
  <c r="W22" i="12" s="1"/>
  <c r="V22" i="12" a="1"/>
  <c r="V22" i="12" s="1"/>
  <c r="M15" i="19" a="1"/>
  <c r="I15" i="19" a="1"/>
  <c r="L19" i="19" a="1"/>
  <c r="L19" i="19"/>
  <c r="I20" i="19" a="1"/>
  <c r="I20" i="19" s="1"/>
  <c r="K20" i="19" a="1"/>
  <c r="K16" i="19" a="1"/>
  <c r="AG134" i="12" a="1"/>
  <c r="AG134" i="12" s="1"/>
  <c r="AH22" i="12" a="1"/>
  <c r="AG22" i="12" a="1"/>
  <c r="AG22" i="12" s="1"/>
  <c r="AF22" i="12" a="1"/>
  <c r="AF22" i="12" s="1"/>
  <c r="Z41" i="11"/>
  <c r="AH41" i="11" a="1"/>
  <c r="AW42" i="11"/>
  <c r="AV42" i="11"/>
  <c r="Z42" i="11"/>
  <c r="AK42" i="11"/>
  <c r="AJ42" i="11"/>
  <c r="AU42" i="11"/>
  <c r="AT42" i="11"/>
  <c r="AS42" i="11"/>
  <c r="AI42" i="11"/>
  <c r="AR42" i="11"/>
  <c r="AH46" i="11"/>
  <c r="U46" i="11"/>
  <c r="V46" i="11"/>
  <c r="W46" i="11"/>
  <c r="X46" i="11"/>
  <c r="AA46" i="11"/>
  <c r="AB46" i="11"/>
  <c r="AC46" i="11"/>
  <c r="AD46" i="11"/>
  <c r="AE46" i="11"/>
  <c r="AF46" i="11"/>
  <c r="T46" i="11"/>
  <c r="S46" i="11"/>
  <c r="R46" i="11"/>
  <c r="K46" i="11"/>
  <c r="Y46" i="11"/>
  <c r="Z46" i="11"/>
  <c r="T22" i="12" a="1"/>
  <c r="T22" i="12" s="1"/>
  <c r="AB22" i="12" a="1"/>
  <c r="AB22" i="12" s="1"/>
  <c r="AD22" i="12" a="1"/>
  <c r="AD22" i="12" s="1"/>
  <c r="K22" i="12"/>
  <c r="X134" i="12" a="1"/>
  <c r="X134" i="12" s="1"/>
  <c r="AH134" i="12" a="1"/>
  <c r="R134" i="12" a="1"/>
  <c r="R134" i="12" s="1"/>
  <c r="AA21" i="1" s="1"/>
  <c r="W134" i="12" a="1"/>
  <c r="W134" i="12" s="1"/>
  <c r="Y134" i="12" a="1"/>
  <c r="Y134" i="12" s="1"/>
  <c r="Z134" i="12" a="1"/>
  <c r="Z134" i="12" s="1"/>
  <c r="AA134" i="12" a="1"/>
  <c r="AA134" i="12" s="1"/>
  <c r="AC134" i="12" a="1"/>
  <c r="AC134" i="12" s="1"/>
  <c r="AD134" i="12" a="1"/>
  <c r="AD134" i="12" s="1"/>
  <c r="AE134" i="12" a="1"/>
  <c r="AE134" i="12" s="1"/>
  <c r="AF134" i="12" a="1"/>
  <c r="AF134" i="12" s="1"/>
  <c r="V134" i="12" a="1"/>
  <c r="V134" i="12" s="1"/>
  <c r="S134" i="12" a="1"/>
  <c r="S134" i="12" s="1"/>
  <c r="K134" i="12"/>
  <c r="X57" i="12"/>
  <c r="AA91" i="12"/>
  <c r="AB134" i="12" a="1"/>
  <c r="AB134" i="12" s="1"/>
  <c r="P32" i="1" a="1"/>
  <c r="P32" i="1"/>
  <c r="Q32" i="1" a="1"/>
  <c r="Q32" i="1"/>
  <c r="P31" i="1" a="1"/>
  <c r="P31" i="1"/>
  <c r="AG47" i="3" a="1"/>
  <c r="AG47" i="3"/>
  <c r="AH47" i="3" a="1"/>
  <c r="AI47" i="3"/>
  <c r="T47" i="3" a="1"/>
  <c r="T47" i="3"/>
  <c r="S47" i="3" a="1"/>
  <c r="S47" i="3"/>
  <c r="U47" i="3" a="1"/>
  <c r="U47" i="3"/>
  <c r="V47" i="3" a="1"/>
  <c r="V47" i="3"/>
  <c r="W47" i="3" a="1"/>
  <c r="W47" i="3"/>
  <c r="X47" i="3" a="1"/>
  <c r="X47" i="3"/>
  <c r="Y47" i="3" a="1"/>
  <c r="Y47" i="3"/>
  <c r="Z47" i="3" a="1"/>
  <c r="Z47" i="3"/>
  <c r="AB47" i="3" a="1"/>
  <c r="AB47" i="3"/>
  <c r="AC47" i="3" a="1"/>
  <c r="AC47" i="3"/>
  <c r="AD47" i="3" a="1"/>
  <c r="AD47" i="3"/>
  <c r="AE47" i="3" a="1"/>
  <c r="AE47" i="3"/>
  <c r="AF47" i="3" a="1"/>
  <c r="AF47" i="3"/>
  <c r="R47" i="3" a="1"/>
  <c r="R47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R41" i="3"/>
  <c r="Y42" i="3" a="1"/>
  <c r="Y42" i="3"/>
  <c r="Z42" i="3" a="1"/>
  <c r="Z42" i="3"/>
  <c r="AA42" i="3" a="1"/>
  <c r="AA42" i="3"/>
  <c r="AB42" i="3" a="1"/>
  <c r="AB42" i="3"/>
  <c r="AC42" i="3" a="1"/>
  <c r="AC42" i="3"/>
  <c r="AD42" i="3" a="1"/>
  <c r="AD42" i="3"/>
  <c r="AE42" i="3" a="1"/>
  <c r="AE42" i="3"/>
  <c r="AF42" i="3" a="1"/>
  <c r="AF42" i="3"/>
  <c r="X42" i="3" a="1"/>
  <c r="X42" i="3"/>
  <c r="U42" i="3" a="1"/>
  <c r="U42" i="3"/>
  <c r="V42" i="3"/>
  <c r="W42" i="3" a="1"/>
  <c r="W42" i="3"/>
  <c r="P27" i="1" a="1"/>
  <c r="R29" i="1"/>
  <c r="T42" i="3" a="1"/>
  <c r="T42" i="3"/>
  <c r="M30" i="1"/>
  <c r="R42" i="3" a="1"/>
  <c r="R42" i="3"/>
  <c r="AG43" i="3" a="1"/>
  <c r="AG43" i="3"/>
  <c r="AA43" i="3" a="1"/>
  <c r="AA43" i="3"/>
  <c r="AB43" i="3" a="1"/>
  <c r="AB43" i="3"/>
  <c r="AC43" i="3" a="1"/>
  <c r="AC43" i="3"/>
  <c r="AD43" i="3" a="1"/>
  <c r="AD43" i="3"/>
  <c r="Z43" i="3" a="1"/>
  <c r="Z43" i="3"/>
  <c r="X43" i="3" a="1"/>
  <c r="X43" i="3"/>
  <c r="Y43" i="3" a="1"/>
  <c r="Y43" i="3"/>
  <c r="V43" i="3" a="1"/>
  <c r="V43" i="3"/>
  <c r="W43" i="3" a="1"/>
  <c r="W43" i="3"/>
  <c r="U43" i="3" a="1"/>
  <c r="U43" i="3"/>
  <c r="T43" i="3" a="1"/>
  <c r="T43" i="3"/>
  <c r="S43" i="3" a="1"/>
  <c r="S43" i="3"/>
  <c r="AF43" i="3" a="1"/>
  <c r="AF43" i="3"/>
  <c r="R43" i="3" a="1"/>
  <c r="R43" i="3"/>
  <c r="AE43" i="3" a="1"/>
  <c r="AE43" i="3"/>
  <c r="R78" i="5"/>
  <c r="AF78" i="5" s="1"/>
  <c r="S78" i="5"/>
  <c r="S79" i="5"/>
  <c r="R79" i="5"/>
  <c r="AF79" i="5" s="1"/>
  <c r="T78" i="5"/>
  <c r="AH79" i="5" a="1"/>
  <c r="AE79" i="5"/>
  <c r="AD79" i="5"/>
  <c r="AC79" i="5"/>
  <c r="AB79" i="5"/>
  <c r="AA79" i="5"/>
  <c r="Z79" i="5"/>
  <c r="Y79" i="5"/>
  <c r="X79" i="5"/>
  <c r="W79" i="5"/>
  <c r="V79" i="5"/>
  <c r="U79" i="5"/>
  <c r="T79" i="5"/>
  <c r="AH78" i="5" a="1"/>
  <c r="AE78" i="5"/>
  <c r="AD78" i="5"/>
  <c r="AC78" i="5"/>
  <c r="AB78" i="5"/>
  <c r="AA78" i="5"/>
  <c r="Z78" i="5"/>
  <c r="X78" i="5"/>
  <c r="W78" i="5"/>
  <c r="V78" i="5"/>
  <c r="U78" i="5"/>
  <c r="AH29" i="18" a="1"/>
  <c r="AA29" i="18"/>
  <c r="AB29" i="18"/>
  <c r="AC29" i="18"/>
  <c r="AD29" i="18"/>
  <c r="AE29" i="18"/>
  <c r="Z29" i="18"/>
  <c r="Y29" i="18"/>
  <c r="X29" i="18"/>
  <c r="W29" i="18"/>
  <c r="V29" i="18"/>
  <c r="U29" i="18"/>
  <c r="T29" i="18"/>
  <c r="S29" i="18"/>
  <c r="R29" i="18"/>
  <c r="AF29" i="18" s="1"/>
  <c r="AH28" i="18" a="1"/>
  <c r="AH28" i="18" s="1"/>
  <c r="AH27" i="18" a="1"/>
  <c r="AH26" i="18" a="1"/>
  <c r="AA26" i="18"/>
  <c r="AB26" i="18"/>
  <c r="AC26" i="18"/>
  <c r="AD26" i="18"/>
  <c r="AE26" i="18"/>
  <c r="AF26" i="18"/>
  <c r="AA27" i="18"/>
  <c r="AB27" i="18"/>
  <c r="AC27" i="18"/>
  <c r="AD27" i="18"/>
  <c r="AE27" i="18"/>
  <c r="AF27" i="18"/>
  <c r="AA28" i="18"/>
  <c r="AB28" i="18"/>
  <c r="AC28" i="18"/>
  <c r="AD28" i="18"/>
  <c r="AE28" i="18"/>
  <c r="AF28" i="18"/>
  <c r="Z28" i="18"/>
  <c r="Z27" i="18"/>
  <c r="Z26" i="18"/>
  <c r="Y28" i="18"/>
  <c r="Y27" i="18"/>
  <c r="Y26" i="18"/>
  <c r="X28" i="18"/>
  <c r="X27" i="18"/>
  <c r="X26" i="18"/>
  <c r="W28" i="18"/>
  <c r="W27" i="18"/>
  <c r="W26" i="18"/>
  <c r="V28" i="18"/>
  <c r="V27" i="18"/>
  <c r="V26" i="18"/>
  <c r="U28" i="18"/>
  <c r="U27" i="18"/>
  <c r="U26" i="18"/>
  <c r="T28" i="18"/>
  <c r="T27" i="18"/>
  <c r="S28" i="18"/>
  <c r="S27" i="18"/>
  <c r="R28" i="18"/>
  <c r="R27" i="18"/>
  <c r="T26" i="18"/>
  <c r="S26" i="18"/>
  <c r="R26" i="18"/>
  <c r="AH73" i="5" a="1"/>
  <c r="AH73" i="5" s="1"/>
  <c r="AA73" i="5"/>
  <c r="AB73" i="5"/>
  <c r="AC73" i="5"/>
  <c r="AD73" i="5"/>
  <c r="AE73" i="5"/>
  <c r="AF73" i="5"/>
  <c r="Z73" i="5"/>
  <c r="Y73" i="5"/>
  <c r="X73" i="5"/>
  <c r="W73" i="5"/>
  <c r="V73" i="5"/>
  <c r="U73" i="5"/>
  <c r="T73" i="5"/>
  <c r="S73" i="5"/>
  <c r="R73" i="5"/>
  <c r="T75" i="5"/>
  <c r="Z75" i="5"/>
  <c r="Y75" i="5"/>
  <c r="AH75" i="5" a="1"/>
  <c r="AF75" i="5"/>
  <c r="U75" i="5"/>
  <c r="V75" i="5"/>
  <c r="W75" i="5"/>
  <c r="X75" i="5"/>
  <c r="AA75" i="5"/>
  <c r="AB75" i="5"/>
  <c r="AC75" i="5"/>
  <c r="AD75" i="5"/>
  <c r="AE75" i="5"/>
  <c r="S75" i="5"/>
  <c r="R75" i="5"/>
  <c r="Y74" i="5"/>
  <c r="X74" i="5"/>
  <c r="AH74" i="5" a="1"/>
  <c r="W74" i="5"/>
  <c r="Z74" i="5"/>
  <c r="AA74" i="5"/>
  <c r="AB74" i="5"/>
  <c r="AC74" i="5"/>
  <c r="AD74" i="5"/>
  <c r="AE74" i="5"/>
  <c r="AF74" i="5"/>
  <c r="V74" i="5"/>
  <c r="U74" i="5"/>
  <c r="S74" i="5"/>
  <c r="R74" i="5"/>
  <c r="AH88" i="5" a="1"/>
  <c r="AH88" i="5" s="1"/>
  <c r="AE88" i="5"/>
  <c r="AD88" i="5"/>
  <c r="AC88" i="5"/>
  <c r="AB88" i="5"/>
  <c r="AA88" i="5"/>
  <c r="Z88" i="5"/>
  <c r="Y88" i="5"/>
  <c r="X88" i="5"/>
  <c r="W88" i="5"/>
  <c r="V88" i="5"/>
  <c r="U88" i="5"/>
  <c r="T88" i="5"/>
  <c r="R88" i="5"/>
  <c r="AF88" i="5" s="1"/>
  <c r="U87" i="5"/>
  <c r="T87" i="5"/>
  <c r="S87" i="5"/>
  <c r="V87" i="5"/>
  <c r="W87" i="5"/>
  <c r="V32" i="18"/>
  <c r="R87" i="5"/>
  <c r="AF87" i="5" s="1"/>
  <c r="R32" i="18"/>
  <c r="AF32" i="18" s="1"/>
  <c r="W32" i="18"/>
  <c r="T32" i="18"/>
  <c r="S32" i="18"/>
  <c r="AG32" i="18"/>
  <c r="AA32" i="18"/>
  <c r="AB32" i="18"/>
  <c r="AH87" i="5" a="1"/>
  <c r="AE87" i="5"/>
  <c r="AD87" i="5"/>
  <c r="AC87" i="5"/>
  <c r="AB87" i="5"/>
  <c r="AA87" i="5"/>
  <c r="Z87" i="5"/>
  <c r="Y87" i="5"/>
  <c r="X87" i="5"/>
  <c r="AH32" i="18" a="1"/>
  <c r="Y32" i="18"/>
  <c r="X32" i="18"/>
  <c r="Z32" i="18"/>
  <c r="AC32" i="18"/>
  <c r="AD32" i="18"/>
  <c r="AE32" i="18"/>
  <c r="U32" i="18"/>
  <c r="AH76" i="3" a="1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F30" i="1"/>
  <c r="F29" i="1"/>
  <c r="C27" i="1"/>
  <c r="C28" i="1"/>
  <c r="C30" i="1"/>
  <c r="C29" i="1"/>
  <c r="D33" i="1"/>
  <c r="D32" i="1"/>
  <c r="X9" i="11"/>
  <c r="B32" i="1"/>
  <c r="C32" i="1" s="1"/>
  <c r="AF9" i="11"/>
  <c r="AE9" i="11"/>
  <c r="AD9" i="11"/>
  <c r="AC9" i="11"/>
  <c r="AB9" i="11"/>
  <c r="AA9" i="11"/>
  <c r="Y9" i="11"/>
  <c r="W9" i="11"/>
  <c r="V9" i="11"/>
  <c r="U9" i="11"/>
  <c r="T9" i="11"/>
  <c r="S9" i="11"/>
  <c r="R9" i="11"/>
  <c r="K9" i="11"/>
  <c r="Z9" i="11" s="1"/>
  <c r="AH9" i="11" a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/>
  <c r="B79" i="1"/>
  <c r="C79" i="1" s="1"/>
  <c r="B80" i="1"/>
  <c r="C80" i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/>
  <c r="B96" i="1"/>
  <c r="C96" i="1" s="1"/>
  <c r="B97" i="1"/>
  <c r="C97" i="1" s="1"/>
  <c r="B98" i="1"/>
  <c r="C98" i="1" s="1"/>
  <c r="B99" i="1"/>
  <c r="C99" i="1" s="1"/>
  <c r="B100" i="1"/>
  <c r="C100" i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/>
  <c r="B159" i="1"/>
  <c r="C159" i="1" s="1"/>
  <c r="B160" i="1"/>
  <c r="C160" i="1" s="1"/>
  <c r="B161" i="1"/>
  <c r="C161" i="1"/>
  <c r="B162" i="1"/>
  <c r="C162" i="1" s="1"/>
  <c r="B163" i="1"/>
  <c r="C163" i="1" s="1"/>
  <c r="B164" i="1"/>
  <c r="C164" i="1" s="1"/>
  <c r="B165" i="1"/>
  <c r="C165" i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/>
  <c r="B218" i="1"/>
  <c r="C218" i="1"/>
  <c r="B219" i="1"/>
  <c r="C219" i="1"/>
  <c r="B220" i="1"/>
  <c r="C220" i="1"/>
  <c r="B221" i="1"/>
  <c r="C221" i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/>
  <c r="B228" i="1"/>
  <c r="C228" i="1"/>
  <c r="B229" i="1"/>
  <c r="C229" i="1"/>
  <c r="B230" i="1"/>
  <c r="C230" i="1" s="1"/>
  <c r="B231" i="1"/>
  <c r="C231" i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Y7" i="11"/>
  <c r="AA7" i="11"/>
  <c r="AB7" i="11"/>
  <c r="AC7" i="11"/>
  <c r="AD7" i="11"/>
  <c r="AE7" i="11"/>
  <c r="AF7" i="11"/>
  <c r="R7" i="11"/>
  <c r="W7" i="11"/>
  <c r="X7" i="11"/>
  <c r="T7" i="11"/>
  <c r="U7" i="11"/>
  <c r="V7" i="11"/>
  <c r="K7" i="11"/>
  <c r="Z7" i="11" s="1"/>
  <c r="AH7" i="11" a="1"/>
  <c r="AG3" i="8"/>
  <c r="W3" i="8"/>
  <c r="V3" i="8"/>
  <c r="R3" i="8"/>
  <c r="J26" i="1" a="1"/>
  <c r="J26" i="1"/>
  <c r="I26" i="1"/>
  <c r="I28" i="1"/>
  <c r="D28" i="1" a="1"/>
  <c r="D28" i="1" s="1"/>
  <c r="C3" i="19"/>
  <c r="D3" i="19"/>
  <c r="D2" i="19"/>
  <c r="C2" i="19"/>
  <c r="B2" i="19"/>
  <c r="R59" i="3"/>
  <c r="R82" i="3"/>
  <c r="R43" i="11"/>
  <c r="X43" i="11"/>
  <c r="Y43" i="11"/>
  <c r="AA43" i="11"/>
  <c r="AB43" i="11"/>
  <c r="AC43" i="11"/>
  <c r="AD43" i="11"/>
  <c r="AE43" i="11"/>
  <c r="AF43" i="11"/>
  <c r="W43" i="11"/>
  <c r="S43" i="11"/>
  <c r="T43" i="11"/>
  <c r="U43" i="11"/>
  <c r="V43" i="11"/>
  <c r="K43" i="11"/>
  <c r="Z43" i="11" s="1"/>
  <c r="AH43" i="11" a="1"/>
  <c r="AH43" i="11" s="1"/>
  <c r="A43" i="19"/>
  <c r="A4" i="19"/>
  <c r="A37" i="19"/>
  <c r="A42" i="19"/>
  <c r="A41" i="19"/>
  <c r="A36" i="19"/>
  <c r="A35" i="19"/>
  <c r="A34" i="19"/>
  <c r="A27" i="19"/>
  <c r="A32" i="19"/>
  <c r="A31" i="19"/>
  <c r="A33" i="19"/>
  <c r="A29" i="19"/>
  <c r="A30" i="19"/>
  <c r="A28" i="19"/>
  <c r="A2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3" i="19"/>
  <c r="AF53" i="11"/>
  <c r="AE53" i="11"/>
  <c r="AD53" i="11"/>
  <c r="AC53" i="11"/>
  <c r="AB53" i="11"/>
  <c r="AA53" i="11"/>
  <c r="Y53" i="11"/>
  <c r="X53" i="11"/>
  <c r="W53" i="11"/>
  <c r="V53" i="11"/>
  <c r="U53" i="11"/>
  <c r="T53" i="11"/>
  <c r="S53" i="11"/>
  <c r="R53" i="11"/>
  <c r="K53" i="11"/>
  <c r="AH53" i="11" a="1"/>
  <c r="AW53" i="11" s="1"/>
  <c r="AT3" i="8"/>
  <c r="AR3" i="8"/>
  <c r="AS3" i="8"/>
  <c r="AQ3" i="8"/>
  <c r="AP3" i="8"/>
  <c r="AO13" i="6" a="1"/>
  <c r="AK13" i="6" a="1"/>
  <c r="AM13" i="6" s="1"/>
  <c r="AK13" i="6"/>
  <c r="AH13" i="6" a="1"/>
  <c r="AH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R13" i="6"/>
  <c r="AO11" i="6" a="1"/>
  <c r="AT11" i="6"/>
  <c r="AK11" i="6" a="1"/>
  <c r="AM11" i="6" s="1"/>
  <c r="AK11" i="6"/>
  <c r="AH11" i="6" a="1"/>
  <c r="AH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K18" i="6" a="1"/>
  <c r="AO18" i="6" a="1"/>
  <c r="AH18" i="6" a="1"/>
  <c r="AH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R18" i="6"/>
  <c r="T15" i="6"/>
  <c r="AO15" i="6" a="1"/>
  <c r="AO15" i="6"/>
  <c r="AK15" i="6" a="1"/>
  <c r="AN15" i="6"/>
  <c r="AH15" i="6" a="1"/>
  <c r="AH15" i="6"/>
  <c r="AG15" i="6"/>
  <c r="S15" i="6"/>
  <c r="U15" i="6"/>
  <c r="V15" i="6"/>
  <c r="W15" i="6"/>
  <c r="X15" i="6"/>
  <c r="Y15" i="6"/>
  <c r="Z15" i="6"/>
  <c r="AA15" i="6"/>
  <c r="AB15" i="6"/>
  <c r="AC15" i="6"/>
  <c r="AD15" i="6"/>
  <c r="AE15" i="6"/>
  <c r="AF15" i="6"/>
  <c r="R15" i="6"/>
  <c r="AB9" i="6"/>
  <c r="AO9" i="6" a="1"/>
  <c r="AU9" i="6" s="1"/>
  <c r="W9" i="6"/>
  <c r="AK9" i="6" a="1"/>
  <c r="AK9" i="6"/>
  <c r="AG9" i="6"/>
  <c r="X9" i="6"/>
  <c r="T9" i="6"/>
  <c r="S9" i="6"/>
  <c r="U9" i="6"/>
  <c r="V9" i="6"/>
  <c r="Y9" i="6"/>
  <c r="Z9" i="6"/>
  <c r="AA9" i="6"/>
  <c r="AC9" i="6"/>
  <c r="AD9" i="6"/>
  <c r="AE9" i="6"/>
  <c r="AF9" i="6"/>
  <c r="R9" i="6"/>
  <c r="AI6" i="6" a="1"/>
  <c r="AI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U3" i="12"/>
  <c r="AA3" i="12"/>
  <c r="AB3" i="12"/>
  <c r="K3" i="12"/>
  <c r="W3" i="12" s="1"/>
  <c r="R3" i="12"/>
  <c r="AC3" i="12" s="1"/>
  <c r="R57" i="5"/>
  <c r="R37" i="5"/>
  <c r="AB37" i="5" s="1"/>
  <c r="R33" i="9"/>
  <c r="AE33" i="9"/>
  <c r="U33" i="9"/>
  <c r="S33" i="9"/>
  <c r="T33" i="9"/>
  <c r="V33" i="9"/>
  <c r="W33" i="9"/>
  <c r="X33" i="9"/>
  <c r="AB33" i="9"/>
  <c r="AC33" i="9"/>
  <c r="AD33" i="9"/>
  <c r="R40" i="9"/>
  <c r="AE40" i="9" s="1"/>
  <c r="L33" i="9"/>
  <c r="AH46" i="9" a="1"/>
  <c r="AH46" i="9" s="1"/>
  <c r="Y46" i="9"/>
  <c r="S46" i="9"/>
  <c r="T46" i="9"/>
  <c r="U46" i="9"/>
  <c r="V46" i="9"/>
  <c r="W46" i="9"/>
  <c r="X46" i="9"/>
  <c r="Z46" i="9"/>
  <c r="AB46" i="9"/>
  <c r="AC46" i="9"/>
  <c r="AD46" i="9"/>
  <c r="AE46" i="9"/>
  <c r="AF46" i="9"/>
  <c r="R46" i="9"/>
  <c r="R45" i="9"/>
  <c r="L46" i="9"/>
  <c r="AA46" i="9"/>
  <c r="Z41" i="9"/>
  <c r="AH41" i="9" a="1"/>
  <c r="X22" i="9"/>
  <c r="AH22" i="9" a="1"/>
  <c r="S22" i="9"/>
  <c r="T22" i="9"/>
  <c r="U22" i="9"/>
  <c r="V22" i="9"/>
  <c r="W22" i="9"/>
  <c r="AB22" i="9"/>
  <c r="AC22" i="9"/>
  <c r="AD22" i="9"/>
  <c r="AF22" i="9"/>
  <c r="AE22" i="9"/>
  <c r="L22" i="9"/>
  <c r="AA22" i="9"/>
  <c r="W13" i="9"/>
  <c r="S13" i="9"/>
  <c r="T13" i="9"/>
  <c r="Y13" i="9"/>
  <c r="Z13" i="9"/>
  <c r="AB13" i="9"/>
  <c r="AC13" i="9"/>
  <c r="AD13" i="9"/>
  <c r="AE13" i="9"/>
  <c r="AF13" i="9"/>
  <c r="AH45" i="9" a="1"/>
  <c r="AH45" i="9" s="1"/>
  <c r="AF45" i="9"/>
  <c r="S45" i="9"/>
  <c r="T45" i="9"/>
  <c r="U45" i="9"/>
  <c r="V45" i="9"/>
  <c r="W45" i="9"/>
  <c r="X45" i="9"/>
  <c r="Y45" i="9"/>
  <c r="Z45" i="9"/>
  <c r="AB45" i="9"/>
  <c r="AC45" i="9"/>
  <c r="AD45" i="9"/>
  <c r="AE45" i="9"/>
  <c r="L45" i="9"/>
  <c r="AA45" i="9"/>
  <c r="AH55" i="9" a="1"/>
  <c r="AH56" i="9" a="1"/>
  <c r="AH56" i="9" s="1"/>
  <c r="R55" i="9"/>
  <c r="R57" i="9" s="1"/>
  <c r="AG55" i="9"/>
  <c r="L13" i="9"/>
  <c r="AA13" i="9"/>
  <c r="AH40" i="9" a="1"/>
  <c r="AW40" i="9" s="1"/>
  <c r="S41" i="9"/>
  <c r="T41" i="9"/>
  <c r="U41" i="9"/>
  <c r="V41" i="9"/>
  <c r="W41" i="9"/>
  <c r="X41" i="9"/>
  <c r="Y41" i="9"/>
  <c r="AB41" i="9"/>
  <c r="AC41" i="9"/>
  <c r="AD41" i="9"/>
  <c r="AE41" i="9"/>
  <c r="AF41" i="9"/>
  <c r="R41" i="9"/>
  <c r="L41" i="9"/>
  <c r="AA41" i="9"/>
  <c r="AH26" i="9" a="1"/>
  <c r="AH25" i="9" a="1"/>
  <c r="AF25" i="9"/>
  <c r="S25" i="9"/>
  <c r="T25" i="9"/>
  <c r="U25" i="9"/>
  <c r="V25" i="9"/>
  <c r="W25" i="9"/>
  <c r="X25" i="9"/>
  <c r="Y25" i="9"/>
  <c r="Z25" i="9"/>
  <c r="AB25" i="9"/>
  <c r="AC25" i="9"/>
  <c r="AD25" i="9"/>
  <c r="AE25" i="9"/>
  <c r="L25" i="9"/>
  <c r="AA25" i="9" s="1"/>
  <c r="X34" i="9"/>
  <c r="AG57" i="9"/>
  <c r="AG56" i="9"/>
  <c r="AH20" i="5" a="1"/>
  <c r="AG20" i="5"/>
  <c r="R20" i="5"/>
  <c r="AE20" i="5" s="1"/>
  <c r="AG27" i="17"/>
  <c r="AG23" i="17"/>
  <c r="AH12" i="6" a="1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R12" i="6"/>
  <c r="AF10" i="8"/>
  <c r="AE10" i="8"/>
  <c r="AD10" i="8"/>
  <c r="AC10" i="8"/>
  <c r="AB10" i="8"/>
  <c r="AA10" i="8"/>
  <c r="Y10" i="8"/>
  <c r="X10" i="8"/>
  <c r="W10" i="8"/>
  <c r="V10" i="8"/>
  <c r="U10" i="8"/>
  <c r="T10" i="8"/>
  <c r="S10" i="8"/>
  <c r="R10" i="8"/>
  <c r="AJ10" i="8" a="1"/>
  <c r="K10" i="8"/>
  <c r="AH12" i="17" a="1"/>
  <c r="AF12" i="17"/>
  <c r="Y12" i="17"/>
  <c r="R23" i="17"/>
  <c r="S12" i="17"/>
  <c r="T12" i="17"/>
  <c r="U12" i="17"/>
  <c r="V12" i="17"/>
  <c r="W12" i="17"/>
  <c r="X12" i="17"/>
  <c r="Z12" i="17"/>
  <c r="AA12" i="17"/>
  <c r="AB12" i="17"/>
  <c r="AC12" i="17"/>
  <c r="AD12" i="17"/>
  <c r="AE12" i="17"/>
  <c r="R12" i="17"/>
  <c r="X23" i="17"/>
  <c r="W23" i="17"/>
  <c r="Y23" i="17"/>
  <c r="AH23" i="17" a="1"/>
  <c r="AH23" i="17" s="1"/>
  <c r="AH22" i="17" a="1"/>
  <c r="AF23" i="17"/>
  <c r="AF22" i="17"/>
  <c r="T23" i="17"/>
  <c r="U23" i="17"/>
  <c r="V23" i="17"/>
  <c r="Z23" i="17"/>
  <c r="AA23" i="17"/>
  <c r="AB23" i="17"/>
  <c r="AC23" i="17"/>
  <c r="AD23" i="17"/>
  <c r="AE23" i="17"/>
  <c r="S23" i="17"/>
  <c r="AH4" i="17" a="1"/>
  <c r="AB4" i="17"/>
  <c r="V4" i="17"/>
  <c r="AA4" i="17"/>
  <c r="Z4" i="17"/>
  <c r="W4" i="17"/>
  <c r="U4" i="17"/>
  <c r="T4" i="17"/>
  <c r="S4" i="17"/>
  <c r="X4" i="17"/>
  <c r="Y4" i="17"/>
  <c r="AC4" i="17"/>
  <c r="AD4" i="17"/>
  <c r="AE4" i="17"/>
  <c r="R4" i="17"/>
  <c r="AF4" i="17" s="1"/>
  <c r="R22" i="17"/>
  <c r="Z22" i="17"/>
  <c r="AA22" i="17"/>
  <c r="AB22" i="17"/>
  <c r="AC22" i="17"/>
  <c r="AD22" i="17"/>
  <c r="AE22" i="17"/>
  <c r="S22" i="17"/>
  <c r="T22" i="17"/>
  <c r="U22" i="17"/>
  <c r="V22" i="17"/>
  <c r="W22" i="17"/>
  <c r="X22" i="17"/>
  <c r="Y22" i="17"/>
  <c r="AD20" i="5"/>
  <c r="AN52" i="3" a="1"/>
  <c r="AV52" i="3" s="1"/>
  <c r="AH52" i="3" a="1"/>
  <c r="AM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S20" i="5"/>
  <c r="AF20" i="5" s="1"/>
  <c r="T20" i="5"/>
  <c r="U20" i="5"/>
  <c r="V20" i="5"/>
  <c r="W20" i="5"/>
  <c r="X20" i="5"/>
  <c r="Y20" i="5"/>
  <c r="Z20" i="5"/>
  <c r="AA20" i="5"/>
  <c r="AB20" i="5"/>
  <c r="AC20" i="5"/>
  <c r="U65" i="5"/>
  <c r="AG65" i="5"/>
  <c r="AN65" i="5" a="1"/>
  <c r="AH65" i="5" a="1"/>
  <c r="AF65" i="5"/>
  <c r="AE65" i="5"/>
  <c r="AD65" i="5"/>
  <c r="AC65" i="5"/>
  <c r="AA65" i="5"/>
  <c r="Z65" i="5"/>
  <c r="Y65" i="5"/>
  <c r="X65" i="5"/>
  <c r="W65" i="5"/>
  <c r="V65" i="5"/>
  <c r="T65" i="5"/>
  <c r="S65" i="5"/>
  <c r="R65" i="5"/>
  <c r="AH42" i="5" a="1"/>
  <c r="Z42" i="5"/>
  <c r="AB42" i="5"/>
  <c r="S40" i="9"/>
  <c r="T40" i="9"/>
  <c r="U40" i="9"/>
  <c r="V40" i="9"/>
  <c r="W40" i="9"/>
  <c r="X40" i="9"/>
  <c r="AB40" i="9"/>
  <c r="AC40" i="9"/>
  <c r="AD40" i="9"/>
  <c r="L40" i="9"/>
  <c r="Y40" i="9" s="1"/>
  <c r="AC42" i="5"/>
  <c r="AD42" i="5"/>
  <c r="AE42" i="5"/>
  <c r="S42" i="5"/>
  <c r="T42" i="5"/>
  <c r="U42" i="5"/>
  <c r="W42" i="5"/>
  <c r="X42" i="5"/>
  <c r="AA42" i="5"/>
  <c r="V37" i="5"/>
  <c r="AF37" i="5" s="1"/>
  <c r="U37" i="5"/>
  <c r="AE37" i="5" s="1"/>
  <c r="AH37" i="5" a="1"/>
  <c r="S3" i="12"/>
  <c r="T3" i="12"/>
  <c r="AH3" i="12" a="1"/>
  <c r="Q28" i="1"/>
  <c r="P27" i="1"/>
  <c r="Q29" i="1"/>
  <c r="AH78" i="5"/>
  <c r="AO78" i="5"/>
  <c r="AQ78" i="5"/>
  <c r="AT78" i="5"/>
  <c r="AU78" i="5"/>
  <c r="AV78" i="5"/>
  <c r="AO13" i="6"/>
  <c r="AT13" i="6"/>
  <c r="AV13" i="6"/>
  <c r="AP11" i="6"/>
  <c r="AS11" i="6"/>
  <c r="AV11" i="6"/>
  <c r="AK18" i="6"/>
  <c r="AN18" i="6"/>
  <c r="AO18" i="6"/>
  <c r="AU18" i="6"/>
  <c r="AO9" i="6"/>
  <c r="AW9" i="6"/>
  <c r="AH4" i="17"/>
  <c r="AN4" i="17"/>
  <c r="AH79" i="5"/>
  <c r="AT79" i="5"/>
  <c r="AU79" i="5"/>
  <c r="AW79" i="5"/>
  <c r="AH75" i="5"/>
  <c r="AI75" i="5"/>
  <c r="AK75" i="5"/>
  <c r="AO75" i="5"/>
  <c r="AS75" i="5"/>
  <c r="AT75" i="5"/>
  <c r="AU75" i="5"/>
  <c r="AH74" i="5"/>
  <c r="AM74" i="5"/>
  <c r="AV74" i="5"/>
  <c r="AH87" i="5"/>
  <c r="AU87" i="5"/>
  <c r="AV87" i="5"/>
  <c r="AN65" i="5"/>
  <c r="AS65" i="5"/>
  <c r="AT65" i="5"/>
  <c r="Y33" i="9"/>
  <c r="Z33" i="9"/>
  <c r="AH22" i="9"/>
  <c r="AL22" i="9"/>
  <c r="AN22" i="9"/>
  <c r="AQ22" i="9"/>
  <c r="AH40" i="9"/>
  <c r="AT40" i="9"/>
  <c r="AQ40" i="9"/>
  <c r="AK25" i="9"/>
  <c r="AH25" i="9"/>
  <c r="AT25" i="9"/>
  <c r="Z40" i="9"/>
  <c r="AA40" i="9"/>
  <c r="AO11" i="6"/>
  <c r="AR13" i="6"/>
  <c r="AP13" i="6"/>
  <c r="AW11" i="6"/>
  <c r="AL76" i="3"/>
  <c r="AW52" i="3"/>
  <c r="Z53" i="11"/>
  <c r="Y3" i="12"/>
  <c r="V3" i="12"/>
  <c r="AQ76" i="3"/>
  <c r="AM87" i="5"/>
  <c r="AM73" i="5"/>
  <c r="B3" i="19"/>
  <c r="B4" i="19"/>
  <c r="C4" i="19"/>
  <c r="D4" i="19"/>
  <c r="AA37" i="5"/>
  <c r="Y37" i="5"/>
  <c r="W37" i="5"/>
  <c r="X37" i="5"/>
  <c r="T37" i="5"/>
  <c r="AD37" i="5" s="1"/>
  <c r="S37" i="5"/>
  <c r="AC37" i="5" s="1"/>
  <c r="AH14" i="6" a="1"/>
  <c r="AJ14" i="6"/>
  <c r="AH8" i="6" a="1"/>
  <c r="AH8" i="6"/>
  <c r="AH7" i="6" a="1"/>
  <c r="AH7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R14" i="6"/>
  <c r="U39" i="11"/>
  <c r="AN39" i="11" a="1"/>
  <c r="AR39" i="11" s="1"/>
  <c r="AK39" i="11" a="1"/>
  <c r="AH39" i="11" a="1"/>
  <c r="AF39" i="11"/>
  <c r="V39" i="11"/>
  <c r="W39" i="11"/>
  <c r="X39" i="11"/>
  <c r="AB39" i="11"/>
  <c r="AC39" i="11"/>
  <c r="AD39" i="11"/>
  <c r="AE39" i="11"/>
  <c r="S39" i="11"/>
  <c r="T39" i="11"/>
  <c r="Y39" i="11"/>
  <c r="AA39" i="11"/>
  <c r="R39" i="11"/>
  <c r="K39" i="11"/>
  <c r="Z39" i="11"/>
  <c r="V9" i="17"/>
  <c r="X9" i="17"/>
  <c r="W9" i="17"/>
  <c r="AH9" i="17" a="1"/>
  <c r="AH9" i="17"/>
  <c r="R5" i="17"/>
  <c r="U9" i="17"/>
  <c r="T9" i="17"/>
  <c r="Y9" i="17"/>
  <c r="AG9" i="17" a="1"/>
  <c r="AG9" i="17"/>
  <c r="AE9" i="17"/>
  <c r="S9" i="17"/>
  <c r="Z9" i="17"/>
  <c r="AA9" i="17"/>
  <c r="AB9" i="17"/>
  <c r="AC9" i="17"/>
  <c r="AD9" i="17"/>
  <c r="AF9" i="17"/>
  <c r="O13" i="1"/>
  <c r="AV8" i="6"/>
  <c r="AT8" i="6"/>
  <c r="AR8" i="6"/>
  <c r="AW8" i="6"/>
  <c r="AU8" i="6"/>
  <c r="AS8" i="6"/>
  <c r="D5" i="19"/>
  <c r="B5" i="19"/>
  <c r="C5" i="19"/>
  <c r="AQ8" i="6"/>
  <c r="AI14" i="6"/>
  <c r="AU14" i="6"/>
  <c r="AT14" i="6"/>
  <c r="AR14" i="6"/>
  <c r="AL14" i="6"/>
  <c r="AW14" i="6"/>
  <c r="AP14" i="6"/>
  <c r="AK14" i="6"/>
  <c r="AH14" i="6"/>
  <c r="AV14" i="6"/>
  <c r="AS14" i="6"/>
  <c r="AQ14" i="6"/>
  <c r="AO14" i="6"/>
  <c r="AN14" i="6"/>
  <c r="AM14" i="6"/>
  <c r="AO8" i="6"/>
  <c r="AL8" i="6"/>
  <c r="AK8" i="6"/>
  <c r="AP8" i="6"/>
  <c r="AN8" i="6"/>
  <c r="AJ8" i="6"/>
  <c r="AI8" i="6"/>
  <c r="AM8" i="6"/>
  <c r="AL7" i="6"/>
  <c r="AK7" i="6"/>
  <c r="AV7" i="6"/>
  <c r="AS7" i="6"/>
  <c r="AQ7" i="6"/>
  <c r="AJ7" i="6"/>
  <c r="AW7" i="6"/>
  <c r="AU7" i="6"/>
  <c r="AT7" i="6"/>
  <c r="AR7" i="6"/>
  <c r="AP7" i="6"/>
  <c r="AO7" i="6"/>
  <c r="AN7" i="6"/>
  <c r="AM7" i="6"/>
  <c r="AI7" i="6"/>
  <c r="AW9" i="17"/>
  <c r="AU9" i="17"/>
  <c r="AS9" i="17"/>
  <c r="AQ9" i="17"/>
  <c r="AO9" i="17"/>
  <c r="AK9" i="17"/>
  <c r="AV9" i="17"/>
  <c r="AT9" i="17"/>
  <c r="AR9" i="17"/>
  <c r="AP9" i="17"/>
  <c r="AN9" i="17"/>
  <c r="AM9" i="17"/>
  <c r="AL9" i="17"/>
  <c r="AJ9" i="17"/>
  <c r="AI9" i="17"/>
  <c r="AP11" i="8" a="1"/>
  <c r="AN11" i="8" a="1"/>
  <c r="AN11" i="8" s="1"/>
  <c r="AJ11" i="8" a="1"/>
  <c r="AJ11" i="8" s="1"/>
  <c r="AH11" i="8" a="1"/>
  <c r="AH11" i="8" s="1"/>
  <c r="K11" i="8"/>
  <c r="AB21" i="8"/>
  <c r="AA21" i="8"/>
  <c r="P17" i="1"/>
  <c r="M11" i="1"/>
  <c r="AT11" i="8" a="1"/>
  <c r="X11" i="8" a="1"/>
  <c r="X11" i="8" s="1"/>
  <c r="W11" i="8" a="1"/>
  <c r="W11" i="8" s="1"/>
  <c r="Z11" i="8" a="1"/>
  <c r="Z11" i="8" s="1"/>
  <c r="Y11" i="8" a="1"/>
  <c r="Y11" i="8" s="1"/>
  <c r="D6" i="19"/>
  <c r="B6" i="19"/>
  <c r="C6" i="19"/>
  <c r="AO11" i="8"/>
  <c r="AL11" i="8"/>
  <c r="AK11" i="8"/>
  <c r="AI11" i="8"/>
  <c r="I14" i="1"/>
  <c r="D7" i="19"/>
  <c r="C7" i="19"/>
  <c r="B7" i="19"/>
  <c r="J14" i="1"/>
  <c r="J15" i="1"/>
  <c r="X72" i="3"/>
  <c r="B8" i="19"/>
  <c r="C8" i="19"/>
  <c r="D8" i="19"/>
  <c r="Y45" i="3"/>
  <c r="C9" i="19"/>
  <c r="D9" i="19"/>
  <c r="B9" i="19"/>
  <c r="S31" i="3"/>
  <c r="S75" i="3"/>
  <c r="R31" i="3"/>
  <c r="R45" i="3"/>
  <c r="S67" i="3"/>
  <c r="D10" i="19"/>
  <c r="C10" i="19"/>
  <c r="B10" i="19"/>
  <c r="J23" i="1"/>
  <c r="B11" i="19"/>
  <c r="C11" i="19"/>
  <c r="D11" i="19"/>
  <c r="P18" i="1"/>
  <c r="B12" i="19"/>
  <c r="D12" i="19"/>
  <c r="C12" i="19"/>
  <c r="E25" i="1"/>
  <c r="B13" i="19"/>
  <c r="C13" i="19"/>
  <c r="D13" i="19"/>
  <c r="AN119" i="5" a="1"/>
  <c r="AN119" i="5" s="1"/>
  <c r="AN118" i="5" a="1"/>
  <c r="AN117" i="5" a="1"/>
  <c r="AP117" i="5" s="1"/>
  <c r="AN116" i="5" a="1"/>
  <c r="AN116" i="5" s="1"/>
  <c r="AH119" i="5" a="1"/>
  <c r="AI119" i="5" s="1"/>
  <c r="AH118" i="5" a="1"/>
  <c r="AH118" i="5" s="1"/>
  <c r="AH117" i="5" a="1"/>
  <c r="AJ117" i="5" s="1"/>
  <c r="AH116" i="5" a="1"/>
  <c r="AH116" i="5" s="1"/>
  <c r="AG119" i="5"/>
  <c r="AG118" i="5"/>
  <c r="AG117" i="5"/>
  <c r="AG116" i="5"/>
  <c r="AA116" i="5"/>
  <c r="AB116" i="5"/>
  <c r="AC116" i="5"/>
  <c r="AD116" i="5"/>
  <c r="AE116" i="5"/>
  <c r="AF116" i="5"/>
  <c r="AA117" i="5"/>
  <c r="AB117" i="5"/>
  <c r="AC117" i="5"/>
  <c r="AD117" i="5"/>
  <c r="AE117" i="5"/>
  <c r="AF117" i="5"/>
  <c r="AA118" i="5"/>
  <c r="AB118" i="5"/>
  <c r="AC118" i="5"/>
  <c r="AD118" i="5"/>
  <c r="AE118" i="5"/>
  <c r="AF118" i="5"/>
  <c r="AA119" i="5"/>
  <c r="AB119" i="5"/>
  <c r="AC119" i="5"/>
  <c r="AD119" i="5"/>
  <c r="AE119" i="5"/>
  <c r="AF119" i="5"/>
  <c r="Z119" i="5"/>
  <c r="Z118" i="5"/>
  <c r="Z117" i="5"/>
  <c r="Z116" i="5"/>
  <c r="Y119" i="5"/>
  <c r="Y118" i="5"/>
  <c r="Y117" i="5"/>
  <c r="Y116" i="5"/>
  <c r="X119" i="5"/>
  <c r="X118" i="5"/>
  <c r="X117" i="5"/>
  <c r="X116" i="5"/>
  <c r="W119" i="5"/>
  <c r="W118" i="5"/>
  <c r="W117" i="5"/>
  <c r="W116" i="5"/>
  <c r="V119" i="5"/>
  <c r="V118" i="5"/>
  <c r="V117" i="5"/>
  <c r="V116" i="5"/>
  <c r="U119" i="5"/>
  <c r="U118" i="5"/>
  <c r="U117" i="5"/>
  <c r="U116" i="5"/>
  <c r="T119" i="5"/>
  <c r="T118" i="5"/>
  <c r="T117" i="5"/>
  <c r="T116" i="5"/>
  <c r="S119" i="5"/>
  <c r="S118" i="5"/>
  <c r="S117" i="5"/>
  <c r="S116" i="5"/>
  <c r="R119" i="5"/>
  <c r="R118" i="5"/>
  <c r="R117" i="5"/>
  <c r="R116" i="5"/>
  <c r="AN45" i="18" a="1"/>
  <c r="AN45" i="18"/>
  <c r="AN44" i="18" a="1"/>
  <c r="AN44" i="18"/>
  <c r="AH45" i="18" a="1"/>
  <c r="AH45" i="18"/>
  <c r="AH44" i="18" a="1"/>
  <c r="AH44" i="18"/>
  <c r="AG45" i="18"/>
  <c r="AG44" i="18"/>
  <c r="AA44" i="18"/>
  <c r="AB44" i="18"/>
  <c r="AC44" i="18"/>
  <c r="AD44" i="18"/>
  <c r="AE44" i="18"/>
  <c r="AF44" i="18"/>
  <c r="AA45" i="18"/>
  <c r="AB45" i="18"/>
  <c r="AC45" i="18"/>
  <c r="AD45" i="18"/>
  <c r="AE45" i="18"/>
  <c r="AF45" i="18"/>
  <c r="Z45" i="18"/>
  <c r="Z44" i="18"/>
  <c r="Y45" i="18"/>
  <c r="Y44" i="18"/>
  <c r="X45" i="18"/>
  <c r="X44" i="18"/>
  <c r="W45" i="18"/>
  <c r="W44" i="18"/>
  <c r="V45" i="18"/>
  <c r="V44" i="18"/>
  <c r="U45" i="18"/>
  <c r="U44" i="18"/>
  <c r="T45" i="18"/>
  <c r="T44" i="18"/>
  <c r="S45" i="18"/>
  <c r="S44" i="18"/>
  <c r="R45" i="18"/>
  <c r="R44" i="18"/>
  <c r="AN35" i="18" a="1"/>
  <c r="AN35" i="18" s="1"/>
  <c r="AN34" i="18" a="1"/>
  <c r="AN34" i="18" s="1"/>
  <c r="AH35" i="18" a="1"/>
  <c r="AH35" i="18" s="1"/>
  <c r="AH34" i="18" a="1"/>
  <c r="AH34" i="18" s="1"/>
  <c r="AG35" i="18"/>
  <c r="AG34" i="18"/>
  <c r="AB34" i="18"/>
  <c r="AC34" i="18"/>
  <c r="AD34" i="18"/>
  <c r="AE34" i="18"/>
  <c r="AF34" i="18"/>
  <c r="AA34" i="18"/>
  <c r="Z34" i="18"/>
  <c r="Y34" i="18"/>
  <c r="X34" i="18"/>
  <c r="W34" i="18"/>
  <c r="V34" i="18"/>
  <c r="AF35" i="18"/>
  <c r="AE35" i="18"/>
  <c r="AD35" i="18"/>
  <c r="AC35" i="18"/>
  <c r="AB35" i="18"/>
  <c r="Y35" i="18"/>
  <c r="Z35" i="18"/>
  <c r="X35" i="18"/>
  <c r="W35" i="18"/>
  <c r="V35" i="18"/>
  <c r="U35" i="18"/>
  <c r="T35" i="18"/>
  <c r="S35" i="18"/>
  <c r="R35" i="18"/>
  <c r="AA35" i="18"/>
  <c r="U34" i="18"/>
  <c r="T34" i="18"/>
  <c r="S34" i="18"/>
  <c r="R34" i="18"/>
  <c r="U100" i="5"/>
  <c r="V100" i="5"/>
  <c r="AN118" i="5"/>
  <c r="AW118" i="5"/>
  <c r="AN117" i="5"/>
  <c r="AV118" i="5"/>
  <c r="AI116" i="5"/>
  <c r="AS118" i="5"/>
  <c r="AH117" i="5"/>
  <c r="AP116" i="5"/>
  <c r="AM118" i="5"/>
  <c r="AK118" i="5"/>
  <c r="AV116" i="5"/>
  <c r="AK45" i="18"/>
  <c r="AL117" i="5"/>
  <c r="AU116" i="5"/>
  <c r="AK117" i="5"/>
  <c r="AT116" i="5"/>
  <c r="AI117" i="5"/>
  <c r="AS116" i="5"/>
  <c r="B14" i="19"/>
  <c r="C14" i="19"/>
  <c r="D14" i="19"/>
  <c r="AO35" i="18"/>
  <c r="AO117" i="5"/>
  <c r="AT119" i="5"/>
  <c r="AM45" i="18"/>
  <c r="AR116" i="5"/>
  <c r="AU118" i="5"/>
  <c r="AL45" i="18"/>
  <c r="AJ116" i="5"/>
  <c r="AL118" i="5"/>
  <c r="AQ116" i="5"/>
  <c r="AT118" i="5"/>
  <c r="AI45" i="18"/>
  <c r="AO116" i="5"/>
  <c r="AR118" i="5"/>
  <c r="AM117" i="5"/>
  <c r="AH119" i="5"/>
  <c r="AI118" i="5"/>
  <c r="AW117" i="5"/>
  <c r="AQ118" i="5"/>
  <c r="AM116" i="5"/>
  <c r="AV117" i="5"/>
  <c r="AP118" i="5"/>
  <c r="AL116" i="5"/>
  <c r="AM119" i="5"/>
  <c r="AU117" i="5"/>
  <c r="AO118" i="5"/>
  <c r="AW35" i="18"/>
  <c r="AV35" i="18"/>
  <c r="AK116" i="5"/>
  <c r="AJ119" i="5"/>
  <c r="AT117" i="5"/>
  <c r="AW119" i="5"/>
  <c r="AU35" i="18"/>
  <c r="AS117" i="5"/>
  <c r="AT35" i="18"/>
  <c r="AR117" i="5"/>
  <c r="AV119" i="5"/>
  <c r="AS35" i="18"/>
  <c r="AW116" i="5"/>
  <c r="AQ117" i="5"/>
  <c r="AU119" i="5"/>
  <c r="AQ119" i="5"/>
  <c r="AS119" i="5"/>
  <c r="AP119" i="5"/>
  <c r="AO119" i="5"/>
  <c r="AR119" i="5"/>
  <c r="AL119" i="5"/>
  <c r="AK119" i="5"/>
  <c r="AJ118" i="5"/>
  <c r="AV45" i="18"/>
  <c r="AT45" i="18"/>
  <c r="AR45" i="18"/>
  <c r="AP45" i="18"/>
  <c r="AO45" i="18"/>
  <c r="AW45" i="18"/>
  <c r="AU45" i="18"/>
  <c r="AS45" i="18"/>
  <c r="AQ45" i="18"/>
  <c r="AT44" i="18"/>
  <c r="AR44" i="18"/>
  <c r="AP44" i="18"/>
  <c r="AV44" i="18"/>
  <c r="AS44" i="18"/>
  <c r="AQ44" i="18"/>
  <c r="AO44" i="18"/>
  <c r="AW44" i="18"/>
  <c r="AU44" i="18"/>
  <c r="AJ45" i="18"/>
  <c r="AJ44" i="18"/>
  <c r="AI44" i="18"/>
  <c r="AM44" i="18"/>
  <c r="AL44" i="18"/>
  <c r="AK44" i="18"/>
  <c r="AR35" i="18"/>
  <c r="AQ35" i="18"/>
  <c r="AP35" i="18"/>
  <c r="AP34" i="18"/>
  <c r="AO34" i="18"/>
  <c r="AW34" i="18"/>
  <c r="AV34" i="18"/>
  <c r="AU34" i="18"/>
  <c r="AT34" i="18"/>
  <c r="AN100" i="5" a="1"/>
  <c r="AN99" i="5" a="1"/>
  <c r="AH100" i="5" a="1"/>
  <c r="AH100" i="5" s="1"/>
  <c r="AH99" i="5" a="1"/>
  <c r="AG99" i="5"/>
  <c r="AG100" i="5"/>
  <c r="AB100" i="5"/>
  <c r="AC100" i="5"/>
  <c r="AD100" i="5"/>
  <c r="AE100" i="5"/>
  <c r="AF100" i="5"/>
  <c r="AA100" i="5"/>
  <c r="Z100" i="5"/>
  <c r="Y100" i="5"/>
  <c r="X100" i="5"/>
  <c r="W100" i="5"/>
  <c r="T100" i="5"/>
  <c r="S100" i="5"/>
  <c r="R100" i="5"/>
  <c r="AB99" i="5"/>
  <c r="AC99" i="5"/>
  <c r="AD99" i="5"/>
  <c r="AE99" i="5"/>
  <c r="AF99" i="5"/>
  <c r="AA99" i="5"/>
  <c r="Z99" i="5"/>
  <c r="Y99" i="5"/>
  <c r="X99" i="5"/>
  <c r="W99" i="5"/>
  <c r="V99" i="5"/>
  <c r="U99" i="5"/>
  <c r="T99" i="5"/>
  <c r="S99" i="5"/>
  <c r="R99" i="5"/>
  <c r="AN98" i="5" a="1"/>
  <c r="AN98" i="5" s="1"/>
  <c r="AN97" i="5" a="1"/>
  <c r="AN97" i="5" s="1"/>
  <c r="AH98" i="5" a="1"/>
  <c r="AH98" i="5" s="1"/>
  <c r="AH97" i="5" a="1"/>
  <c r="AH97" i="5" s="1"/>
  <c r="AG97" i="5"/>
  <c r="AG98" i="5"/>
  <c r="AF97" i="5"/>
  <c r="U97" i="5"/>
  <c r="AB97" i="5"/>
  <c r="AC97" i="5"/>
  <c r="AD97" i="5"/>
  <c r="AE97" i="5"/>
  <c r="AA97" i="5"/>
  <c r="Z97" i="5"/>
  <c r="Y97" i="5"/>
  <c r="X97" i="5"/>
  <c r="W97" i="5"/>
  <c r="V97" i="5"/>
  <c r="T97" i="5"/>
  <c r="S97" i="5"/>
  <c r="R97" i="5"/>
  <c r="U98" i="5"/>
  <c r="X98" i="5"/>
  <c r="W98" i="5"/>
  <c r="R98" i="5"/>
  <c r="V98" i="5"/>
  <c r="Y98" i="5"/>
  <c r="AB98" i="5"/>
  <c r="AC98" i="5"/>
  <c r="AD98" i="5"/>
  <c r="AE98" i="5"/>
  <c r="AF98" i="5"/>
  <c r="AA98" i="5"/>
  <c r="Z98" i="5"/>
  <c r="T98" i="5"/>
  <c r="S98" i="5"/>
  <c r="S62" i="5"/>
  <c r="AN99" i="5"/>
  <c r="AO99" i="5"/>
  <c r="AR99" i="5"/>
  <c r="AV100" i="5"/>
  <c r="AT100" i="5"/>
  <c r="AS100" i="5"/>
  <c r="AM99" i="5"/>
  <c r="AK99" i="5"/>
  <c r="AW100" i="5"/>
  <c r="B15" i="19"/>
  <c r="C15" i="19"/>
  <c r="D15" i="19"/>
  <c r="AL99" i="5"/>
  <c r="AU100" i="5"/>
  <c r="AU98" i="5"/>
  <c r="AR100" i="5"/>
  <c r="AT98" i="5"/>
  <c r="AQ100" i="5"/>
  <c r="AS98" i="5"/>
  <c r="AQ99" i="5"/>
  <c r="AO100" i="5"/>
  <c r="AR98" i="5"/>
  <c r="AQ98" i="5"/>
  <c r="AI99" i="5"/>
  <c r="AW99" i="5"/>
  <c r="AO98" i="5"/>
  <c r="AV99" i="5"/>
  <c r="AU99" i="5"/>
  <c r="AW98" i="5"/>
  <c r="AT99" i="5"/>
  <c r="O23" i="1"/>
  <c r="N23" i="1"/>
  <c r="AL10" i="11" a="1"/>
  <c r="AL10" i="11"/>
  <c r="AH10" i="11" a="1"/>
  <c r="AH10" i="11"/>
  <c r="W10" i="11"/>
  <c r="R10" i="11"/>
  <c r="AA10" i="11"/>
  <c r="AB10" i="11"/>
  <c r="AC10" i="11"/>
  <c r="AD10" i="11"/>
  <c r="AE10" i="11"/>
  <c r="AF10" i="11"/>
  <c r="AA11" i="11"/>
  <c r="AB11" i="11"/>
  <c r="AC11" i="11"/>
  <c r="AD11" i="11"/>
  <c r="S11" i="11"/>
  <c r="T11" i="11"/>
  <c r="U11" i="11"/>
  <c r="V11" i="11"/>
  <c r="W11" i="11"/>
  <c r="R11" i="11"/>
  <c r="AE11" i="11" s="1"/>
  <c r="S10" i="11"/>
  <c r="T10" i="11"/>
  <c r="U10" i="11"/>
  <c r="V10" i="11"/>
  <c r="K11" i="11"/>
  <c r="AH11" i="11" a="1"/>
  <c r="K10" i="11"/>
  <c r="X10" i="11"/>
  <c r="C16" i="19"/>
  <c r="D16" i="19"/>
  <c r="B16" i="19"/>
  <c r="Z10" i="11"/>
  <c r="Y10" i="11"/>
  <c r="Y11" i="11"/>
  <c r="X11" i="11"/>
  <c r="Z11" i="11"/>
  <c r="AF11" i="11"/>
  <c r="AV10" i="11"/>
  <c r="AP10" i="11"/>
  <c r="AO10" i="11"/>
  <c r="AT10" i="11"/>
  <c r="AQ10" i="11"/>
  <c r="AN10" i="11"/>
  <c r="AR10" i="11"/>
  <c r="AM10" i="11"/>
  <c r="AW10" i="11"/>
  <c r="AU10" i="11"/>
  <c r="AS10" i="11"/>
  <c r="AK10" i="11"/>
  <c r="AJ10" i="11"/>
  <c r="AI10" i="11"/>
  <c r="AP7" i="8" a="1"/>
  <c r="AQ7" i="8" s="1"/>
  <c r="AH7" i="8" a="1"/>
  <c r="AH7" i="8" s="1"/>
  <c r="AP26" i="8" a="1"/>
  <c r="AP26" i="8" s="1"/>
  <c r="AH26" i="8" a="1"/>
  <c r="AH26" i="8" s="1"/>
  <c r="W7" i="8"/>
  <c r="W26" i="8"/>
  <c r="C17" i="19"/>
  <c r="D17" i="19"/>
  <c r="B17" i="19"/>
  <c r="AP7" i="8"/>
  <c r="AO7" i="8"/>
  <c r="AR7" i="8"/>
  <c r="AW7" i="8"/>
  <c r="AV7" i="8"/>
  <c r="AU7" i="8"/>
  <c r="AT7" i="8"/>
  <c r="AS7" i="8"/>
  <c r="AN7" i="8"/>
  <c r="AM7" i="8"/>
  <c r="AL7" i="8"/>
  <c r="AK7" i="8"/>
  <c r="AJ7" i="8"/>
  <c r="AI7" i="8"/>
  <c r="AW26" i="8"/>
  <c r="AU26" i="8"/>
  <c r="AS26" i="8"/>
  <c r="AR26" i="8"/>
  <c r="AV26" i="8"/>
  <c r="AT26" i="8"/>
  <c r="AQ26" i="8"/>
  <c r="AJ26" i="8"/>
  <c r="AO26" i="8"/>
  <c r="AM26" i="8"/>
  <c r="AK26" i="8"/>
  <c r="AI26" i="8"/>
  <c r="AN26" i="8"/>
  <c r="AL26" i="8"/>
  <c r="M25" i="1"/>
  <c r="B18" i="19"/>
  <c r="D18" i="19"/>
  <c r="C18" i="19"/>
  <c r="X113" i="12"/>
  <c r="C19" i="19"/>
  <c r="B19" i="19"/>
  <c r="D19" i="19"/>
  <c r="D9" i="1"/>
  <c r="D20" i="19"/>
  <c r="B20" i="19"/>
  <c r="C20" i="19"/>
  <c r="AH95" i="5" a="1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X57" i="5"/>
  <c r="AH57" i="5" a="1"/>
  <c r="Z57" i="5"/>
  <c r="AA57" i="5"/>
  <c r="AB57" i="5"/>
  <c r="AC57" i="5"/>
  <c r="AD57" i="5"/>
  <c r="AE57" i="5"/>
  <c r="AF57" i="5"/>
  <c r="Y57" i="5"/>
  <c r="W57" i="5"/>
  <c r="V57" i="5"/>
  <c r="U57" i="5"/>
  <c r="T57" i="5"/>
  <c r="S57" i="5"/>
  <c r="T62" i="5"/>
  <c r="X23" i="5"/>
  <c r="W23" i="5"/>
  <c r="T23" i="5"/>
  <c r="AG23" i="5"/>
  <c r="S23" i="5"/>
  <c r="U23" i="5"/>
  <c r="V23" i="5"/>
  <c r="Y23" i="5"/>
  <c r="Z23" i="5"/>
  <c r="AA23" i="5"/>
  <c r="AB23" i="5"/>
  <c r="AC23" i="5"/>
  <c r="AD23" i="5"/>
  <c r="AE23" i="5"/>
  <c r="R23" i="5"/>
  <c r="AF23" i="5" s="1"/>
  <c r="AN23" i="5" a="1"/>
  <c r="AW23" i="5" s="1"/>
  <c r="AH23" i="5" a="1"/>
  <c r="AH23" i="5" s="1"/>
  <c r="B21" i="19"/>
  <c r="C21" i="19"/>
  <c r="D21" i="19"/>
  <c r="AM23" i="5"/>
  <c r="AI23" i="5"/>
  <c r="AJ23" i="5"/>
  <c r="AK23" i="5"/>
  <c r="AL23" i="5"/>
  <c r="AN23" i="5"/>
  <c r="AO23" i="5"/>
  <c r="AP23" i="5"/>
  <c r="AQ23" i="5"/>
  <c r="AR23" i="5"/>
  <c r="AS23" i="5"/>
  <c r="AT23" i="5"/>
  <c r="AU23" i="5"/>
  <c r="AV23" i="5"/>
  <c r="V56" i="9"/>
  <c r="B22" i="19"/>
  <c r="D22" i="19"/>
  <c r="C22" i="19"/>
  <c r="AE55" i="9"/>
  <c r="AF55" i="9"/>
  <c r="R56" i="9"/>
  <c r="S56" i="9"/>
  <c r="T56" i="9"/>
  <c r="Z55" i="9"/>
  <c r="Y55" i="9"/>
  <c r="X55" i="9"/>
  <c r="X56" i="9"/>
  <c r="Y56" i="9"/>
  <c r="AD57" i="9"/>
  <c r="AD55" i="9"/>
  <c r="U55" i="9"/>
  <c r="W55" i="9"/>
  <c r="W56" i="9"/>
  <c r="Z56" i="9"/>
  <c r="AB56" i="9"/>
  <c r="AC56" i="9"/>
  <c r="AD56" i="9"/>
  <c r="AE56" i="9"/>
  <c r="AF56" i="9"/>
  <c r="AF57" i="9"/>
  <c r="AC55" i="9"/>
  <c r="AB55" i="9"/>
  <c r="AA55" i="9"/>
  <c r="U56" i="9"/>
  <c r="T55" i="9"/>
  <c r="S55" i="9"/>
  <c r="S57" i="9"/>
  <c r="W26" i="9"/>
  <c r="L55" i="9"/>
  <c r="L56" i="9"/>
  <c r="R26" i="9"/>
  <c r="Z57" i="9"/>
  <c r="AA57" i="9"/>
  <c r="X57" i="9"/>
  <c r="Y57" i="9"/>
  <c r="U57" i="9"/>
  <c r="R34" i="9"/>
  <c r="S34" i="9"/>
  <c r="AH57" i="9" a="1"/>
  <c r="AH57" i="9" s="1"/>
  <c r="V34" i="9"/>
  <c r="Y34" i="9"/>
  <c r="L26" i="9"/>
  <c r="S26" i="9"/>
  <c r="T26" i="9"/>
  <c r="U26" i="9"/>
  <c r="V26" i="9"/>
  <c r="X26" i="9"/>
  <c r="Y26" i="9"/>
  <c r="Z26" i="9"/>
  <c r="AA26" i="9"/>
  <c r="AB26" i="9"/>
  <c r="AC26" i="9"/>
  <c r="AD26" i="9"/>
  <c r="AE26" i="9"/>
  <c r="AF26" i="9"/>
  <c r="L27" i="9"/>
  <c r="AH27" i="9" a="1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L57" i="9"/>
  <c r="AA56" i="9"/>
  <c r="T57" i="9"/>
  <c r="V57" i="9"/>
  <c r="W57" i="9"/>
  <c r="AC57" i="9"/>
  <c r="AE57" i="9"/>
  <c r="U34" i="9"/>
  <c r="T34" i="9"/>
  <c r="AF34" i="9"/>
  <c r="W34" i="9"/>
  <c r="Z34" i="9"/>
  <c r="AB34" i="9"/>
  <c r="AC34" i="9"/>
  <c r="AD34" i="9"/>
  <c r="AE34" i="9"/>
  <c r="L34" i="9"/>
  <c r="AH34" i="9" a="1"/>
  <c r="B23" i="19"/>
  <c r="C23" i="19"/>
  <c r="D23" i="19"/>
  <c r="AA34" i="9"/>
  <c r="AU57" i="9"/>
  <c r="AS57" i="9"/>
  <c r="AQ57" i="9"/>
  <c r="AP57" i="9"/>
  <c r="AO57" i="9"/>
  <c r="AN57" i="9"/>
  <c r="AM57" i="9"/>
  <c r="AL57" i="9"/>
  <c r="AT57" i="9"/>
  <c r="AR57" i="9"/>
  <c r="AK57" i="9"/>
  <c r="AJ57" i="9"/>
  <c r="AV57" i="9"/>
  <c r="AW57" i="9"/>
  <c r="AI57" i="9"/>
  <c r="AB57" i="9"/>
  <c r="W57" i="12"/>
  <c r="W56" i="12"/>
  <c r="AH6" i="5" a="1"/>
  <c r="U24" i="5"/>
  <c r="U21" i="5"/>
  <c r="U22" i="5"/>
  <c r="R62" i="5"/>
  <c r="V62" i="5"/>
  <c r="U62" i="5"/>
  <c r="C24" i="19"/>
  <c r="B24" i="19"/>
  <c r="D24" i="19"/>
  <c r="S6" i="5"/>
  <c r="R6" i="5"/>
  <c r="AB6" i="5"/>
  <c r="AC6" i="5"/>
  <c r="AD6" i="5"/>
  <c r="AE6" i="5"/>
  <c r="AF6" i="5"/>
  <c r="AA6" i="5"/>
  <c r="Z6" i="5"/>
  <c r="Y6" i="5"/>
  <c r="X6" i="5"/>
  <c r="W6" i="5"/>
  <c r="V6" i="5"/>
  <c r="U6" i="5"/>
  <c r="T6" i="5"/>
  <c r="AH24" i="5" a="1"/>
  <c r="AF24" i="5"/>
  <c r="AE24" i="5"/>
  <c r="AD24" i="5"/>
  <c r="AC24" i="5"/>
  <c r="AB24" i="5"/>
  <c r="AA24" i="5"/>
  <c r="Z24" i="5"/>
  <c r="Y24" i="5"/>
  <c r="X24" i="5"/>
  <c r="W24" i="5"/>
  <c r="V24" i="5"/>
  <c r="T24" i="5"/>
  <c r="S24" i="5"/>
  <c r="R24" i="5"/>
  <c r="S5" i="5"/>
  <c r="S4" i="5"/>
  <c r="T5" i="5"/>
  <c r="T4" i="5"/>
  <c r="T67" i="5"/>
  <c r="T66" i="5"/>
  <c r="T63" i="5"/>
  <c r="S67" i="5"/>
  <c r="S66" i="5"/>
  <c r="S63" i="5"/>
  <c r="AN22" i="5" a="1"/>
  <c r="AN22" i="5" s="1"/>
  <c r="AH22" i="5" a="1"/>
  <c r="AH22" i="5" s="1"/>
  <c r="AG22" i="5"/>
  <c r="AF22" i="5"/>
  <c r="AE22" i="5"/>
  <c r="AD22" i="5"/>
  <c r="AC22" i="5"/>
  <c r="AB22" i="5"/>
  <c r="AA22" i="5"/>
  <c r="Z22" i="5"/>
  <c r="Y22" i="5"/>
  <c r="X22" i="5"/>
  <c r="W22" i="5"/>
  <c r="V22" i="5"/>
  <c r="T22" i="5"/>
  <c r="S22" i="5"/>
  <c r="R22" i="5"/>
  <c r="V63" i="5"/>
  <c r="Y62" i="5"/>
  <c r="R21" i="5"/>
  <c r="AN21" i="5" a="1"/>
  <c r="AN21" i="5" s="1"/>
  <c r="AH21" i="5" a="1"/>
  <c r="AH21" i="5" s="1"/>
  <c r="AG21" i="5"/>
  <c r="Z21" i="5"/>
  <c r="Y21" i="5"/>
  <c r="AA21" i="5"/>
  <c r="AB21" i="5"/>
  <c r="AC21" i="5"/>
  <c r="AD21" i="5"/>
  <c r="AE21" i="5"/>
  <c r="AF21" i="5"/>
  <c r="X21" i="5"/>
  <c r="W21" i="5"/>
  <c r="V21" i="5"/>
  <c r="T21" i="5"/>
  <c r="S21" i="5"/>
  <c r="B25" i="19"/>
  <c r="D25" i="19"/>
  <c r="C25" i="19"/>
  <c r="AT22" i="5"/>
  <c r="AW22" i="5"/>
  <c r="AV22" i="5"/>
  <c r="AU22" i="5"/>
  <c r="AS22" i="5"/>
  <c r="AR22" i="5"/>
  <c r="AQ22" i="5"/>
  <c r="AP22" i="5"/>
  <c r="AO22" i="5"/>
  <c r="AJ22" i="5"/>
  <c r="AM22" i="5"/>
  <c r="AL22" i="5"/>
  <c r="AK22" i="5"/>
  <c r="AI22" i="5"/>
  <c r="AV21" i="5"/>
  <c r="AT21" i="5"/>
  <c r="AO21" i="5"/>
  <c r="AW21" i="5"/>
  <c r="AU21" i="5"/>
  <c r="AS21" i="5"/>
  <c r="AR21" i="5"/>
  <c r="AQ21" i="5"/>
  <c r="AP21" i="5"/>
  <c r="AM21" i="5"/>
  <c r="AL21" i="5"/>
  <c r="AK21" i="5"/>
  <c r="AJ21" i="5"/>
  <c r="AI21" i="5"/>
  <c r="AH73" i="3" a="1"/>
  <c r="AI73" i="3"/>
  <c r="AG73" i="3" a="1"/>
  <c r="AG73" i="3"/>
  <c r="AA73" i="3"/>
  <c r="AB73" i="3"/>
  <c r="AC73" i="3"/>
  <c r="AD73" i="3"/>
  <c r="AE73" i="3"/>
  <c r="AF73" i="3"/>
  <c r="Z73" i="3"/>
  <c r="Y73" i="3"/>
  <c r="X73" i="3"/>
  <c r="W73" i="3"/>
  <c r="V73" i="3"/>
  <c r="S73" i="3"/>
  <c r="T73" i="3"/>
  <c r="U73" i="3"/>
  <c r="R73" i="3"/>
  <c r="B26" i="19"/>
  <c r="C26" i="19"/>
  <c r="D26" i="19"/>
  <c r="AH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H20" i="6" a="1"/>
  <c r="AH20" i="6" s="1"/>
  <c r="W20" i="6"/>
  <c r="C27" i="19"/>
  <c r="D27" i="19"/>
  <c r="B27" i="19"/>
  <c r="AR20" i="6"/>
  <c r="AI20" i="6"/>
  <c r="AP20" i="6"/>
  <c r="AK20" i="6"/>
  <c r="AW20" i="6"/>
  <c r="AV20" i="6"/>
  <c r="AU20" i="6"/>
  <c r="AT20" i="6"/>
  <c r="AS20" i="6"/>
  <c r="AQ20" i="6"/>
  <c r="AO20" i="6"/>
  <c r="AN20" i="6"/>
  <c r="AM20" i="6"/>
  <c r="AL20" i="6"/>
  <c r="AJ20" i="6"/>
  <c r="D22" i="1"/>
  <c r="B28" i="19"/>
  <c r="C28" i="19"/>
  <c r="D28" i="19"/>
  <c r="R27" i="17"/>
  <c r="AF27" i="17" s="1"/>
  <c r="W27" i="17"/>
  <c r="Y27" i="17"/>
  <c r="T27" i="17"/>
  <c r="V27" i="17"/>
  <c r="U27" i="17"/>
  <c r="Y6" i="17"/>
  <c r="Y20" i="17"/>
  <c r="X27" i="17"/>
  <c r="AH27" i="17" a="1"/>
  <c r="AH27" i="17"/>
  <c r="AA27" i="17"/>
  <c r="Z27" i="17"/>
  <c r="AB27" i="17"/>
  <c r="AC27" i="17"/>
  <c r="AD27" i="17"/>
  <c r="AE27" i="17"/>
  <c r="S27" i="17"/>
  <c r="X20" i="17"/>
  <c r="W17" i="17"/>
  <c r="W21" i="17"/>
  <c r="U13" i="17"/>
  <c r="AH18" i="17" a="1"/>
  <c r="AH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R18" i="17"/>
  <c r="AH13" i="17" a="1"/>
  <c r="AH13" i="17"/>
  <c r="S13" i="17"/>
  <c r="T13" i="17"/>
  <c r="V13" i="17"/>
  <c r="W13" i="17"/>
  <c r="X13" i="17"/>
  <c r="Y13" i="17"/>
  <c r="Z13" i="17"/>
  <c r="AA13" i="17"/>
  <c r="AB13" i="17"/>
  <c r="AC13" i="17"/>
  <c r="AD13" i="17"/>
  <c r="AE13" i="17"/>
  <c r="AF13" i="17"/>
  <c r="R13" i="17"/>
  <c r="AH11" i="17" a="1"/>
  <c r="AH11" i="17"/>
  <c r="U11" i="17"/>
  <c r="S11" i="17"/>
  <c r="T11" i="17"/>
  <c r="V11" i="17"/>
  <c r="W11" i="17"/>
  <c r="X11" i="17"/>
  <c r="Y11" i="17"/>
  <c r="Z11" i="17"/>
  <c r="AA11" i="17"/>
  <c r="AB11" i="17"/>
  <c r="AC11" i="17"/>
  <c r="AD11" i="17"/>
  <c r="AE11" i="17"/>
  <c r="AF11" i="17"/>
  <c r="R11" i="17"/>
  <c r="AH20" i="17" a="1"/>
  <c r="S20" i="17"/>
  <c r="T20" i="17"/>
  <c r="U20" i="17"/>
  <c r="V20" i="17"/>
  <c r="W20" i="17"/>
  <c r="Z20" i="17"/>
  <c r="AA20" i="17"/>
  <c r="AB20" i="17"/>
  <c r="AC20" i="17"/>
  <c r="AD20" i="17"/>
  <c r="AE20" i="17"/>
  <c r="AF20" i="17"/>
  <c r="R20" i="17"/>
  <c r="AH6" i="17" a="1"/>
  <c r="AH6" i="17"/>
  <c r="U6" i="17"/>
  <c r="U14" i="17"/>
  <c r="AH14" i="17" a="1"/>
  <c r="AH14" i="17"/>
  <c r="U19" i="17"/>
  <c r="S19" i="17"/>
  <c r="AO19" i="17" a="1"/>
  <c r="AO19" i="17"/>
  <c r="AL19" i="17" a="1"/>
  <c r="AL19" i="17"/>
  <c r="AH19" i="17" a="1"/>
  <c r="AH19" i="17"/>
  <c r="AF19" i="17"/>
  <c r="AE19" i="17"/>
  <c r="AD19" i="17"/>
  <c r="AC19" i="17"/>
  <c r="AB19" i="17"/>
  <c r="AA19" i="17"/>
  <c r="Z19" i="17"/>
  <c r="Y19" i="17"/>
  <c r="X19" i="17"/>
  <c r="W19" i="17"/>
  <c r="V19" i="17"/>
  <c r="T19" i="17"/>
  <c r="R19" i="17"/>
  <c r="AH26" i="17" a="1"/>
  <c r="AH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R26" i="17"/>
  <c r="S14" i="17"/>
  <c r="T14" i="17"/>
  <c r="V14" i="17"/>
  <c r="W14" i="17"/>
  <c r="X14" i="17"/>
  <c r="Y14" i="17"/>
  <c r="Z14" i="17"/>
  <c r="AA14" i="17"/>
  <c r="AB14" i="17"/>
  <c r="AC14" i="17"/>
  <c r="AD14" i="17"/>
  <c r="AE14" i="17"/>
  <c r="AF14" i="17"/>
  <c r="R14" i="17"/>
  <c r="T6" i="17"/>
  <c r="S6" i="17"/>
  <c r="V6" i="17"/>
  <c r="W6" i="17"/>
  <c r="X6" i="17"/>
  <c r="Z6" i="17"/>
  <c r="AA6" i="17"/>
  <c r="AB6" i="17"/>
  <c r="AC6" i="17"/>
  <c r="AD6" i="17"/>
  <c r="AE6" i="17"/>
  <c r="AF6" i="17"/>
  <c r="R6" i="17"/>
  <c r="AH5" i="17" a="1"/>
  <c r="W5" i="17"/>
  <c r="S5" i="17"/>
  <c r="T5" i="17"/>
  <c r="U5" i="17"/>
  <c r="V5" i="17"/>
  <c r="Y5" i="17"/>
  <c r="Z5" i="17"/>
  <c r="AA5" i="17"/>
  <c r="AB5" i="17"/>
  <c r="AC5" i="17"/>
  <c r="AD5" i="17"/>
  <c r="AE5" i="17"/>
  <c r="AF5" i="17"/>
  <c r="AO3" i="17" a="1"/>
  <c r="AP3" i="17"/>
  <c r="AL3" i="17" a="1"/>
  <c r="AM3" i="17"/>
  <c r="AH3" i="17" a="1"/>
  <c r="AH3" i="17"/>
  <c r="W3" i="17"/>
  <c r="AF3" i="17"/>
  <c r="AE3" i="17"/>
  <c r="AD3" i="17"/>
  <c r="AC3" i="17"/>
  <c r="Z3" i="17"/>
  <c r="AA3" i="17"/>
  <c r="AB3" i="17"/>
  <c r="Y3" i="17"/>
  <c r="V3" i="17"/>
  <c r="X3" i="17"/>
  <c r="S3" i="17"/>
  <c r="T3" i="17"/>
  <c r="U3" i="17"/>
  <c r="B29" i="19"/>
  <c r="C29" i="19"/>
  <c r="D29" i="19"/>
  <c r="AK19" i="17"/>
  <c r="AJ19" i="17"/>
  <c r="AI19" i="17"/>
  <c r="AW26" i="17"/>
  <c r="AT26" i="17"/>
  <c r="AR26" i="17"/>
  <c r="AO26" i="17"/>
  <c r="AM26" i="17"/>
  <c r="AK26" i="17"/>
  <c r="AJ26" i="17"/>
  <c r="AV26" i="17"/>
  <c r="AQ26" i="17"/>
  <c r="AN26" i="17"/>
  <c r="AL26" i="17"/>
  <c r="W5" i="5"/>
  <c r="U67" i="5"/>
  <c r="U66" i="5"/>
  <c r="U63" i="5"/>
  <c r="AG5" i="5"/>
  <c r="D30" i="19"/>
  <c r="C30" i="19"/>
  <c r="B30" i="19"/>
  <c r="AN5" i="5" a="1"/>
  <c r="AN5" i="5" s="1"/>
  <c r="AH5" i="5" a="1"/>
  <c r="AI5" i="5" s="1"/>
  <c r="Y5" i="5"/>
  <c r="X5" i="5"/>
  <c r="AA5" i="5"/>
  <c r="AB5" i="5"/>
  <c r="AC5" i="5"/>
  <c r="AD5" i="5"/>
  <c r="AE5" i="5"/>
  <c r="AF5" i="5"/>
  <c r="Z5" i="5"/>
  <c r="V4" i="5"/>
  <c r="V5" i="5"/>
  <c r="U5" i="5"/>
  <c r="R5" i="5"/>
  <c r="X63" i="5"/>
  <c r="Y63" i="5"/>
  <c r="W63" i="5"/>
  <c r="AN63" i="5" a="1"/>
  <c r="AN63" i="5" s="1"/>
  <c r="AH63" i="5" a="1"/>
  <c r="AI63" i="5" s="1"/>
  <c r="AG63" i="5"/>
  <c r="AC63" i="5"/>
  <c r="AD63" i="5"/>
  <c r="AE63" i="5"/>
  <c r="AF63" i="5"/>
  <c r="AB63" i="5"/>
  <c r="AA63" i="5"/>
  <c r="Z63" i="5"/>
  <c r="R63" i="5"/>
  <c r="W67" i="5"/>
  <c r="V67" i="5"/>
  <c r="R67" i="5"/>
  <c r="AN67" i="5" a="1"/>
  <c r="AN67" i="5" s="1"/>
  <c r="AH67" i="5" a="1"/>
  <c r="AG67" i="5"/>
  <c r="AF67" i="5"/>
  <c r="AE67" i="5"/>
  <c r="AD67" i="5"/>
  <c r="AC67" i="5"/>
  <c r="AB67" i="5"/>
  <c r="AA67" i="5"/>
  <c r="Z67" i="5"/>
  <c r="Y67" i="5"/>
  <c r="X67" i="5"/>
  <c r="C31" i="19"/>
  <c r="D31" i="19"/>
  <c r="B31" i="19"/>
  <c r="AH5" i="5"/>
  <c r="AW5" i="5"/>
  <c r="AP5" i="5"/>
  <c r="AO5" i="5"/>
  <c r="AV5" i="5"/>
  <c r="AU5" i="5"/>
  <c r="AT5" i="5"/>
  <c r="AS5" i="5"/>
  <c r="AR5" i="5"/>
  <c r="AQ5" i="5"/>
  <c r="AM5" i="5"/>
  <c r="AL5" i="5"/>
  <c r="AK5" i="5"/>
  <c r="AJ5" i="5"/>
  <c r="AW63" i="5"/>
  <c r="AR63" i="5"/>
  <c r="AO63" i="5"/>
  <c r="AV63" i="5"/>
  <c r="AT63" i="5"/>
  <c r="AQ63" i="5"/>
  <c r="AU63" i="5"/>
  <c r="AS63" i="5"/>
  <c r="AP63" i="5"/>
  <c r="AH63" i="5"/>
  <c r="AL63" i="5"/>
  <c r="AM63" i="5"/>
  <c r="AK63" i="5"/>
  <c r="AJ63" i="5"/>
  <c r="AW67" i="5"/>
  <c r="AV67" i="5"/>
  <c r="AU67" i="5"/>
  <c r="AT67" i="5"/>
  <c r="AS67" i="5"/>
  <c r="AR67" i="5"/>
  <c r="AQ67" i="5"/>
  <c r="AP67" i="5"/>
  <c r="AO67" i="5"/>
  <c r="AM67" i="5"/>
  <c r="AL67" i="5"/>
  <c r="AK67" i="5"/>
  <c r="AH67" i="5"/>
  <c r="AT52" i="12" a="1"/>
  <c r="S20" i="8"/>
  <c r="T20" i="8"/>
  <c r="U20" i="8"/>
  <c r="V20" i="8"/>
  <c r="W20" i="8"/>
  <c r="X20" i="8"/>
  <c r="Y20" i="8"/>
  <c r="AA20" i="8"/>
  <c r="AB20" i="8"/>
  <c r="AC20" i="8"/>
  <c r="AD20" i="8"/>
  <c r="AE20" i="8"/>
  <c r="AF20" i="8"/>
  <c r="R20" i="8"/>
  <c r="K20" i="8"/>
  <c r="Z20" i="8" s="1"/>
  <c r="AR21" i="8"/>
  <c r="AT27" i="8"/>
  <c r="AS27" i="8"/>
  <c r="AR27" i="8"/>
  <c r="AQ27" i="8"/>
  <c r="AP27" i="8"/>
  <c r="AO27" i="8"/>
  <c r="AL27" i="8" a="1"/>
  <c r="AL27" i="8" s="1"/>
  <c r="AG27" i="8"/>
  <c r="S27" i="8"/>
  <c r="T27" i="8"/>
  <c r="U27" i="8"/>
  <c r="V27" i="8"/>
  <c r="W27" i="8"/>
  <c r="X27" i="8"/>
  <c r="Y27" i="8"/>
  <c r="AA27" i="8"/>
  <c r="AB27" i="8"/>
  <c r="AC27" i="8"/>
  <c r="AD27" i="8"/>
  <c r="AE27" i="8"/>
  <c r="AF27" i="8"/>
  <c r="R27" i="8"/>
  <c r="K27" i="8"/>
  <c r="AH27" i="8" a="1"/>
  <c r="AH27" i="8" s="1"/>
  <c r="AO3" i="8"/>
  <c r="AL3" i="8" a="1"/>
  <c r="AL3" i="8" s="1"/>
  <c r="J3" i="8"/>
  <c r="Y3" i="8"/>
  <c r="X3" i="8"/>
  <c r="S3" i="8"/>
  <c r="T3" i="8"/>
  <c r="U3" i="8"/>
  <c r="AA3" i="8"/>
  <c r="AB3" i="8"/>
  <c r="AC3" i="8"/>
  <c r="AD3" i="8"/>
  <c r="AE3" i="8"/>
  <c r="AF3" i="8"/>
  <c r="X21" i="8"/>
  <c r="W21" i="8"/>
  <c r="S21" i="8"/>
  <c r="T21" i="8"/>
  <c r="U21" i="8"/>
  <c r="V21" i="8"/>
  <c r="Y21" i="8"/>
  <c r="AC21" i="8"/>
  <c r="AD21" i="8"/>
  <c r="AE21" i="8"/>
  <c r="AF21" i="8"/>
  <c r="R21" i="8"/>
  <c r="AQ21" i="8"/>
  <c r="AP21" i="8"/>
  <c r="K3" i="8"/>
  <c r="Z3" i="8" s="1"/>
  <c r="J7" i="8"/>
  <c r="AO21" i="8"/>
  <c r="AL21" i="8" a="1"/>
  <c r="AL21" i="8" s="1"/>
  <c r="B32" i="19"/>
  <c r="C32" i="19"/>
  <c r="D32" i="19"/>
  <c r="AH20" i="8" a="1"/>
  <c r="AJ27" i="8" a="1"/>
  <c r="AJ27" i="8" s="1"/>
  <c r="Z27" i="8"/>
  <c r="AN27" i="8"/>
  <c r="AH3" i="8" a="1"/>
  <c r="AH3" i="8" s="1"/>
  <c r="AJ3" i="8" a="1"/>
  <c r="AM27" i="8"/>
  <c r="AI27" i="8"/>
  <c r="AN3" i="8"/>
  <c r="AM3" i="8"/>
  <c r="AM21" i="8"/>
  <c r="AN21" i="8"/>
  <c r="K21" i="8"/>
  <c r="Z21" i="8" s="1"/>
  <c r="AS52" i="12" a="1"/>
  <c r="AQ52" i="12" a="1"/>
  <c r="R54" i="12"/>
  <c r="R53" i="12"/>
  <c r="V52" i="12"/>
  <c r="AK27" i="8"/>
  <c r="C33" i="19"/>
  <c r="D33" i="19"/>
  <c r="B33" i="19"/>
  <c r="AI3" i="8"/>
  <c r="AJ21" i="8" a="1"/>
  <c r="AH21" i="8" a="1"/>
  <c r="AN54" i="12" a="1"/>
  <c r="AN54" i="12" s="1"/>
  <c r="AO52" i="12" a="1"/>
  <c r="AK52" i="12" a="1"/>
  <c r="AM52" i="12" a="1"/>
  <c r="AM52" i="12" s="1"/>
  <c r="AI52" i="12" a="1"/>
  <c r="AI52" i="12" s="1"/>
  <c r="AB54" i="12"/>
  <c r="AA54" i="12"/>
  <c r="AC54" i="12"/>
  <c r="AD54" i="12"/>
  <c r="AE54" i="12"/>
  <c r="AF54" i="12"/>
  <c r="AH52" i="12" a="1"/>
  <c r="Z53" i="12" a="1"/>
  <c r="Z53" i="12" s="1"/>
  <c r="Y53" i="12"/>
  <c r="X53" i="12"/>
  <c r="W53" i="12"/>
  <c r="V53" i="12"/>
  <c r="U53" i="12"/>
  <c r="U52" i="12"/>
  <c r="T52" i="12"/>
  <c r="S52" i="12"/>
  <c r="T53" i="12"/>
  <c r="S53" i="12"/>
  <c r="W52" i="12"/>
  <c r="X52" i="12"/>
  <c r="Z52" i="12"/>
  <c r="AA52" i="12"/>
  <c r="AB52" i="12"/>
  <c r="AC52" i="12"/>
  <c r="AD52" i="12"/>
  <c r="AE52" i="12"/>
  <c r="R52" i="12"/>
  <c r="AF52" i="12" s="1"/>
  <c r="K54" i="12"/>
  <c r="Z54" i="12"/>
  <c r="K53" i="12"/>
  <c r="K52" i="12"/>
  <c r="Y52" i="12" s="1"/>
  <c r="C34" i="19"/>
  <c r="D34" i="19"/>
  <c r="B34" i="19"/>
  <c r="AO54" i="12"/>
  <c r="AN52" i="12"/>
  <c r="AJ52" i="12"/>
  <c r="AA53" i="12"/>
  <c r="K25" i="8"/>
  <c r="AP37" i="3" a="1"/>
  <c r="AP37" i="3"/>
  <c r="AN37" i="3" a="1"/>
  <c r="AO37" i="3"/>
  <c r="AL37" i="3" a="1"/>
  <c r="AM37" i="3"/>
  <c r="AH37" i="3" a="1"/>
  <c r="AH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S34" i="3"/>
  <c r="R34" i="3"/>
  <c r="T34" i="3"/>
  <c r="U34" i="3"/>
  <c r="V34" i="3"/>
  <c r="AF34" i="3"/>
  <c r="Y34" i="3"/>
  <c r="W34" i="3"/>
  <c r="AT34" i="3"/>
  <c r="AS34" i="3"/>
  <c r="AR34" i="3"/>
  <c r="AP34" i="3" a="1"/>
  <c r="AN34" i="3" a="1"/>
  <c r="AL34" i="3" a="1"/>
  <c r="AH34" i="3" a="1"/>
  <c r="AU34" i="3"/>
  <c r="AV34" i="3"/>
  <c r="X34" i="3"/>
  <c r="Z34" i="3"/>
  <c r="AA34" i="3"/>
  <c r="AB34" i="3"/>
  <c r="AC34" i="3"/>
  <c r="AD34" i="3"/>
  <c r="AE34" i="3"/>
  <c r="AH25" i="8" a="1"/>
  <c r="Z25" i="8" a="1"/>
  <c r="Z25" i="8" s="1"/>
  <c r="C35" i="19"/>
  <c r="B35" i="19"/>
  <c r="D35" i="19"/>
  <c r="AW37" i="3"/>
  <c r="AV37" i="3"/>
  <c r="AR37" i="3"/>
  <c r="AS37" i="3"/>
  <c r="AQ37" i="3"/>
  <c r="AU37" i="3"/>
  <c r="AT37" i="3"/>
  <c r="AN37" i="3"/>
  <c r="AL37" i="3"/>
  <c r="AK37" i="3"/>
  <c r="AJ37" i="3"/>
  <c r="AI37" i="3"/>
  <c r="AL34" i="3"/>
  <c r="AH34" i="3"/>
  <c r="AP34" i="3"/>
  <c r="AN34" i="3"/>
  <c r="AW34" i="3"/>
  <c r="AQ34" i="3"/>
  <c r="AO34" i="3"/>
  <c r="AM34" i="3"/>
  <c r="AJ34" i="3"/>
  <c r="AK34" i="3"/>
  <c r="AI34" i="3"/>
  <c r="AT12" i="12" a="1"/>
  <c r="AQ12" i="12" a="1"/>
  <c r="AN12" i="12" a="1"/>
  <c r="AK12" i="12" a="1"/>
  <c r="AH12" i="12" a="1"/>
  <c r="W114" i="12"/>
  <c r="W113" i="12"/>
  <c r="W112" i="12"/>
  <c r="W14" i="12"/>
  <c r="W13" i="12"/>
  <c r="W12" i="12"/>
  <c r="R13" i="12"/>
  <c r="S13" i="12"/>
  <c r="T13" i="12"/>
  <c r="U13" i="12"/>
  <c r="V13" i="12"/>
  <c r="X13" i="12"/>
  <c r="Y13" i="12"/>
  <c r="Z13" i="12"/>
  <c r="AA13" i="12"/>
  <c r="AB13" i="12"/>
  <c r="AC13" i="12"/>
  <c r="AD13" i="12"/>
  <c r="AE13" i="12"/>
  <c r="AF13" i="12"/>
  <c r="R14" i="12"/>
  <c r="S14" i="12"/>
  <c r="T14" i="12"/>
  <c r="U14" i="12"/>
  <c r="V14" i="12"/>
  <c r="X14" i="12"/>
  <c r="Y14" i="12"/>
  <c r="Z14" i="12"/>
  <c r="AA14" i="12"/>
  <c r="AB14" i="12"/>
  <c r="AC14" i="12"/>
  <c r="AD14" i="12"/>
  <c r="AE14" i="12"/>
  <c r="AF14" i="12"/>
  <c r="S12" i="12"/>
  <c r="T12" i="12"/>
  <c r="U12" i="12"/>
  <c r="V12" i="12"/>
  <c r="X12" i="12"/>
  <c r="Y12" i="12"/>
  <c r="Z12" i="12"/>
  <c r="AA12" i="12"/>
  <c r="AB12" i="12"/>
  <c r="AC12" i="12"/>
  <c r="AD12" i="12"/>
  <c r="AE12" i="12"/>
  <c r="AF12" i="12"/>
  <c r="R12" i="12"/>
  <c r="K12" i="12"/>
  <c r="AT112" i="12" a="1"/>
  <c r="AQ112" i="12" a="1"/>
  <c r="AN112" i="12" a="1"/>
  <c r="AK112" i="12" a="1"/>
  <c r="AL114" i="12" s="1"/>
  <c r="AH112" i="12" a="1"/>
  <c r="AH112" i="12" s="1"/>
  <c r="R113" i="12"/>
  <c r="S113" i="12"/>
  <c r="T113" i="12"/>
  <c r="U113" i="12"/>
  <c r="V113" i="12"/>
  <c r="Y113" i="12"/>
  <c r="Z113" i="12"/>
  <c r="AA113" i="12"/>
  <c r="AB113" i="12"/>
  <c r="AC113" i="12"/>
  <c r="AD113" i="12"/>
  <c r="AE113" i="12"/>
  <c r="AF113" i="12"/>
  <c r="R114" i="12"/>
  <c r="S114" i="12"/>
  <c r="T114" i="12"/>
  <c r="U114" i="12"/>
  <c r="V114" i="12"/>
  <c r="X114" i="12"/>
  <c r="Y114" i="12"/>
  <c r="Z114" i="12"/>
  <c r="AA114" i="12"/>
  <c r="AB114" i="12"/>
  <c r="AC114" i="12"/>
  <c r="AD114" i="12"/>
  <c r="AE114" i="12"/>
  <c r="AF114" i="12"/>
  <c r="S112" i="12"/>
  <c r="T112" i="12"/>
  <c r="U112" i="12"/>
  <c r="V112" i="12"/>
  <c r="X112" i="12"/>
  <c r="Y112" i="12"/>
  <c r="Z112" i="12"/>
  <c r="AA112" i="12"/>
  <c r="AB112" i="12"/>
  <c r="AC112" i="12"/>
  <c r="AD112" i="12"/>
  <c r="AE112" i="12"/>
  <c r="AF112" i="12"/>
  <c r="R112" i="12"/>
  <c r="K112" i="12"/>
  <c r="B36" i="19"/>
  <c r="C36" i="19"/>
  <c r="D36" i="19"/>
  <c r="W19" i="15"/>
  <c r="W18" i="15"/>
  <c r="W9" i="15"/>
  <c r="W8" i="15"/>
  <c r="W7" i="15"/>
  <c r="W17" i="15"/>
  <c r="T19" i="15"/>
  <c r="T18" i="15"/>
  <c r="T17" i="15"/>
  <c r="F18" i="15"/>
  <c r="G18" i="15"/>
  <c r="V18" i="15"/>
  <c r="F19" i="15"/>
  <c r="G19" i="15" s="1"/>
  <c r="V19" i="15" s="1"/>
  <c r="F17" i="15"/>
  <c r="G17" i="15"/>
  <c r="V17" i="15"/>
  <c r="C18" i="15"/>
  <c r="R18" i="15"/>
  <c r="C19" i="15"/>
  <c r="R19" i="15"/>
  <c r="C17" i="15"/>
  <c r="R17" i="15"/>
  <c r="S18" i="15"/>
  <c r="S27" i="15"/>
  <c r="S54" i="15"/>
  <c r="T54" i="15"/>
  <c r="U54" i="15"/>
  <c r="V54" i="15"/>
  <c r="W54" i="15"/>
  <c r="X54" i="15"/>
  <c r="Y54" i="15"/>
  <c r="AA54" i="15"/>
  <c r="AB54" i="15"/>
  <c r="AC54" i="15"/>
  <c r="AD54" i="15"/>
  <c r="AE54" i="15"/>
  <c r="AF54" i="15"/>
  <c r="S55" i="15"/>
  <c r="T55" i="15"/>
  <c r="U55" i="15"/>
  <c r="V55" i="15"/>
  <c r="W55" i="15"/>
  <c r="X55" i="15"/>
  <c r="Y55" i="15"/>
  <c r="AA55" i="15"/>
  <c r="AB55" i="15"/>
  <c r="AC55" i="15"/>
  <c r="AD55" i="15"/>
  <c r="AE55" i="15"/>
  <c r="AF55" i="15"/>
  <c r="S56" i="15"/>
  <c r="T56" i="15"/>
  <c r="U56" i="15"/>
  <c r="V56" i="15"/>
  <c r="W56" i="15"/>
  <c r="X56" i="15"/>
  <c r="Y56" i="15"/>
  <c r="AA56" i="15"/>
  <c r="AB56" i="15"/>
  <c r="AC56" i="15"/>
  <c r="AD56" i="15"/>
  <c r="AE56" i="15"/>
  <c r="AF56" i="15"/>
  <c r="R56" i="15"/>
  <c r="R55" i="15"/>
  <c r="R54" i="15"/>
  <c r="S7" i="15"/>
  <c r="T7" i="15"/>
  <c r="U7" i="15"/>
  <c r="V7" i="15"/>
  <c r="X7" i="15"/>
  <c r="Y7" i="15"/>
  <c r="AA7" i="15"/>
  <c r="AB7" i="15"/>
  <c r="AC7" i="15"/>
  <c r="AD7" i="15"/>
  <c r="AE7" i="15"/>
  <c r="AF7" i="15"/>
  <c r="S8" i="15"/>
  <c r="T8" i="15"/>
  <c r="U8" i="15"/>
  <c r="V8" i="15"/>
  <c r="X8" i="15"/>
  <c r="Y8" i="15"/>
  <c r="AA8" i="15"/>
  <c r="AB8" i="15"/>
  <c r="AC8" i="15"/>
  <c r="AD8" i="15"/>
  <c r="AE8" i="15"/>
  <c r="AF8" i="15"/>
  <c r="S9" i="15"/>
  <c r="T9" i="15"/>
  <c r="U9" i="15"/>
  <c r="V9" i="15"/>
  <c r="X9" i="15"/>
  <c r="Y9" i="15"/>
  <c r="AA9" i="15"/>
  <c r="AB9" i="15"/>
  <c r="AC9" i="15"/>
  <c r="AD9" i="15"/>
  <c r="AE9" i="15"/>
  <c r="AF9" i="15"/>
  <c r="R8" i="15"/>
  <c r="R9" i="15"/>
  <c r="R7" i="15"/>
  <c r="S19" i="15"/>
  <c r="X19" i="15"/>
  <c r="Y19" i="15"/>
  <c r="AA19" i="15"/>
  <c r="AB19" i="15"/>
  <c r="AC19" i="15"/>
  <c r="AD19" i="15"/>
  <c r="AE19" i="15"/>
  <c r="AF19" i="15"/>
  <c r="X18" i="15"/>
  <c r="Y18" i="15"/>
  <c r="AA18" i="15"/>
  <c r="AB18" i="15"/>
  <c r="AC18" i="15"/>
  <c r="AD18" i="15"/>
  <c r="AE18" i="15"/>
  <c r="AF18" i="15"/>
  <c r="K56" i="15"/>
  <c r="Z56" i="15"/>
  <c r="K9" i="15"/>
  <c r="Z9" i="15"/>
  <c r="K8" i="15"/>
  <c r="Z8" i="15"/>
  <c r="K7" i="15"/>
  <c r="Z7" i="15" s="1"/>
  <c r="K19" i="15"/>
  <c r="Z19" i="15"/>
  <c r="K18" i="15"/>
  <c r="Z18" i="15" s="1"/>
  <c r="X26" i="15"/>
  <c r="S26" i="15"/>
  <c r="T26" i="15"/>
  <c r="S17" i="15"/>
  <c r="X17" i="15"/>
  <c r="Y17" i="15"/>
  <c r="AA17" i="15"/>
  <c r="AB17" i="15"/>
  <c r="AC17" i="15"/>
  <c r="AD17" i="15"/>
  <c r="AE17" i="15"/>
  <c r="AF17" i="15"/>
  <c r="K17" i="15"/>
  <c r="Z17" i="15"/>
  <c r="X28" i="15"/>
  <c r="U18" i="15"/>
  <c r="D37" i="19"/>
  <c r="B37" i="19"/>
  <c r="C37" i="19"/>
  <c r="U19" i="15"/>
  <c r="U17" i="15"/>
  <c r="AH26" i="15" a="1"/>
  <c r="AH26" i="15" s="1"/>
  <c r="AH28" i="15" a="1"/>
  <c r="AH28" i="15" s="1"/>
  <c r="S28" i="15"/>
  <c r="T28" i="15"/>
  <c r="U28" i="15"/>
  <c r="V28" i="15"/>
  <c r="W28" i="15"/>
  <c r="Y28" i="15"/>
  <c r="AA28" i="15"/>
  <c r="AB28" i="15"/>
  <c r="AC28" i="15"/>
  <c r="AD28" i="15"/>
  <c r="AE28" i="15"/>
  <c r="AF28" i="15"/>
  <c r="R28" i="15"/>
  <c r="K28" i="15"/>
  <c r="Z28" i="15"/>
  <c r="U26" i="15"/>
  <c r="V26" i="15"/>
  <c r="Y26" i="15"/>
  <c r="AA26" i="15"/>
  <c r="AB26" i="15"/>
  <c r="AC26" i="15"/>
  <c r="AD26" i="15"/>
  <c r="AE26" i="15"/>
  <c r="AF26" i="15"/>
  <c r="R26" i="15"/>
  <c r="K26" i="15"/>
  <c r="Z26" i="15"/>
  <c r="B38" i="19"/>
  <c r="C38" i="19"/>
  <c r="D38" i="19"/>
  <c r="AK26" i="15"/>
  <c r="AO26" i="15"/>
  <c r="AM26" i="15"/>
  <c r="AJ26" i="15"/>
  <c r="AN26" i="15"/>
  <c r="AI26" i="15"/>
  <c r="AL26" i="15"/>
  <c r="AO28" i="15"/>
  <c r="AN28" i="15"/>
  <c r="AM28" i="15"/>
  <c r="AL28" i="15"/>
  <c r="AK28" i="15"/>
  <c r="AJ28" i="15"/>
  <c r="AI28" i="15"/>
  <c r="K55" i="15"/>
  <c r="Z55" i="15"/>
  <c r="C39" i="19"/>
  <c r="D39" i="19"/>
  <c r="B39" i="19"/>
  <c r="X27" i="15"/>
  <c r="Y27" i="15"/>
  <c r="R27" i="15"/>
  <c r="W27" i="15"/>
  <c r="T27" i="15"/>
  <c r="AH27" i="15" a="1"/>
  <c r="AH27" i="15" s="1"/>
  <c r="V27" i="15"/>
  <c r="U27" i="15"/>
  <c r="AA27" i="15"/>
  <c r="AB27" i="15"/>
  <c r="AC27" i="15"/>
  <c r="AD27" i="15"/>
  <c r="AE27" i="15"/>
  <c r="AF27" i="15"/>
  <c r="K27" i="15"/>
  <c r="Z27" i="15" s="1"/>
  <c r="B40" i="19"/>
  <c r="D40" i="19"/>
  <c r="C40" i="19"/>
  <c r="AN27" i="15"/>
  <c r="AK27" i="15"/>
  <c r="AL27" i="15"/>
  <c r="AJ27" i="15"/>
  <c r="AO27" i="15"/>
  <c r="AM27" i="15"/>
  <c r="AI27" i="15"/>
  <c r="Y17" i="13"/>
  <c r="Y16" i="13"/>
  <c r="Y15" i="13"/>
  <c r="Y14" i="13"/>
  <c r="Y13" i="13"/>
  <c r="Y12" i="13"/>
  <c r="Y11" i="13"/>
  <c r="Y10" i="13"/>
  <c r="Y9" i="13"/>
  <c r="Y8" i="13"/>
  <c r="Y7" i="13"/>
  <c r="Y4" i="13"/>
  <c r="Y3" i="13"/>
  <c r="X10" i="13"/>
  <c r="X11" i="13"/>
  <c r="X12" i="13"/>
  <c r="X13" i="13"/>
  <c r="X9" i="13"/>
  <c r="X8" i="13"/>
  <c r="X7" i="13"/>
  <c r="X4" i="13"/>
  <c r="X3" i="13"/>
  <c r="AH17" i="13" a="1"/>
  <c r="AJ17" i="13"/>
  <c r="AH16" i="13" a="1"/>
  <c r="AH16" i="13"/>
  <c r="AH15" i="13" a="1"/>
  <c r="AH15" i="13"/>
  <c r="AH14" i="13" a="1"/>
  <c r="AH14" i="13"/>
  <c r="AH13" i="13" a="1"/>
  <c r="AH13" i="13"/>
  <c r="AH12" i="13" a="1"/>
  <c r="AH12" i="13"/>
  <c r="AH11" i="13" a="1"/>
  <c r="AH11" i="13"/>
  <c r="AH10" i="13" a="1"/>
  <c r="AH10" i="13"/>
  <c r="AH9" i="13" a="1"/>
  <c r="AH9" i="13"/>
  <c r="S9" i="13"/>
  <c r="T9" i="13"/>
  <c r="U9" i="13"/>
  <c r="V9" i="13"/>
  <c r="W9" i="13"/>
  <c r="Z9" i="13"/>
  <c r="AA9" i="13"/>
  <c r="AB9" i="13"/>
  <c r="AC9" i="13"/>
  <c r="AD9" i="13"/>
  <c r="AE9" i="13"/>
  <c r="S10" i="13"/>
  <c r="T10" i="13"/>
  <c r="U10" i="13"/>
  <c r="V10" i="13"/>
  <c r="W10" i="13"/>
  <c r="Z10" i="13"/>
  <c r="AA10" i="13"/>
  <c r="AB10" i="13"/>
  <c r="AC10" i="13"/>
  <c r="AD10" i="13"/>
  <c r="AE10" i="13"/>
  <c r="S11" i="13"/>
  <c r="T11" i="13"/>
  <c r="U11" i="13"/>
  <c r="V11" i="13"/>
  <c r="W11" i="13"/>
  <c r="Z11" i="13"/>
  <c r="AA11" i="13"/>
  <c r="AB11" i="13"/>
  <c r="AC11" i="13"/>
  <c r="AD11" i="13"/>
  <c r="AE11" i="13"/>
  <c r="S12" i="13"/>
  <c r="T12" i="13"/>
  <c r="U12" i="13"/>
  <c r="V12" i="13"/>
  <c r="W12" i="13"/>
  <c r="Z12" i="13"/>
  <c r="AA12" i="13"/>
  <c r="AB12" i="13"/>
  <c r="AC12" i="13"/>
  <c r="AD12" i="13"/>
  <c r="AE12" i="13"/>
  <c r="S13" i="13"/>
  <c r="T13" i="13"/>
  <c r="U13" i="13"/>
  <c r="V13" i="13"/>
  <c r="W13" i="13"/>
  <c r="Z13" i="13"/>
  <c r="AA13" i="13"/>
  <c r="AB13" i="13"/>
  <c r="AC13" i="13"/>
  <c r="AD13" i="13"/>
  <c r="AE13" i="13"/>
  <c r="S14" i="13"/>
  <c r="U14" i="13"/>
  <c r="V14" i="13"/>
  <c r="Z14" i="13"/>
  <c r="AA14" i="13"/>
  <c r="AB14" i="13"/>
  <c r="AC14" i="13"/>
  <c r="AD14" i="13"/>
  <c r="AE14" i="13"/>
  <c r="S15" i="13"/>
  <c r="T15" i="13"/>
  <c r="U15" i="13"/>
  <c r="V15" i="13"/>
  <c r="W15" i="13"/>
  <c r="X15" i="13"/>
  <c r="Z15" i="13"/>
  <c r="AA15" i="13"/>
  <c r="AB15" i="13"/>
  <c r="AC15" i="13"/>
  <c r="AD15" i="13"/>
  <c r="AE15" i="13"/>
  <c r="S16" i="13"/>
  <c r="T16" i="13"/>
  <c r="U16" i="13"/>
  <c r="V16" i="13"/>
  <c r="W16" i="13"/>
  <c r="X16" i="13"/>
  <c r="Z16" i="13"/>
  <c r="AA16" i="13"/>
  <c r="AB16" i="13"/>
  <c r="AC16" i="13"/>
  <c r="AD16" i="13"/>
  <c r="AE16" i="13"/>
  <c r="S17" i="13"/>
  <c r="T17" i="13"/>
  <c r="U17" i="13"/>
  <c r="V17" i="13"/>
  <c r="W17" i="13"/>
  <c r="X17" i="13"/>
  <c r="Z17" i="13"/>
  <c r="AA17" i="13"/>
  <c r="AB17" i="13"/>
  <c r="AC17" i="13"/>
  <c r="AD17" i="13"/>
  <c r="AE17" i="13"/>
  <c r="AF17" i="13"/>
  <c r="R17" i="13"/>
  <c r="R16" i="13"/>
  <c r="AF16" i="13"/>
  <c r="R15" i="13"/>
  <c r="AF15" i="13"/>
  <c r="AF14" i="13"/>
  <c r="R13" i="13"/>
  <c r="AF13" i="13"/>
  <c r="R12" i="13"/>
  <c r="AF12" i="13"/>
  <c r="R11" i="13"/>
  <c r="AF11" i="13"/>
  <c r="R10" i="13"/>
  <c r="AF10" i="13"/>
  <c r="R9" i="13"/>
  <c r="AF9" i="13"/>
  <c r="AL8" i="13" a="1"/>
  <c r="AL8" i="13"/>
  <c r="AH8" i="13" a="1"/>
  <c r="AJ8" i="13" s="1"/>
  <c r="S8" i="13"/>
  <c r="T8" i="13"/>
  <c r="U8" i="13"/>
  <c r="V8" i="13"/>
  <c r="W8" i="13"/>
  <c r="Z8" i="13"/>
  <c r="AA8" i="13"/>
  <c r="AB8" i="13"/>
  <c r="AC8" i="13"/>
  <c r="AD8" i="13"/>
  <c r="AE8" i="13"/>
  <c r="R8" i="13"/>
  <c r="AF8" i="13"/>
  <c r="AL7" i="13" a="1"/>
  <c r="AQ7" i="13" s="1"/>
  <c r="AL4" i="13" a="1"/>
  <c r="AH7" i="13" a="1"/>
  <c r="AH7" i="13"/>
  <c r="AH4" i="13" a="1"/>
  <c r="AH4" i="13"/>
  <c r="AH3" i="13" a="1"/>
  <c r="AJ3" i="13" s="1"/>
  <c r="S7" i="13"/>
  <c r="T7" i="13"/>
  <c r="U7" i="13"/>
  <c r="V7" i="13"/>
  <c r="W7" i="13"/>
  <c r="Z7" i="13"/>
  <c r="AA7" i="13"/>
  <c r="AB7" i="13"/>
  <c r="AC7" i="13"/>
  <c r="AD7" i="13"/>
  <c r="AE7" i="13"/>
  <c r="R7" i="13"/>
  <c r="AF7" i="13"/>
  <c r="AH6" i="13" a="1"/>
  <c r="AL6" i="13" s="1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R6" i="13"/>
  <c r="AH5" i="13" a="1"/>
  <c r="AH5" i="13" s="1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R5" i="13"/>
  <c r="S4" i="13"/>
  <c r="T4" i="13"/>
  <c r="U4" i="13"/>
  <c r="V4" i="13"/>
  <c r="W4" i="13"/>
  <c r="Z4" i="13"/>
  <c r="AA4" i="13"/>
  <c r="AB4" i="13"/>
  <c r="AC4" i="13"/>
  <c r="AD4" i="13"/>
  <c r="AE4" i="13"/>
  <c r="R4" i="13"/>
  <c r="AF4" i="13"/>
  <c r="S3" i="13"/>
  <c r="T3" i="13"/>
  <c r="U3" i="13"/>
  <c r="V3" i="13"/>
  <c r="W3" i="13"/>
  <c r="AA3" i="13"/>
  <c r="AB3" i="13"/>
  <c r="AC3" i="13"/>
  <c r="AD3" i="13"/>
  <c r="AE3" i="13"/>
  <c r="R3" i="13"/>
  <c r="AF3" i="13"/>
  <c r="K3" i="13"/>
  <c r="Z3" i="13"/>
  <c r="C41" i="19"/>
  <c r="B41" i="19"/>
  <c r="D41" i="19"/>
  <c r="AJ10" i="13"/>
  <c r="AW7" i="13"/>
  <c r="AH3" i="13"/>
  <c r="AI7" i="13"/>
  <c r="AK10" i="13"/>
  <c r="AJ13" i="13"/>
  <c r="AP7" i="13"/>
  <c r="AK15" i="13"/>
  <c r="AU7" i="13"/>
  <c r="AK17" i="13"/>
  <c r="AQ6" i="13"/>
  <c r="AP6" i="13"/>
  <c r="AO6" i="13"/>
  <c r="AN6" i="13"/>
  <c r="AK7" i="13"/>
  <c r="AO7" i="13"/>
  <c r="AV8" i="13"/>
  <c r="AI13" i="13"/>
  <c r="AW6" i="13"/>
  <c r="AK6" i="13"/>
  <c r="AJ7" i="13"/>
  <c r="AM8" i="13"/>
  <c r="AV6" i="13"/>
  <c r="AJ6" i="13"/>
  <c r="AL3" i="13" a="1"/>
  <c r="AL3" i="13" s="1"/>
  <c r="AI10" i="13"/>
  <c r="AS6" i="13"/>
  <c r="AI6" i="13"/>
  <c r="AR6" i="13"/>
  <c r="AH6" i="13"/>
  <c r="AK3" i="13"/>
  <c r="AI3" i="13"/>
  <c r="AM7" i="13"/>
  <c r="AI8" i="13"/>
  <c r="AQ8" i="13"/>
  <c r="AK9" i="13"/>
  <c r="AJ12" i="13"/>
  <c r="AK14" i="13"/>
  <c r="AI17" i="13"/>
  <c r="AI11" i="13"/>
  <c r="AU8" i="13"/>
  <c r="AH8" i="13"/>
  <c r="AP8" i="13"/>
  <c r="AJ9" i="13"/>
  <c r="AI12" i="13"/>
  <c r="AJ14" i="13"/>
  <c r="AK16" i="13"/>
  <c r="AH17" i="13"/>
  <c r="AO8" i="13"/>
  <c r="AI9" i="13"/>
  <c r="AK11" i="13"/>
  <c r="AI14" i="13"/>
  <c r="AJ16" i="13"/>
  <c r="AV7" i="13"/>
  <c r="AW8" i="13"/>
  <c r="AN8" i="13"/>
  <c r="AJ11" i="13"/>
  <c r="AK13" i="13"/>
  <c r="AI16" i="13"/>
  <c r="AJ15" i="13"/>
  <c r="AS8" i="13"/>
  <c r="AN7" i="13"/>
  <c r="AR8" i="13"/>
  <c r="AK12" i="13"/>
  <c r="AI15" i="13"/>
  <c r="AT7" i="13"/>
  <c r="AL7" i="13"/>
  <c r="AS7" i="13"/>
  <c r="AU6" i="13"/>
  <c r="AM6" i="13"/>
  <c r="AR7" i="13"/>
  <c r="AK8" i="13"/>
  <c r="AT8" i="13"/>
  <c r="AT6" i="13"/>
  <c r="AJ4" i="13"/>
  <c r="AI4" i="13"/>
  <c r="AK4" i="13"/>
  <c r="AW5" i="13"/>
  <c r="AO5" i="13"/>
  <c r="AV5" i="13"/>
  <c r="AN5" i="13"/>
  <c r="AU5" i="13"/>
  <c r="AM5" i="13"/>
  <c r="AT5" i="13"/>
  <c r="AL5" i="13"/>
  <c r="AS5" i="13"/>
  <c r="AK5" i="13"/>
  <c r="AR5" i="13"/>
  <c r="AJ5" i="13"/>
  <c r="AQ5" i="13"/>
  <c r="AI5" i="13"/>
  <c r="AP5" i="13"/>
  <c r="S143" i="12"/>
  <c r="T143" i="12"/>
  <c r="U143" i="12"/>
  <c r="V143" i="12"/>
  <c r="W143" i="12"/>
  <c r="X143" i="12"/>
  <c r="Y143" i="12"/>
  <c r="AA143" i="12"/>
  <c r="AB143" i="12"/>
  <c r="AC143" i="12"/>
  <c r="AD143" i="12"/>
  <c r="AE143" i="12"/>
  <c r="AF143" i="12"/>
  <c r="S144" i="12"/>
  <c r="T144" i="12"/>
  <c r="U144" i="12"/>
  <c r="V144" i="12"/>
  <c r="W144" i="12"/>
  <c r="X144" i="12"/>
  <c r="Y144" i="12"/>
  <c r="AA144" i="12"/>
  <c r="AB144" i="12"/>
  <c r="AC144" i="12"/>
  <c r="AD144" i="12"/>
  <c r="AE144" i="12"/>
  <c r="AF144" i="12"/>
  <c r="S145" i="12"/>
  <c r="T145" i="12"/>
  <c r="U145" i="12"/>
  <c r="V145" i="12"/>
  <c r="W145" i="12"/>
  <c r="X145" i="12"/>
  <c r="Y145" i="12"/>
  <c r="AA145" i="12"/>
  <c r="AB145" i="12"/>
  <c r="AC145" i="12"/>
  <c r="AD145" i="12"/>
  <c r="AE145" i="12"/>
  <c r="AF145" i="12"/>
  <c r="R145" i="12"/>
  <c r="R144" i="12"/>
  <c r="R143" i="12"/>
  <c r="K145" i="12"/>
  <c r="Z145" i="12" s="1"/>
  <c r="K144" i="12"/>
  <c r="Z144" i="12" s="1"/>
  <c r="K143" i="12"/>
  <c r="R44" i="12"/>
  <c r="R46" i="12"/>
  <c r="AF45" i="12"/>
  <c r="AE45" i="12"/>
  <c r="AD45" i="12"/>
  <c r="AC45" i="12"/>
  <c r="AB45" i="12"/>
  <c r="AA45" i="12"/>
  <c r="Y45" i="12"/>
  <c r="X45" i="12"/>
  <c r="W45" i="12"/>
  <c r="V45" i="12"/>
  <c r="U45" i="12"/>
  <c r="T45" i="12"/>
  <c r="S45" i="12"/>
  <c r="R45" i="12"/>
  <c r="K45" i="12"/>
  <c r="Z45" i="12" s="1"/>
  <c r="S46" i="12"/>
  <c r="T46" i="12"/>
  <c r="U46" i="12"/>
  <c r="V46" i="12"/>
  <c r="W46" i="12"/>
  <c r="X46" i="12"/>
  <c r="Y46" i="12"/>
  <c r="AA46" i="12"/>
  <c r="AB46" i="12"/>
  <c r="AC46" i="12"/>
  <c r="AD46" i="12"/>
  <c r="AE46" i="12"/>
  <c r="AF46" i="12"/>
  <c r="K46" i="12"/>
  <c r="Z46" i="12" s="1"/>
  <c r="Y44" i="12"/>
  <c r="AA44" i="12"/>
  <c r="AB44" i="12"/>
  <c r="AC44" i="12"/>
  <c r="AD44" i="12"/>
  <c r="AE44" i="12"/>
  <c r="AF44" i="12"/>
  <c r="S44" i="12"/>
  <c r="T44" i="12"/>
  <c r="U44" i="12"/>
  <c r="V44" i="12"/>
  <c r="W44" i="12"/>
  <c r="X44" i="12"/>
  <c r="AG56" i="12"/>
  <c r="K44" i="12"/>
  <c r="AH44" i="12" a="1"/>
  <c r="Z143" i="12"/>
  <c r="B42" i="19"/>
  <c r="D42" i="19"/>
  <c r="C42" i="19"/>
  <c r="AU3" i="13"/>
  <c r="AQ3" i="13"/>
  <c r="AN3" i="13"/>
  <c r="AV3" i="13"/>
  <c r="AO3" i="13"/>
  <c r="AW3" i="13"/>
  <c r="Z44" i="12"/>
  <c r="AS3" i="13"/>
  <c r="AT3" i="13"/>
  <c r="AM3" i="13"/>
  <c r="AR3" i="13"/>
  <c r="AP3" i="13"/>
  <c r="R83" i="12"/>
  <c r="S65" i="12"/>
  <c r="T65" i="12"/>
  <c r="U65" i="12"/>
  <c r="V65" i="12"/>
  <c r="W65" i="12"/>
  <c r="X65" i="12"/>
  <c r="Y65" i="12"/>
  <c r="AA65" i="12"/>
  <c r="AB65" i="12"/>
  <c r="AC65" i="12"/>
  <c r="AD65" i="12"/>
  <c r="AE65" i="12"/>
  <c r="AF65" i="12"/>
  <c r="S66" i="12"/>
  <c r="T66" i="12"/>
  <c r="U66" i="12"/>
  <c r="V66" i="12"/>
  <c r="W66" i="12"/>
  <c r="X66" i="12"/>
  <c r="Y66" i="12"/>
  <c r="AA66" i="12"/>
  <c r="AB66" i="12"/>
  <c r="AC66" i="12"/>
  <c r="AD66" i="12"/>
  <c r="AE66" i="12"/>
  <c r="AF66" i="12"/>
  <c r="S67" i="12"/>
  <c r="T67" i="12"/>
  <c r="U67" i="12"/>
  <c r="V67" i="12"/>
  <c r="W67" i="12"/>
  <c r="X67" i="12"/>
  <c r="Y67" i="12"/>
  <c r="AA67" i="12"/>
  <c r="AB67" i="12"/>
  <c r="AC67" i="12"/>
  <c r="AD67" i="12"/>
  <c r="AE67" i="12"/>
  <c r="AF67" i="12"/>
  <c r="S68" i="12"/>
  <c r="T68" i="12"/>
  <c r="U68" i="12"/>
  <c r="V68" i="12"/>
  <c r="W68" i="12"/>
  <c r="X68" i="12"/>
  <c r="Y68" i="12"/>
  <c r="AA68" i="12"/>
  <c r="AB68" i="12"/>
  <c r="AC68" i="12"/>
  <c r="AD68" i="12"/>
  <c r="AE68" i="12"/>
  <c r="AF68" i="12"/>
  <c r="S69" i="12"/>
  <c r="T69" i="12"/>
  <c r="U69" i="12"/>
  <c r="V69" i="12"/>
  <c r="W69" i="12"/>
  <c r="X69" i="12"/>
  <c r="Y69" i="12"/>
  <c r="AA69" i="12"/>
  <c r="AB69" i="12"/>
  <c r="AC69" i="12"/>
  <c r="AD69" i="12"/>
  <c r="AE69" i="12"/>
  <c r="AF69" i="12"/>
  <c r="S70" i="12"/>
  <c r="T70" i="12"/>
  <c r="U70" i="12"/>
  <c r="V70" i="12"/>
  <c r="W70" i="12"/>
  <c r="X70" i="12"/>
  <c r="Y70" i="12"/>
  <c r="AA70" i="12"/>
  <c r="AB70" i="12"/>
  <c r="AC70" i="12"/>
  <c r="AD70" i="12"/>
  <c r="AE70" i="12"/>
  <c r="AF70" i="12"/>
  <c r="S71" i="12"/>
  <c r="T71" i="12"/>
  <c r="U71" i="12"/>
  <c r="V71" i="12"/>
  <c r="W71" i="12"/>
  <c r="X71" i="12"/>
  <c r="Y71" i="12"/>
  <c r="AA71" i="12"/>
  <c r="AB71" i="12"/>
  <c r="AC71" i="12"/>
  <c r="AD71" i="12"/>
  <c r="AE71" i="12"/>
  <c r="AF71" i="12"/>
  <c r="S72" i="12"/>
  <c r="T72" i="12"/>
  <c r="U72" i="12"/>
  <c r="V72" i="12"/>
  <c r="W72" i="12"/>
  <c r="X72" i="12"/>
  <c r="Y72" i="12"/>
  <c r="AA72" i="12"/>
  <c r="AB72" i="12"/>
  <c r="AC72" i="12"/>
  <c r="AD72" i="12"/>
  <c r="AE72" i="12"/>
  <c r="AF72" i="12"/>
  <c r="S73" i="12"/>
  <c r="T73" i="12"/>
  <c r="U73" i="12"/>
  <c r="V73" i="12"/>
  <c r="W73" i="12"/>
  <c r="X73" i="12"/>
  <c r="Y73" i="12"/>
  <c r="AA73" i="12"/>
  <c r="AB73" i="12"/>
  <c r="AC73" i="12"/>
  <c r="AD73" i="12"/>
  <c r="AE73" i="12"/>
  <c r="AF73" i="12"/>
  <c r="S74" i="12"/>
  <c r="T74" i="12"/>
  <c r="U74" i="12"/>
  <c r="V74" i="12"/>
  <c r="W74" i="12"/>
  <c r="X74" i="12"/>
  <c r="Y74" i="12"/>
  <c r="AA74" i="12"/>
  <c r="AB74" i="12"/>
  <c r="AC74" i="12"/>
  <c r="AD74" i="12"/>
  <c r="AE74" i="12"/>
  <c r="AF74" i="12"/>
  <c r="S75" i="12"/>
  <c r="T75" i="12"/>
  <c r="U75" i="12"/>
  <c r="V75" i="12"/>
  <c r="W75" i="12"/>
  <c r="X75" i="12"/>
  <c r="Y75" i="12"/>
  <c r="AA75" i="12"/>
  <c r="AB75" i="12"/>
  <c r="AC75" i="12"/>
  <c r="AD75" i="12"/>
  <c r="AE75" i="12"/>
  <c r="AF75" i="12"/>
  <c r="S76" i="12"/>
  <c r="T76" i="12"/>
  <c r="U76" i="12"/>
  <c r="V76" i="12"/>
  <c r="W76" i="12"/>
  <c r="X76" i="12"/>
  <c r="Y76" i="12"/>
  <c r="AA76" i="12"/>
  <c r="AB76" i="12"/>
  <c r="AC76" i="12"/>
  <c r="AD76" i="12"/>
  <c r="AE76" i="12"/>
  <c r="AF76" i="12"/>
  <c r="S77" i="12"/>
  <c r="T77" i="12"/>
  <c r="U77" i="12"/>
  <c r="V77" i="12"/>
  <c r="W77" i="12"/>
  <c r="X77" i="12"/>
  <c r="Y77" i="12"/>
  <c r="AA77" i="12"/>
  <c r="AB77" i="12"/>
  <c r="AC77" i="12"/>
  <c r="AD77" i="12"/>
  <c r="AE77" i="12"/>
  <c r="AF77" i="12"/>
  <c r="S78" i="12"/>
  <c r="T78" i="12"/>
  <c r="U78" i="12"/>
  <c r="V78" i="12"/>
  <c r="W78" i="12"/>
  <c r="X78" i="12"/>
  <c r="Y78" i="12"/>
  <c r="AA78" i="12"/>
  <c r="AB78" i="12"/>
  <c r="AC78" i="12"/>
  <c r="AD78" i="12"/>
  <c r="AE78" i="12"/>
  <c r="AF78" i="12"/>
  <c r="S79" i="12"/>
  <c r="T79" i="12"/>
  <c r="U79" i="12"/>
  <c r="V79" i="12"/>
  <c r="W79" i="12"/>
  <c r="X79" i="12"/>
  <c r="Y79" i="12"/>
  <c r="AA79" i="12"/>
  <c r="AB79" i="12"/>
  <c r="AC79" i="12"/>
  <c r="AD79" i="12"/>
  <c r="AE79" i="12"/>
  <c r="AF79" i="12"/>
  <c r="S80" i="12"/>
  <c r="T80" i="12"/>
  <c r="U80" i="12"/>
  <c r="V80" i="12"/>
  <c r="W80" i="12"/>
  <c r="X80" i="12"/>
  <c r="Y80" i="12"/>
  <c r="AA80" i="12"/>
  <c r="AB80" i="12"/>
  <c r="AC80" i="12"/>
  <c r="AD80" i="12"/>
  <c r="AE80" i="12"/>
  <c r="AF80" i="12"/>
  <c r="S81" i="12"/>
  <c r="T81" i="12"/>
  <c r="U81" i="12"/>
  <c r="V81" i="12"/>
  <c r="W81" i="12"/>
  <c r="X81" i="12"/>
  <c r="Y81" i="12"/>
  <c r="AA81" i="12"/>
  <c r="AB81" i="12"/>
  <c r="AC81" i="12"/>
  <c r="AD81" i="12"/>
  <c r="AE81" i="12"/>
  <c r="AF81" i="12"/>
  <c r="S82" i="12"/>
  <c r="T82" i="12"/>
  <c r="U82" i="12"/>
  <c r="V82" i="12"/>
  <c r="W82" i="12"/>
  <c r="X82" i="12"/>
  <c r="Y82" i="12"/>
  <c r="AA82" i="12"/>
  <c r="AB82" i="12"/>
  <c r="AC82" i="12"/>
  <c r="AD82" i="12"/>
  <c r="AE82" i="12"/>
  <c r="AF82" i="12"/>
  <c r="S83" i="12"/>
  <c r="T83" i="12"/>
  <c r="U83" i="12"/>
  <c r="V83" i="12"/>
  <c r="W83" i="12"/>
  <c r="X83" i="12"/>
  <c r="Y83" i="12"/>
  <c r="AA83" i="12"/>
  <c r="AB83" i="12"/>
  <c r="AC83" i="12"/>
  <c r="AD83" i="12"/>
  <c r="AE83" i="12"/>
  <c r="AF83" i="12"/>
  <c r="S84" i="12"/>
  <c r="T84" i="12"/>
  <c r="U84" i="12"/>
  <c r="V84" i="12"/>
  <c r="W84" i="12"/>
  <c r="X84" i="12"/>
  <c r="Y84" i="12"/>
  <c r="AA84" i="12"/>
  <c r="AB84" i="12"/>
  <c r="AC84" i="12"/>
  <c r="AD84" i="12"/>
  <c r="AE84" i="12"/>
  <c r="AF84" i="12"/>
  <c r="S85" i="12"/>
  <c r="T85" i="12"/>
  <c r="U85" i="12"/>
  <c r="V85" i="12"/>
  <c r="W85" i="12"/>
  <c r="X85" i="12"/>
  <c r="Y85" i="12"/>
  <c r="AA85" i="12"/>
  <c r="AB85" i="12"/>
  <c r="AC85" i="12"/>
  <c r="AD85" i="12"/>
  <c r="AE85" i="12"/>
  <c r="AF85" i="12"/>
  <c r="S86" i="12"/>
  <c r="T86" i="12"/>
  <c r="U86" i="12"/>
  <c r="V86" i="12"/>
  <c r="W86" i="12"/>
  <c r="X86" i="12"/>
  <c r="Y86" i="12"/>
  <c r="AA86" i="12"/>
  <c r="AB86" i="12"/>
  <c r="AC86" i="12"/>
  <c r="AD86" i="12"/>
  <c r="AE86" i="12"/>
  <c r="AF86" i="12"/>
  <c r="S87" i="12"/>
  <c r="T87" i="12"/>
  <c r="U87" i="12"/>
  <c r="V87" i="12"/>
  <c r="W87" i="12"/>
  <c r="X87" i="12"/>
  <c r="Y87" i="12"/>
  <c r="AA87" i="12"/>
  <c r="AB87" i="12"/>
  <c r="AC87" i="12"/>
  <c r="AD87" i="12"/>
  <c r="AE87" i="12"/>
  <c r="AF87" i="12"/>
  <c r="S88" i="12"/>
  <c r="T88" i="12"/>
  <c r="U88" i="12"/>
  <c r="V88" i="12"/>
  <c r="W88" i="12"/>
  <c r="X88" i="12"/>
  <c r="Y88" i="12"/>
  <c r="AA88" i="12"/>
  <c r="AB88" i="12"/>
  <c r="AC88" i="12"/>
  <c r="AD88" i="12"/>
  <c r="AE88" i="12"/>
  <c r="AF88" i="12"/>
  <c r="S89" i="12"/>
  <c r="T89" i="12"/>
  <c r="U89" i="12"/>
  <c r="V89" i="12"/>
  <c r="W89" i="12"/>
  <c r="X89" i="12"/>
  <c r="Y89" i="12"/>
  <c r="AA89" i="12"/>
  <c r="AB89" i="12"/>
  <c r="AC89" i="12"/>
  <c r="AD89" i="12"/>
  <c r="AE89" i="12"/>
  <c r="AF89" i="12"/>
  <c r="S90" i="12"/>
  <c r="T90" i="12"/>
  <c r="U90" i="12"/>
  <c r="V90" i="12"/>
  <c r="W90" i="12"/>
  <c r="X90" i="12"/>
  <c r="Y90" i="12"/>
  <c r="AA90" i="12"/>
  <c r="AB90" i="12"/>
  <c r="AC90" i="12"/>
  <c r="AD90" i="12"/>
  <c r="AE90" i="12"/>
  <c r="AF90" i="12"/>
  <c r="S91" i="12"/>
  <c r="T91" i="12"/>
  <c r="U91" i="12"/>
  <c r="V91" i="12"/>
  <c r="W91" i="12"/>
  <c r="X91" i="12"/>
  <c r="Y91" i="12"/>
  <c r="AB91" i="12"/>
  <c r="AC91" i="12"/>
  <c r="AD91" i="12"/>
  <c r="AE91" i="12"/>
  <c r="AF91" i="12"/>
  <c r="R86" i="12"/>
  <c r="R77" i="12"/>
  <c r="R68" i="12"/>
  <c r="R91" i="12"/>
  <c r="R90" i="12"/>
  <c r="R89" i="12"/>
  <c r="R88" i="12"/>
  <c r="R87" i="12"/>
  <c r="R85" i="12"/>
  <c r="R84" i="12"/>
  <c r="K91" i="12"/>
  <c r="Z91" i="12" s="1"/>
  <c r="K90" i="12"/>
  <c r="Z90" i="12" s="1"/>
  <c r="K89" i="12"/>
  <c r="Z89" i="12" s="1"/>
  <c r="K88" i="12"/>
  <c r="Z88" i="12" s="1"/>
  <c r="K87" i="12"/>
  <c r="Z87" i="12" s="1"/>
  <c r="K86" i="12"/>
  <c r="Z86" i="12" s="1"/>
  <c r="K85" i="12"/>
  <c r="Z85" i="12" s="1"/>
  <c r="K84" i="12"/>
  <c r="Z84" i="12" s="1"/>
  <c r="K83" i="12"/>
  <c r="Z83" i="12" s="1"/>
  <c r="R82" i="12"/>
  <c r="R81" i="12"/>
  <c r="R78" i="12"/>
  <c r="R75" i="12"/>
  <c r="R73" i="12"/>
  <c r="R72" i="12"/>
  <c r="R69" i="12"/>
  <c r="R66" i="12"/>
  <c r="R80" i="12"/>
  <c r="R79" i="12"/>
  <c r="R76" i="12"/>
  <c r="R74" i="12"/>
  <c r="R65" i="12"/>
  <c r="K82" i="12"/>
  <c r="Z82" i="12" s="1"/>
  <c r="K81" i="12"/>
  <c r="Z81" i="12" s="1"/>
  <c r="K80" i="12"/>
  <c r="Z80" i="12" s="1"/>
  <c r="K79" i="12"/>
  <c r="Z79" i="12" s="1"/>
  <c r="K78" i="12"/>
  <c r="Z78" i="12" s="1"/>
  <c r="K77" i="12"/>
  <c r="Z77" i="12" s="1"/>
  <c r="K76" i="12"/>
  <c r="Z76" i="12" s="1"/>
  <c r="K75" i="12"/>
  <c r="Z75" i="12" s="1"/>
  <c r="K74" i="12"/>
  <c r="Z74" i="12" s="1"/>
  <c r="R70" i="12"/>
  <c r="R67" i="12"/>
  <c r="R71" i="12"/>
  <c r="K73" i="12"/>
  <c r="Z73" i="12" s="1"/>
  <c r="K72" i="12"/>
  <c r="Z72" i="12" s="1"/>
  <c r="K71" i="12"/>
  <c r="Z71" i="12" s="1"/>
  <c r="K70" i="12"/>
  <c r="Z70" i="12" s="1"/>
  <c r="K69" i="12"/>
  <c r="Z69" i="12" s="1"/>
  <c r="K68" i="12"/>
  <c r="Z68" i="12" s="1"/>
  <c r="K67" i="12"/>
  <c r="Z67" i="12" s="1"/>
  <c r="K66" i="12"/>
  <c r="Z66" i="12" s="1"/>
  <c r="R64" i="12"/>
  <c r="R63" i="12"/>
  <c r="R62" i="12"/>
  <c r="R61" i="12"/>
  <c r="R60" i="12"/>
  <c r="R59" i="12"/>
  <c r="R58" i="12"/>
  <c r="R57" i="12"/>
  <c r="S64" i="12"/>
  <c r="S63" i="12"/>
  <c r="S62" i="12"/>
  <c r="S61" i="12"/>
  <c r="S60" i="12"/>
  <c r="S59" i="12"/>
  <c r="S58" i="12"/>
  <c r="S57" i="12"/>
  <c r="K65" i="12"/>
  <c r="Z65" i="12" s="1"/>
  <c r="AF64" i="12"/>
  <c r="AE64" i="12"/>
  <c r="AD64" i="12"/>
  <c r="AC64" i="12"/>
  <c r="AB64" i="12"/>
  <c r="AA64" i="12"/>
  <c r="Y64" i="12"/>
  <c r="X64" i="12"/>
  <c r="W64" i="12"/>
  <c r="V64" i="12"/>
  <c r="U64" i="12"/>
  <c r="T64" i="12"/>
  <c r="AF63" i="12"/>
  <c r="AE63" i="12"/>
  <c r="AD63" i="12"/>
  <c r="AC63" i="12"/>
  <c r="AB63" i="12"/>
  <c r="AA63" i="12"/>
  <c r="Y63" i="12"/>
  <c r="X63" i="12"/>
  <c r="W63" i="12"/>
  <c r="V63" i="12"/>
  <c r="U63" i="12"/>
  <c r="T63" i="12"/>
  <c r="AF62" i="12"/>
  <c r="AE62" i="12"/>
  <c r="AD62" i="12"/>
  <c r="AC62" i="12"/>
  <c r="AB62" i="12"/>
  <c r="AA62" i="12"/>
  <c r="Y62" i="12"/>
  <c r="X62" i="12"/>
  <c r="W62" i="12"/>
  <c r="V62" i="12"/>
  <c r="U62" i="12"/>
  <c r="T62" i="12"/>
  <c r="AF61" i="12"/>
  <c r="AE61" i="12"/>
  <c r="AD61" i="12"/>
  <c r="AC61" i="12"/>
  <c r="AB61" i="12"/>
  <c r="AA61" i="12"/>
  <c r="Y61" i="12"/>
  <c r="X61" i="12"/>
  <c r="W61" i="12"/>
  <c r="V61" i="12"/>
  <c r="U61" i="12"/>
  <c r="T61" i="12"/>
  <c r="AF60" i="12"/>
  <c r="AE60" i="12"/>
  <c r="AD60" i="12"/>
  <c r="AC60" i="12"/>
  <c r="AB60" i="12"/>
  <c r="AA60" i="12"/>
  <c r="Y60" i="12"/>
  <c r="X60" i="12"/>
  <c r="W60" i="12"/>
  <c r="V60" i="12"/>
  <c r="U60" i="12"/>
  <c r="T60" i="12"/>
  <c r="AF59" i="12"/>
  <c r="AE59" i="12"/>
  <c r="AD59" i="12"/>
  <c r="AC59" i="12"/>
  <c r="AB59" i="12"/>
  <c r="AA59" i="12"/>
  <c r="Y59" i="12"/>
  <c r="X59" i="12"/>
  <c r="W59" i="12"/>
  <c r="V59" i="12"/>
  <c r="U59" i="12"/>
  <c r="T59" i="12"/>
  <c r="AF58" i="12"/>
  <c r="AE58" i="12"/>
  <c r="AD58" i="12"/>
  <c r="AC58" i="12"/>
  <c r="AB58" i="12"/>
  <c r="AA58" i="12"/>
  <c r="Y58" i="12"/>
  <c r="X58" i="12"/>
  <c r="W58" i="12"/>
  <c r="V58" i="12"/>
  <c r="U58" i="12"/>
  <c r="T58" i="12"/>
  <c r="AF57" i="12"/>
  <c r="AE57" i="12"/>
  <c r="AD57" i="12"/>
  <c r="AC57" i="12"/>
  <c r="AB57" i="12"/>
  <c r="AA57" i="12"/>
  <c r="Y57" i="12"/>
  <c r="V57" i="12"/>
  <c r="U57" i="12"/>
  <c r="T57" i="12"/>
  <c r="AF56" i="12"/>
  <c r="AE56" i="12"/>
  <c r="AD56" i="12"/>
  <c r="AC56" i="12"/>
  <c r="AB56" i="12"/>
  <c r="AA56" i="12"/>
  <c r="Y56" i="12"/>
  <c r="X56" i="12"/>
  <c r="V56" i="12"/>
  <c r="U56" i="12"/>
  <c r="T56" i="12"/>
  <c r="S56" i="12"/>
  <c r="B43" i="19"/>
  <c r="D43" i="19"/>
  <c r="C43" i="19"/>
  <c r="AG61" i="12"/>
  <c r="AG64" i="12"/>
  <c r="AG63" i="12"/>
  <c r="AG62" i="12"/>
  <c r="AG60" i="12"/>
  <c r="AG59" i="12"/>
  <c r="AG58" i="12"/>
  <c r="AG57" i="12"/>
  <c r="K56" i="12"/>
  <c r="Z62" i="12" s="1"/>
  <c r="B44" i="19"/>
  <c r="C44" i="19"/>
  <c r="D44" i="19"/>
  <c r="AH62" i="12" a="1"/>
  <c r="Z57" i="12"/>
  <c r="AH61" i="12" a="1"/>
  <c r="AH59" i="12" a="1"/>
  <c r="Z60" i="12"/>
  <c r="AH58" i="12" a="1"/>
  <c r="AH64" i="12" a="1"/>
  <c r="Z63" i="12"/>
  <c r="AH57" i="12" a="1"/>
  <c r="Z58" i="12"/>
  <c r="AH63" i="12" a="1"/>
  <c r="AH56" i="12" a="1"/>
  <c r="AH60" i="12" a="1"/>
  <c r="Z61" i="12"/>
  <c r="Z64" i="12"/>
  <c r="Z56" i="12"/>
  <c r="Z59" i="12"/>
  <c r="S22" i="11"/>
  <c r="U22" i="11"/>
  <c r="V22" i="11"/>
  <c r="W22" i="11"/>
  <c r="X22" i="11"/>
  <c r="Y22" i="11"/>
  <c r="AA22" i="11"/>
  <c r="AB22" i="11"/>
  <c r="AC22" i="11"/>
  <c r="AD22" i="11"/>
  <c r="AE22" i="11"/>
  <c r="AF22" i="11"/>
  <c r="R22" i="11"/>
  <c r="K22" i="11"/>
  <c r="AH22" i="11" a="1"/>
  <c r="S24" i="11"/>
  <c r="T24" i="11"/>
  <c r="U24" i="11"/>
  <c r="V24" i="11"/>
  <c r="W24" i="11"/>
  <c r="X24" i="11"/>
  <c r="Y24" i="11"/>
  <c r="AA24" i="11"/>
  <c r="AB24" i="11"/>
  <c r="AC24" i="11"/>
  <c r="AD24" i="11"/>
  <c r="AE24" i="11"/>
  <c r="AF24" i="11"/>
  <c r="R24" i="11"/>
  <c r="K24" i="11"/>
  <c r="AH24" i="11" a="1"/>
  <c r="S52" i="11"/>
  <c r="T52" i="11"/>
  <c r="U52" i="11"/>
  <c r="V52" i="11"/>
  <c r="W52" i="11"/>
  <c r="X52" i="11"/>
  <c r="Y52" i="11"/>
  <c r="AA52" i="11"/>
  <c r="AB52" i="11"/>
  <c r="AC52" i="11"/>
  <c r="AD52" i="11"/>
  <c r="AE52" i="11"/>
  <c r="AF52" i="11"/>
  <c r="R52" i="11"/>
  <c r="K52" i="11"/>
  <c r="Z52" i="11"/>
  <c r="S49" i="11"/>
  <c r="T49" i="11"/>
  <c r="U49" i="11"/>
  <c r="V49" i="11"/>
  <c r="W49" i="11"/>
  <c r="X49" i="11"/>
  <c r="Y49" i="11"/>
  <c r="AA49" i="11"/>
  <c r="AB49" i="11"/>
  <c r="AC49" i="11"/>
  <c r="AD49" i="11"/>
  <c r="AE49" i="11"/>
  <c r="AF49" i="11"/>
  <c r="R49" i="11"/>
  <c r="K49" i="11"/>
  <c r="Z49" i="11"/>
  <c r="V34" i="11"/>
  <c r="R34" i="11"/>
  <c r="AH34" i="11" a="1"/>
  <c r="AI34" i="11" s="1"/>
  <c r="AA34" i="11"/>
  <c r="AB34" i="11"/>
  <c r="AC34" i="11"/>
  <c r="AD34" i="11"/>
  <c r="AE34" i="11"/>
  <c r="AF34" i="11"/>
  <c r="Y34" i="11"/>
  <c r="X34" i="11"/>
  <c r="W34" i="11"/>
  <c r="U34" i="11"/>
  <c r="T34" i="11"/>
  <c r="S34" i="11"/>
  <c r="K34" i="11"/>
  <c r="AK34" i="11" a="1"/>
  <c r="AK34" i="11" s="1"/>
  <c r="AH16" i="11" a="1"/>
  <c r="AH16" i="11" s="1"/>
  <c r="Y16" i="11"/>
  <c r="AA16" i="11"/>
  <c r="AB16" i="11"/>
  <c r="AC16" i="11"/>
  <c r="AD16" i="11"/>
  <c r="AE16" i="11"/>
  <c r="AF16" i="11"/>
  <c r="X16" i="11"/>
  <c r="W16" i="11"/>
  <c r="V16" i="11"/>
  <c r="U16" i="11"/>
  <c r="T16" i="11"/>
  <c r="K16" i="11"/>
  <c r="Z16" i="11"/>
  <c r="V25" i="11"/>
  <c r="U25" i="11"/>
  <c r="R25" i="11"/>
  <c r="AH25" i="11" a="1"/>
  <c r="AH25" i="11" s="1"/>
  <c r="AA25" i="11"/>
  <c r="AB25" i="11"/>
  <c r="AC25" i="11"/>
  <c r="AD25" i="11"/>
  <c r="AE25" i="11"/>
  <c r="AF25" i="11"/>
  <c r="Y25" i="11"/>
  <c r="X25" i="11"/>
  <c r="W25" i="11"/>
  <c r="R20" i="11"/>
  <c r="T25" i="11"/>
  <c r="S25" i="11"/>
  <c r="K25" i="11"/>
  <c r="AK25" i="11" a="1"/>
  <c r="AH37" i="11" a="1"/>
  <c r="AF37" i="11"/>
  <c r="AE37" i="11"/>
  <c r="AD37" i="11"/>
  <c r="AC37" i="11"/>
  <c r="AB37" i="11"/>
  <c r="AA37" i="11"/>
  <c r="Y37" i="11"/>
  <c r="X37" i="11"/>
  <c r="W37" i="11"/>
  <c r="V37" i="11"/>
  <c r="U37" i="11"/>
  <c r="T37" i="11"/>
  <c r="S37" i="11"/>
  <c r="R37" i="11"/>
  <c r="K37" i="11"/>
  <c r="Z37" i="11"/>
  <c r="X20" i="11"/>
  <c r="AH20" i="11" a="1"/>
  <c r="AJ20" i="11" s="1"/>
  <c r="AA20" i="11"/>
  <c r="AB20" i="11"/>
  <c r="AC20" i="11"/>
  <c r="AD20" i="11"/>
  <c r="AE20" i="11"/>
  <c r="AF20" i="11"/>
  <c r="Y20" i="11"/>
  <c r="S20" i="11"/>
  <c r="V20" i="11"/>
  <c r="K20" i="11"/>
  <c r="AK20" i="11" a="1"/>
  <c r="AK20" i="11" s="1"/>
  <c r="B45" i="19"/>
  <c r="C45" i="19"/>
  <c r="D45" i="19"/>
  <c r="Z34" i="11"/>
  <c r="AH20" i="11"/>
  <c r="AJ34" i="11"/>
  <c r="AI25" i="11"/>
  <c r="AI20" i="11"/>
  <c r="AJ25" i="11"/>
  <c r="AK37" i="11" a="1"/>
  <c r="AQ37" i="11" s="1"/>
  <c r="AH49" i="11" a="1"/>
  <c r="AH49" i="11" s="1"/>
  <c r="AK24" i="11"/>
  <c r="AS24" i="11"/>
  <c r="AL24" i="11"/>
  <c r="AT24" i="11"/>
  <c r="AM24" i="11"/>
  <c r="AU24" i="11"/>
  <c r="AN24" i="11"/>
  <c r="AV24" i="11"/>
  <c r="AO24" i="11"/>
  <c r="AW24" i="11"/>
  <c r="AH24" i="11"/>
  <c r="AP24" i="11"/>
  <c r="AI24" i="11"/>
  <c r="AQ24" i="11"/>
  <c r="AJ24" i="11"/>
  <c r="AR24" i="11"/>
  <c r="AM22" i="11"/>
  <c r="AU22" i="11"/>
  <c r="AN22" i="11"/>
  <c r="AV22" i="11"/>
  <c r="AO22" i="11"/>
  <c r="AW22" i="11"/>
  <c r="AH22" i="11"/>
  <c r="AP22" i="11"/>
  <c r="AI22" i="11"/>
  <c r="AQ22" i="11"/>
  <c r="AJ22" i="11"/>
  <c r="AR22" i="11"/>
  <c r="AK22" i="11"/>
  <c r="AS22" i="11"/>
  <c r="AL22" i="11"/>
  <c r="AT22" i="11"/>
  <c r="AH34" i="11"/>
  <c r="AH52" i="11" a="1"/>
  <c r="Z20" i="11"/>
  <c r="Z24" i="11"/>
  <c r="Z25" i="11"/>
  <c r="Z22" i="11"/>
  <c r="AK16" i="11" a="1"/>
  <c r="AW16" i="11" s="1"/>
  <c r="W9" i="8"/>
  <c r="X9" i="8"/>
  <c r="Y9" i="8"/>
  <c r="AA9" i="8"/>
  <c r="AB9" i="8"/>
  <c r="AC9" i="8"/>
  <c r="AD9" i="8"/>
  <c r="AE9" i="8"/>
  <c r="S9" i="8"/>
  <c r="T9" i="8"/>
  <c r="U9" i="8"/>
  <c r="V9" i="8"/>
  <c r="R9" i="8"/>
  <c r="K9" i="8"/>
  <c r="AH13" i="3" a="1"/>
  <c r="AH13" i="3"/>
  <c r="AQ8" i="8" a="1"/>
  <c r="AQ8" i="8" s="1"/>
  <c r="AT8" i="8" a="1"/>
  <c r="AT8" i="8" s="1"/>
  <c r="AL8" i="8" a="1"/>
  <c r="AJ8" i="8" a="1"/>
  <c r="AH8" i="8" a="1"/>
  <c r="AG75" i="3"/>
  <c r="AB8" i="8"/>
  <c r="T8" i="8"/>
  <c r="X8" i="8"/>
  <c r="W8" i="8"/>
  <c r="S8" i="8"/>
  <c r="U8" i="8"/>
  <c r="V8" i="8"/>
  <c r="Y8" i="8"/>
  <c r="AA8" i="8"/>
  <c r="AC8" i="8"/>
  <c r="AD8" i="8"/>
  <c r="AE8" i="8"/>
  <c r="AF8" i="8"/>
  <c r="R8" i="8"/>
  <c r="K8" i="8"/>
  <c r="AN8" i="8" s="1" a="1"/>
  <c r="Z8" i="8"/>
  <c r="AB4" i="5"/>
  <c r="W4" i="5"/>
  <c r="AN4" i="5" a="1"/>
  <c r="AS4" i="5"/>
  <c r="AH4" i="5" a="1"/>
  <c r="AK4" i="5"/>
  <c r="AF4" i="5"/>
  <c r="AE4" i="5"/>
  <c r="AD4" i="5"/>
  <c r="AC4" i="5"/>
  <c r="AA4" i="5"/>
  <c r="Z4" i="5"/>
  <c r="Y4" i="5"/>
  <c r="X4" i="5"/>
  <c r="U4" i="5"/>
  <c r="R4" i="5"/>
  <c r="AG62" i="5"/>
  <c r="AG66" i="5"/>
  <c r="AN66" i="5" a="1"/>
  <c r="AQ66" i="5"/>
  <c r="AH66" i="5" a="1"/>
  <c r="AH66" i="5"/>
  <c r="AF66" i="5"/>
  <c r="AE66" i="5"/>
  <c r="AD66" i="5"/>
  <c r="AC66" i="5"/>
  <c r="AB66" i="5"/>
  <c r="AA66" i="5"/>
  <c r="Z66" i="5"/>
  <c r="Y66" i="5"/>
  <c r="X66" i="5"/>
  <c r="W66" i="5"/>
  <c r="V66" i="5"/>
  <c r="R66" i="5"/>
  <c r="AN62" i="5" a="1"/>
  <c r="AP62" i="5"/>
  <c r="AH62" i="5" a="1"/>
  <c r="AH62" i="5"/>
  <c r="AA62" i="5"/>
  <c r="AB62" i="5"/>
  <c r="AC62" i="5"/>
  <c r="AD62" i="5"/>
  <c r="AE62" i="5"/>
  <c r="AF62" i="5"/>
  <c r="Z62" i="5"/>
  <c r="X62" i="5"/>
  <c r="W62" i="5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AM45" i="3" a="1"/>
  <c r="AO45" i="3"/>
  <c r="AH45" i="3" a="1"/>
  <c r="AL45" i="3"/>
  <c r="W45" i="3"/>
  <c r="U45" i="3"/>
  <c r="T45" i="3"/>
  <c r="T31" i="3"/>
  <c r="U36" i="3"/>
  <c r="T36" i="3"/>
  <c r="S36" i="3"/>
  <c r="R36" i="3"/>
  <c r="X45" i="3"/>
  <c r="AA45" i="3"/>
  <c r="AB45" i="3"/>
  <c r="AC45" i="3"/>
  <c r="AD45" i="3"/>
  <c r="AE45" i="3"/>
  <c r="AF45" i="3"/>
  <c r="Z45" i="3"/>
  <c r="V45" i="3"/>
  <c r="S45" i="3"/>
  <c r="X31" i="3"/>
  <c r="W31" i="3"/>
  <c r="V31" i="3"/>
  <c r="V30" i="3"/>
  <c r="U31" i="3"/>
  <c r="AH31" i="3" a="1"/>
  <c r="AL31" i="3"/>
  <c r="Y31" i="3"/>
  <c r="Z31" i="3"/>
  <c r="AA31" i="3"/>
  <c r="AB31" i="3"/>
  <c r="AC31" i="3"/>
  <c r="AD31" i="3"/>
  <c r="AE31" i="3"/>
  <c r="AF31" i="3"/>
  <c r="AH30" i="3" a="1"/>
  <c r="AI30" i="3"/>
  <c r="S30" i="3"/>
  <c r="T30" i="3"/>
  <c r="U30" i="3"/>
  <c r="W30" i="3"/>
  <c r="X30" i="3"/>
  <c r="Y30" i="3"/>
  <c r="Z30" i="3"/>
  <c r="AA30" i="3"/>
  <c r="AB30" i="3"/>
  <c r="AC30" i="3"/>
  <c r="AD30" i="3"/>
  <c r="AE30" i="3"/>
  <c r="AF30" i="3"/>
  <c r="R30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H82" i="3" a="1"/>
  <c r="AI82" i="3"/>
  <c r="S17" i="3"/>
  <c r="AH63" i="3" a="1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R63" i="3"/>
  <c r="AH62" i="3" a="1"/>
  <c r="AH62" i="3" s="1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R62" i="3"/>
  <c r="Y70" i="3"/>
  <c r="W70" i="3"/>
  <c r="X70" i="3"/>
  <c r="R70" i="3"/>
  <c r="S70" i="3"/>
  <c r="T70" i="3"/>
  <c r="U70" i="3"/>
  <c r="V70" i="3"/>
  <c r="Z70" i="3"/>
  <c r="AA70" i="3"/>
  <c r="AB70" i="3"/>
  <c r="AC70" i="3"/>
  <c r="AD70" i="3"/>
  <c r="AE70" i="3"/>
  <c r="AF70" i="3"/>
  <c r="AH70" i="3" a="1"/>
  <c r="AI70" i="3"/>
  <c r="Y58" i="3"/>
  <c r="W58" i="3"/>
  <c r="T58" i="3"/>
  <c r="U58" i="3"/>
  <c r="V58" i="3"/>
  <c r="X58" i="3"/>
  <c r="Z58" i="3"/>
  <c r="AA58" i="3"/>
  <c r="AB58" i="3"/>
  <c r="AC58" i="3"/>
  <c r="AD58" i="3"/>
  <c r="AE58" i="3"/>
  <c r="AF58" i="3"/>
  <c r="S58" i="3"/>
  <c r="R58" i="3"/>
  <c r="X59" i="3"/>
  <c r="AH58" i="3" a="1"/>
  <c r="AH9" i="3" a="1"/>
  <c r="AH9" i="3" s="1"/>
  <c r="W9" i="3"/>
  <c r="R9" i="3"/>
  <c r="S9" i="3"/>
  <c r="T9" i="3"/>
  <c r="U9" i="3"/>
  <c r="V9" i="3"/>
  <c r="Y9" i="3"/>
  <c r="Z9" i="3"/>
  <c r="AA9" i="3"/>
  <c r="AB9" i="3"/>
  <c r="AC9" i="3"/>
  <c r="AD9" i="3"/>
  <c r="AE9" i="3"/>
  <c r="AF9" i="3"/>
  <c r="X9" i="3"/>
  <c r="AH61" i="3" a="1"/>
  <c r="S61" i="3"/>
  <c r="T61" i="3"/>
  <c r="T60" i="3"/>
  <c r="U60" i="3"/>
  <c r="AH60" i="3" a="1"/>
  <c r="R61" i="3"/>
  <c r="V61" i="3"/>
  <c r="V60" i="3"/>
  <c r="V59" i="3"/>
  <c r="R60" i="3"/>
  <c r="S60" i="3"/>
  <c r="W60" i="3"/>
  <c r="X60" i="3"/>
  <c r="Y60" i="3"/>
  <c r="Z60" i="3"/>
  <c r="AA60" i="3"/>
  <c r="AB60" i="3"/>
  <c r="AC60" i="3"/>
  <c r="AD60" i="3"/>
  <c r="AE60" i="3"/>
  <c r="AF60" i="3"/>
  <c r="U61" i="3"/>
  <c r="W61" i="3"/>
  <c r="X61" i="3"/>
  <c r="Y61" i="3"/>
  <c r="Z61" i="3"/>
  <c r="AA61" i="3"/>
  <c r="AB61" i="3"/>
  <c r="AC61" i="3"/>
  <c r="AD61" i="3"/>
  <c r="AE61" i="3"/>
  <c r="AF61" i="3"/>
  <c r="AH59" i="3" a="1"/>
  <c r="AH59" i="3" s="1"/>
  <c r="T59" i="3"/>
  <c r="Z59" i="3"/>
  <c r="AA59" i="3"/>
  <c r="AB59" i="3"/>
  <c r="AC59" i="3"/>
  <c r="AD59" i="3"/>
  <c r="AE59" i="3"/>
  <c r="AF59" i="3"/>
  <c r="Y59" i="3"/>
  <c r="W59" i="3"/>
  <c r="U59" i="3"/>
  <c r="S59" i="3"/>
  <c r="X66" i="3"/>
  <c r="S66" i="3"/>
  <c r="T66" i="3"/>
  <c r="U66" i="3"/>
  <c r="V66" i="3"/>
  <c r="W66" i="3"/>
  <c r="Y66" i="3"/>
  <c r="AA66" i="3"/>
  <c r="AB66" i="3"/>
  <c r="AC66" i="3"/>
  <c r="AD66" i="3"/>
  <c r="AE66" i="3"/>
  <c r="AF66" i="3"/>
  <c r="R66" i="3"/>
  <c r="K66" i="3"/>
  <c r="AH66" i="3" s="1" a="1"/>
  <c r="Z66" i="3"/>
  <c r="X57" i="3"/>
  <c r="Y57" i="3"/>
  <c r="W57" i="3"/>
  <c r="U57" i="3"/>
  <c r="V57" i="3"/>
  <c r="R57" i="3"/>
  <c r="T57" i="3"/>
  <c r="S57" i="3"/>
  <c r="AF57" i="3"/>
  <c r="AA72" i="3"/>
  <c r="AE57" i="3"/>
  <c r="AD57" i="3"/>
  <c r="W55" i="3"/>
  <c r="V16" i="3"/>
  <c r="AF36" i="3"/>
  <c r="AE36" i="3"/>
  <c r="AD36" i="3"/>
  <c r="AC36" i="3"/>
  <c r="AB36" i="3"/>
  <c r="AA36" i="3"/>
  <c r="Z36" i="3"/>
  <c r="Y36" i="3"/>
  <c r="X36" i="3"/>
  <c r="W36" i="3"/>
  <c r="V36" i="3"/>
  <c r="AH48" i="3" a="1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R48" i="3"/>
  <c r="AH28" i="3" a="1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R28" i="3"/>
  <c r="Y72" i="3"/>
  <c r="U72" i="3"/>
  <c r="T72" i="3"/>
  <c r="S72" i="3"/>
  <c r="Y3" i="3"/>
  <c r="Y4" i="3"/>
  <c r="Y5" i="3"/>
  <c r="Y6" i="3"/>
  <c r="Y7" i="3"/>
  <c r="Y10" i="3"/>
  <c r="Y11" i="3"/>
  <c r="Y12" i="3"/>
  <c r="Y13" i="3"/>
  <c r="Y14" i="3"/>
  <c r="Y16" i="3"/>
  <c r="Y17" i="3"/>
  <c r="Y20" i="3"/>
  <c r="Y21" i="3"/>
  <c r="Y22" i="3"/>
  <c r="Y23" i="3"/>
  <c r="Y24" i="3"/>
  <c r="Y25" i="3"/>
  <c r="Y26" i="3"/>
  <c r="Y27" i="3"/>
  <c r="Y29" i="3"/>
  <c r="Y32" i="3"/>
  <c r="Y35" i="3"/>
  <c r="Y38" i="3"/>
  <c r="Y39" i="3"/>
  <c r="Y40" i="3"/>
  <c r="Y44" i="3"/>
  <c r="Y51" i="3"/>
  <c r="Y54" i="3"/>
  <c r="Y67" i="3"/>
  <c r="Y68" i="3"/>
  <c r="Y69" i="3"/>
  <c r="Y75" i="3"/>
  <c r="Y80" i="3"/>
  <c r="Y81" i="3"/>
  <c r="AH81" i="3" a="1"/>
  <c r="AH80" i="3" a="1"/>
  <c r="AH75" i="3" a="1"/>
  <c r="AM75" i="3"/>
  <c r="AN72" i="3" a="1"/>
  <c r="AR72" i="3"/>
  <c r="AH69" i="3" a="1"/>
  <c r="AH68" i="3" a="1"/>
  <c r="AH67" i="3" a="1"/>
  <c r="AH54" i="3" a="1"/>
  <c r="AH51" i="3" a="1"/>
  <c r="AH50" i="3" a="1"/>
  <c r="AN50" i="3"/>
  <c r="AH44" i="3" a="1"/>
  <c r="AH40" i="3" a="1"/>
  <c r="AI40" i="3" s="1"/>
  <c r="AH39" i="3" a="1"/>
  <c r="AH38" i="3" a="1"/>
  <c r="AU38" i="3"/>
  <c r="AH35" i="3" a="1"/>
  <c r="AH35" i="3"/>
  <c r="AH33" i="3" a="1"/>
  <c r="AH32" i="3" a="1"/>
  <c r="AH29" i="3" a="1"/>
  <c r="AH27" i="3" a="1"/>
  <c r="AH26" i="3" a="1"/>
  <c r="AH25" i="3" a="1"/>
  <c r="AH24" i="3" a="1"/>
  <c r="AH23" i="3" a="1"/>
  <c r="AH22" i="3" a="1"/>
  <c r="AH21" i="3" a="1"/>
  <c r="AH20" i="3" a="1"/>
  <c r="AL20" i="3"/>
  <c r="AH17" i="3" a="1"/>
  <c r="AH16" i="3" a="1"/>
  <c r="AH14" i="3" a="1"/>
  <c r="AH12" i="3" a="1"/>
  <c r="AH11" i="3" a="1"/>
  <c r="AH10" i="3" a="1"/>
  <c r="AW10" i="3" s="1"/>
  <c r="AH7" i="3" a="1"/>
  <c r="AN7" i="3" s="1"/>
  <c r="AH6" i="3" a="1"/>
  <c r="AU6" i="3" s="1"/>
  <c r="AH5" i="3" a="1"/>
  <c r="AV5" i="3" s="1"/>
  <c r="AH4" i="3" a="1"/>
  <c r="V26" i="3"/>
  <c r="S26" i="3"/>
  <c r="T26" i="3"/>
  <c r="W26" i="3"/>
  <c r="AF26" i="3"/>
  <c r="X26" i="3"/>
  <c r="Z26" i="3"/>
  <c r="AA26" i="3"/>
  <c r="AB26" i="3"/>
  <c r="AC26" i="3"/>
  <c r="AD26" i="3"/>
  <c r="AE26" i="3"/>
  <c r="U26" i="3"/>
  <c r="R26" i="3"/>
  <c r="X44" i="3"/>
  <c r="B7" i="1"/>
  <c r="B9" i="1"/>
  <c r="C9" i="1"/>
  <c r="Y33" i="3"/>
  <c r="F9" i="1"/>
  <c r="E9" i="1" s="1"/>
  <c r="AH6" i="3"/>
  <c r="B46" i="19"/>
  <c r="C46" i="19"/>
  <c r="D46" i="19"/>
  <c r="AL6" i="3"/>
  <c r="AK5" i="3"/>
  <c r="AM10" i="3"/>
  <c r="AL5" i="3"/>
  <c r="AI10" i="3"/>
  <c r="AP6" i="3"/>
  <c r="AW6" i="3"/>
  <c r="AO6" i="3"/>
  <c r="AN6" i="3"/>
  <c r="AM5" i="3"/>
  <c r="AM6" i="3"/>
  <c r="AV6" i="3"/>
  <c r="AV7" i="3"/>
  <c r="AW5" i="3"/>
  <c r="AH7" i="3"/>
  <c r="AU7" i="3"/>
  <c r="AQ7" i="3"/>
  <c r="AH10" i="3"/>
  <c r="AJ10" i="3"/>
  <c r="AS10" i="3"/>
  <c r="AK10" i="3"/>
  <c r="AT10" i="3"/>
  <c r="AL10" i="3"/>
  <c r="AU10" i="3"/>
  <c r="AH5" i="3"/>
  <c r="AP5" i="3"/>
  <c r="AI5" i="3"/>
  <c r="AQ5" i="3"/>
  <c r="AJ5" i="3"/>
  <c r="AR5" i="3"/>
  <c r="AJ7" i="3"/>
  <c r="AR7" i="3"/>
  <c r="AK7" i="3"/>
  <c r="AS7" i="3"/>
  <c r="AL7" i="3"/>
  <c r="AT7" i="3"/>
  <c r="AV10" i="3"/>
  <c r="AT5" i="3"/>
  <c r="AO7" i="3"/>
  <c r="AR10" i="3"/>
  <c r="AO5" i="3"/>
  <c r="AU5" i="3"/>
  <c r="AP7" i="3"/>
  <c r="AS5" i="3"/>
  <c r="AQ10" i="3"/>
  <c r="AI6" i="3"/>
  <c r="AQ6" i="3"/>
  <c r="AJ6" i="3"/>
  <c r="AR6" i="3"/>
  <c r="AK6" i="3"/>
  <c r="AS6" i="3"/>
  <c r="AM7" i="3"/>
  <c r="AO10" i="3"/>
  <c r="AN5" i="3"/>
  <c r="AT6" i="3"/>
  <c r="AW7" i="3"/>
  <c r="AI7" i="3"/>
  <c r="AN10" i="3"/>
  <c r="AP10" i="3"/>
  <c r="D7" i="1"/>
  <c r="C7" i="1"/>
  <c r="E10" i="1"/>
  <c r="H7" i="1"/>
  <c r="G7" i="1"/>
  <c r="E7" i="1"/>
  <c r="T39" i="3"/>
  <c r="V39" i="3"/>
  <c r="S39" i="3"/>
  <c r="U39" i="3"/>
  <c r="W39" i="3"/>
  <c r="X39" i="3"/>
  <c r="Z39" i="3"/>
  <c r="AA39" i="3"/>
  <c r="AB39" i="3"/>
  <c r="AC39" i="3"/>
  <c r="AD39" i="3"/>
  <c r="AE39" i="3"/>
  <c r="AF39" i="3"/>
  <c r="R39" i="3"/>
  <c r="S40" i="3"/>
  <c r="T40" i="3"/>
  <c r="U40" i="3"/>
  <c r="V40" i="3"/>
  <c r="W40" i="3"/>
  <c r="X40" i="3"/>
  <c r="Z40" i="3"/>
  <c r="AA40" i="3"/>
  <c r="AB40" i="3"/>
  <c r="AC40" i="3"/>
  <c r="AD40" i="3"/>
  <c r="AE40" i="3"/>
  <c r="AF40" i="3"/>
  <c r="R40" i="3"/>
  <c r="W25" i="3"/>
  <c r="S25" i="3"/>
  <c r="T25" i="3"/>
  <c r="U25" i="3"/>
  <c r="V25" i="3"/>
  <c r="X25" i="3"/>
  <c r="Z25" i="3"/>
  <c r="AA25" i="3"/>
  <c r="AB25" i="3"/>
  <c r="AC25" i="3"/>
  <c r="AD25" i="3"/>
  <c r="AE25" i="3"/>
  <c r="AF25" i="3"/>
  <c r="R25" i="3"/>
  <c r="S24" i="3"/>
  <c r="T24" i="3"/>
  <c r="U24" i="3"/>
  <c r="V24" i="3"/>
  <c r="W24" i="3"/>
  <c r="X24" i="3"/>
  <c r="Z24" i="3"/>
  <c r="AA24" i="3"/>
  <c r="AB24" i="3"/>
  <c r="AC24" i="3"/>
  <c r="AD24" i="3"/>
  <c r="AE24" i="3"/>
  <c r="AF24" i="3"/>
  <c r="R24" i="3"/>
  <c r="W22" i="3"/>
  <c r="S22" i="3"/>
  <c r="T22" i="3"/>
  <c r="U22" i="3"/>
  <c r="V22" i="3"/>
  <c r="X22" i="3"/>
  <c r="Z22" i="3"/>
  <c r="AA22" i="3"/>
  <c r="AB22" i="3"/>
  <c r="AC22" i="3"/>
  <c r="AD22" i="3"/>
  <c r="AE22" i="3"/>
  <c r="AF22" i="3"/>
  <c r="S23" i="3"/>
  <c r="T23" i="3"/>
  <c r="U23" i="3"/>
  <c r="V23" i="3"/>
  <c r="W23" i="3"/>
  <c r="X23" i="3"/>
  <c r="Z23" i="3"/>
  <c r="AA23" i="3"/>
  <c r="AB23" i="3"/>
  <c r="AC23" i="3"/>
  <c r="AD23" i="3"/>
  <c r="AE23" i="3"/>
  <c r="AF23" i="3"/>
  <c r="R23" i="3"/>
  <c r="R22" i="3"/>
  <c r="AA32" i="3"/>
  <c r="AB32" i="3"/>
  <c r="AC32" i="3"/>
  <c r="AD32" i="3"/>
  <c r="AE32" i="3"/>
  <c r="AF32" i="3"/>
  <c r="Z32" i="3"/>
  <c r="X32" i="3"/>
  <c r="W32" i="3"/>
  <c r="V32" i="3"/>
  <c r="U32" i="3"/>
  <c r="T32" i="3"/>
  <c r="S32" i="3"/>
  <c r="R32" i="3"/>
  <c r="X17" i="3"/>
  <c r="Z17" i="3"/>
  <c r="AA17" i="3"/>
  <c r="AB17" i="3"/>
  <c r="AC17" i="3"/>
  <c r="AD17" i="3"/>
  <c r="AE17" i="3"/>
  <c r="AF17" i="3"/>
  <c r="W17" i="3"/>
  <c r="W50" i="3"/>
  <c r="V33" i="3"/>
  <c r="AC33" i="3"/>
  <c r="U33" i="3"/>
  <c r="AD33" i="3"/>
  <c r="AA33" i="3"/>
  <c r="W33" i="3"/>
  <c r="AF33" i="3"/>
  <c r="R33" i="3"/>
  <c r="AE33" i="3"/>
  <c r="Z33" i="3"/>
  <c r="T33" i="3"/>
  <c r="S33" i="3"/>
  <c r="AB33" i="3"/>
  <c r="X33" i="3"/>
  <c r="D47" i="19"/>
  <c r="B47" i="19"/>
  <c r="C47" i="19"/>
  <c r="AH72" i="3" a="1"/>
  <c r="AM72" i="3"/>
  <c r="AG72" i="3"/>
  <c r="R16" i="3"/>
  <c r="R17" i="3"/>
  <c r="V17" i="3"/>
  <c r="U17" i="3"/>
  <c r="T17" i="3"/>
  <c r="W16" i="3"/>
  <c r="U16" i="3"/>
  <c r="T16" i="3"/>
  <c r="X16" i="3"/>
  <c r="Z16" i="3"/>
  <c r="AA16" i="3"/>
  <c r="AB16" i="3"/>
  <c r="AC16" i="3"/>
  <c r="AD16" i="3"/>
  <c r="AE16" i="3"/>
  <c r="AF16" i="3"/>
  <c r="X13" i="3"/>
  <c r="V13" i="3"/>
  <c r="W13" i="3"/>
  <c r="S13" i="3"/>
  <c r="T13" i="3"/>
  <c r="U13" i="3"/>
  <c r="Z13" i="3"/>
  <c r="AA13" i="3"/>
  <c r="AB13" i="3"/>
  <c r="AC13" i="3"/>
  <c r="AD13" i="3"/>
  <c r="AE13" i="3"/>
  <c r="R13" i="3"/>
  <c r="AF13" i="3"/>
  <c r="S7" i="3"/>
  <c r="T7" i="3"/>
  <c r="U7" i="3"/>
  <c r="V7" i="3"/>
  <c r="W7" i="3"/>
  <c r="X7" i="3"/>
  <c r="Z7" i="3"/>
  <c r="AA7" i="3"/>
  <c r="AB7" i="3"/>
  <c r="AC7" i="3"/>
  <c r="AD7" i="3"/>
  <c r="AE7" i="3"/>
  <c r="AF7" i="3"/>
  <c r="R7" i="3"/>
  <c r="AF6" i="3"/>
  <c r="AE6" i="3"/>
  <c r="AD6" i="3"/>
  <c r="AC6" i="3"/>
  <c r="AB6" i="3"/>
  <c r="AA6" i="3"/>
  <c r="Z6" i="3"/>
  <c r="X6" i="3"/>
  <c r="W6" i="3"/>
  <c r="V6" i="3"/>
  <c r="U6" i="3"/>
  <c r="T6" i="3"/>
  <c r="S6" i="3"/>
  <c r="R6" i="3"/>
  <c r="AF5" i="3"/>
  <c r="AE5" i="3"/>
  <c r="AD5" i="3"/>
  <c r="AC5" i="3"/>
  <c r="AB5" i="3"/>
  <c r="AA5" i="3"/>
  <c r="Z5" i="3"/>
  <c r="X5" i="3"/>
  <c r="W5" i="3"/>
  <c r="V5" i="3"/>
  <c r="U5" i="3"/>
  <c r="T5" i="3"/>
  <c r="S5" i="3"/>
  <c r="R5" i="3"/>
  <c r="B48" i="19"/>
  <c r="C48" i="19"/>
  <c r="D48" i="19"/>
  <c r="AF72" i="3"/>
  <c r="AE72" i="3"/>
  <c r="AD72" i="3"/>
  <c r="AC72" i="3"/>
  <c r="AB72" i="3"/>
  <c r="Z72" i="3"/>
  <c r="W72" i="3"/>
  <c r="V72" i="3"/>
  <c r="R72" i="3"/>
  <c r="K3" i="3"/>
  <c r="AH3" i="3" a="1"/>
  <c r="AA4" i="3"/>
  <c r="AA3" i="3"/>
  <c r="AF75" i="3"/>
  <c r="AE75" i="3"/>
  <c r="AD75" i="3"/>
  <c r="AC75" i="3"/>
  <c r="AB75" i="3"/>
  <c r="AA75" i="3"/>
  <c r="Z75" i="3"/>
  <c r="X75" i="3"/>
  <c r="W75" i="3"/>
  <c r="V75" i="3"/>
  <c r="U75" i="3"/>
  <c r="T75" i="3"/>
  <c r="R75" i="3"/>
  <c r="W3" i="3"/>
  <c r="W4" i="3"/>
  <c r="W10" i="3"/>
  <c r="W11" i="3"/>
  <c r="W12" i="3"/>
  <c r="W14" i="3"/>
  <c r="W20" i="3"/>
  <c r="W21" i="3"/>
  <c r="W27" i="3"/>
  <c r="W29" i="3"/>
  <c r="W38" i="3"/>
  <c r="W54" i="3"/>
  <c r="W67" i="3"/>
  <c r="W68" i="3"/>
  <c r="W69" i="3"/>
  <c r="W80" i="3"/>
  <c r="W81" i="3"/>
  <c r="W35" i="3"/>
  <c r="W51" i="3"/>
  <c r="W44" i="3"/>
  <c r="AF44" i="3"/>
  <c r="AB44" i="3"/>
  <c r="AC44" i="3"/>
  <c r="AD44" i="3"/>
  <c r="AE44" i="3"/>
  <c r="Z44" i="3"/>
  <c r="AA44" i="3"/>
  <c r="Z51" i="3"/>
  <c r="X51" i="3"/>
  <c r="V44" i="3"/>
  <c r="T44" i="3"/>
  <c r="U44" i="3"/>
  <c r="S44" i="3"/>
  <c r="R44" i="3"/>
  <c r="AF51" i="3"/>
  <c r="AB51" i="3"/>
  <c r="AC51" i="3"/>
  <c r="AD51" i="3"/>
  <c r="AE51" i="3"/>
  <c r="AA51" i="3"/>
  <c r="V51" i="3"/>
  <c r="S51" i="3"/>
  <c r="U51" i="3"/>
  <c r="R51" i="3"/>
  <c r="T51" i="3"/>
  <c r="S35" i="3"/>
  <c r="T35" i="3"/>
  <c r="U35" i="3"/>
  <c r="V35" i="3"/>
  <c r="X35" i="3"/>
  <c r="Z35" i="3"/>
  <c r="AA35" i="3"/>
  <c r="AB35" i="3"/>
  <c r="AC35" i="3"/>
  <c r="AD35" i="3"/>
  <c r="AE35" i="3"/>
  <c r="AF35" i="3"/>
  <c r="R35" i="3"/>
  <c r="AF69" i="3"/>
  <c r="AF54" i="3"/>
  <c r="AF27" i="3"/>
  <c r="AF3" i="3"/>
  <c r="AF81" i="3"/>
  <c r="AF80" i="3"/>
  <c r="AF68" i="3"/>
  <c r="AF67" i="3"/>
  <c r="AF21" i="3"/>
  <c r="AF20" i="3"/>
  <c r="AF14" i="3"/>
  <c r="Z38" i="3"/>
  <c r="AA38" i="3"/>
  <c r="AB38" i="3"/>
  <c r="AC38" i="3"/>
  <c r="AD38" i="3"/>
  <c r="AE38" i="3"/>
  <c r="AF38" i="3"/>
  <c r="Z29" i="3"/>
  <c r="AA29" i="3"/>
  <c r="AB29" i="3"/>
  <c r="AC29" i="3"/>
  <c r="AD29" i="3"/>
  <c r="AE29" i="3"/>
  <c r="AF29" i="3"/>
  <c r="Z4" i="3"/>
  <c r="AB4" i="3"/>
  <c r="AC4" i="3"/>
  <c r="AD4" i="3"/>
  <c r="AE4" i="3"/>
  <c r="AF4" i="3"/>
  <c r="Z10" i="3"/>
  <c r="AA10" i="3"/>
  <c r="AB10" i="3"/>
  <c r="AC10" i="3"/>
  <c r="AD10" i="3"/>
  <c r="AE10" i="3"/>
  <c r="AF10" i="3"/>
  <c r="Z11" i="3"/>
  <c r="AA11" i="3"/>
  <c r="AB11" i="3"/>
  <c r="AC11" i="3"/>
  <c r="AD11" i="3"/>
  <c r="AE11" i="3"/>
  <c r="AF11" i="3"/>
  <c r="Z12" i="3"/>
  <c r="AA12" i="3"/>
  <c r="AB12" i="3"/>
  <c r="AC12" i="3"/>
  <c r="AD12" i="3"/>
  <c r="AE12" i="3"/>
  <c r="AF12" i="3"/>
  <c r="Z14" i="3"/>
  <c r="AA14" i="3"/>
  <c r="AB14" i="3"/>
  <c r="AC14" i="3"/>
  <c r="AD14" i="3"/>
  <c r="AE14" i="3"/>
  <c r="Z20" i="3"/>
  <c r="AA20" i="3"/>
  <c r="AB20" i="3"/>
  <c r="AC20" i="3"/>
  <c r="AD20" i="3"/>
  <c r="AE20" i="3"/>
  <c r="Z21" i="3"/>
  <c r="AA21" i="3"/>
  <c r="AB21" i="3"/>
  <c r="AC21" i="3"/>
  <c r="AD21" i="3"/>
  <c r="AE21" i="3"/>
  <c r="Z67" i="3"/>
  <c r="AA67" i="3"/>
  <c r="AB67" i="3"/>
  <c r="AC67" i="3"/>
  <c r="AD67" i="3"/>
  <c r="AE67" i="3"/>
  <c r="Z68" i="3"/>
  <c r="AA68" i="3"/>
  <c r="AB68" i="3"/>
  <c r="AC68" i="3"/>
  <c r="AD68" i="3"/>
  <c r="AE68" i="3"/>
  <c r="Z80" i="3"/>
  <c r="AA80" i="3"/>
  <c r="AB80" i="3"/>
  <c r="AC80" i="3"/>
  <c r="AD80" i="3"/>
  <c r="AE80" i="3"/>
  <c r="Z81" i="3"/>
  <c r="AA81" i="3"/>
  <c r="AB81" i="3"/>
  <c r="AC81" i="3"/>
  <c r="AD81" i="3"/>
  <c r="AE81" i="3"/>
  <c r="AB3" i="3"/>
  <c r="AC3" i="3"/>
  <c r="AD3" i="3"/>
  <c r="AE3" i="3"/>
  <c r="Z27" i="3"/>
  <c r="AA27" i="3"/>
  <c r="AB27" i="3"/>
  <c r="AC27" i="3"/>
  <c r="AD27" i="3"/>
  <c r="AE27" i="3"/>
  <c r="Z54" i="3"/>
  <c r="AA54" i="3"/>
  <c r="AB54" i="3"/>
  <c r="AC54" i="3"/>
  <c r="AD54" i="3"/>
  <c r="AE54" i="3"/>
  <c r="Z69" i="3"/>
  <c r="AA69" i="3"/>
  <c r="AB69" i="3"/>
  <c r="AC69" i="3"/>
  <c r="AD69" i="3"/>
  <c r="AE69" i="3"/>
  <c r="S38" i="3"/>
  <c r="T38" i="3"/>
  <c r="U38" i="3"/>
  <c r="V38" i="3"/>
  <c r="X38" i="3"/>
  <c r="S29" i="3"/>
  <c r="T29" i="3"/>
  <c r="U29" i="3"/>
  <c r="V29" i="3"/>
  <c r="X29" i="3"/>
  <c r="S4" i="3"/>
  <c r="T4" i="3"/>
  <c r="U4" i="3"/>
  <c r="V4" i="3"/>
  <c r="X4" i="3"/>
  <c r="S10" i="3"/>
  <c r="T10" i="3"/>
  <c r="U10" i="3"/>
  <c r="V10" i="3"/>
  <c r="X10" i="3"/>
  <c r="S11" i="3"/>
  <c r="T11" i="3"/>
  <c r="U11" i="3"/>
  <c r="V11" i="3"/>
  <c r="X11" i="3"/>
  <c r="S12" i="3"/>
  <c r="T12" i="3"/>
  <c r="U12" i="3"/>
  <c r="V12" i="3"/>
  <c r="X12" i="3"/>
  <c r="S14" i="3"/>
  <c r="T14" i="3"/>
  <c r="U14" i="3"/>
  <c r="V14" i="3"/>
  <c r="X14" i="3"/>
  <c r="S20" i="3"/>
  <c r="T20" i="3"/>
  <c r="U20" i="3"/>
  <c r="V20" i="3"/>
  <c r="X20" i="3"/>
  <c r="S21" i="3"/>
  <c r="T21" i="3"/>
  <c r="U21" i="3"/>
  <c r="V21" i="3"/>
  <c r="X21" i="3"/>
  <c r="T67" i="3"/>
  <c r="U67" i="3"/>
  <c r="V67" i="3"/>
  <c r="X67" i="3"/>
  <c r="S68" i="3"/>
  <c r="T68" i="3"/>
  <c r="U68" i="3"/>
  <c r="V68" i="3"/>
  <c r="X68" i="3"/>
  <c r="S80" i="3"/>
  <c r="T80" i="3"/>
  <c r="U80" i="3"/>
  <c r="V80" i="3"/>
  <c r="X80" i="3"/>
  <c r="S81" i="3"/>
  <c r="T81" i="3"/>
  <c r="U81" i="3"/>
  <c r="V81" i="3"/>
  <c r="X81" i="3"/>
  <c r="S3" i="3"/>
  <c r="T3" i="3"/>
  <c r="U3" i="3"/>
  <c r="V3" i="3"/>
  <c r="X3" i="3"/>
  <c r="S27" i="3"/>
  <c r="T27" i="3"/>
  <c r="U27" i="3"/>
  <c r="V27" i="3"/>
  <c r="X27" i="3"/>
  <c r="S54" i="3"/>
  <c r="T54" i="3"/>
  <c r="U54" i="3"/>
  <c r="V54" i="3"/>
  <c r="X54" i="3"/>
  <c r="S69" i="3"/>
  <c r="T69" i="3"/>
  <c r="U69" i="3"/>
  <c r="V69" i="3"/>
  <c r="X69" i="3"/>
  <c r="R69" i="3"/>
  <c r="R54" i="3"/>
  <c r="R27" i="3"/>
  <c r="R3" i="3"/>
  <c r="R81" i="3"/>
  <c r="R80" i="3"/>
  <c r="R68" i="3"/>
  <c r="R67" i="3"/>
  <c r="R21" i="3"/>
  <c r="R20" i="3"/>
  <c r="R14" i="3"/>
  <c r="R12" i="3"/>
  <c r="R11" i="3"/>
  <c r="R10" i="3"/>
  <c r="R4" i="3"/>
  <c r="R29" i="3"/>
  <c r="R38" i="3"/>
  <c r="C49" i="19"/>
  <c r="B49" i="19"/>
  <c r="D49" i="19"/>
  <c r="Z3" i="3"/>
  <c r="AO3" i="3"/>
  <c r="AW3" i="3"/>
  <c r="AH3" i="3"/>
  <c r="AP3" i="3"/>
  <c r="AM3" i="3"/>
  <c r="AQ3" i="3"/>
  <c r="AI3" i="3"/>
  <c r="AN3" i="3"/>
  <c r="AR3" i="3"/>
  <c r="AS3" i="3"/>
  <c r="AT3" i="3"/>
  <c r="AL3" i="3"/>
  <c r="AV3" i="3"/>
  <c r="AJ3" i="3"/>
  <c r="AK3" i="3"/>
  <c r="AU3" i="3"/>
  <c r="Q8" i="1"/>
  <c r="R8" i="1"/>
  <c r="Q9" i="1"/>
  <c r="D50" i="19"/>
  <c r="C50" i="19"/>
  <c r="B50" i="19"/>
  <c r="H14" i="1"/>
  <c r="H15" i="1"/>
  <c r="P8" i="1"/>
  <c r="C51" i="19"/>
  <c r="D51" i="19"/>
  <c r="B51" i="19"/>
  <c r="B18" i="1"/>
  <c r="E19" i="1"/>
  <c r="F21" i="1"/>
  <c r="F25" i="1"/>
  <c r="E13" i="1"/>
  <c r="I15" i="1"/>
  <c r="E14" i="1"/>
  <c r="K12" i="1"/>
  <c r="M4" i="1" a="1"/>
  <c r="N4" i="1" s="1"/>
  <c r="K6" i="1"/>
  <c r="J6" i="1"/>
  <c r="R9" i="1"/>
  <c r="J4" i="1" a="1"/>
  <c r="J4" i="1" s="1"/>
  <c r="J8" i="1" a="1"/>
  <c r="J8" i="1" s="1"/>
  <c r="G9" i="1" a="1"/>
  <c r="H9" i="1" s="1"/>
  <c r="D10" i="1"/>
  <c r="L18" i="1"/>
  <c r="M21" i="1" s="1"/>
  <c r="B52" i="19"/>
  <c r="D52" i="19"/>
  <c r="C52" i="19"/>
  <c r="K5" i="1"/>
  <c r="G9" i="1"/>
  <c r="J5" i="1"/>
  <c r="K4" i="1"/>
  <c r="N5" i="1"/>
  <c r="G11" i="1"/>
  <c r="M5" i="1"/>
  <c r="J9" i="1"/>
  <c r="M4" i="1"/>
  <c r="L24" i="1"/>
  <c r="K14" i="1"/>
  <c r="K15" i="1"/>
  <c r="K9" i="1"/>
  <c r="H12" i="1"/>
  <c r="H10" i="1"/>
  <c r="G12" i="1"/>
  <c r="G10" i="1"/>
  <c r="K10" i="1"/>
  <c r="K8" i="1"/>
  <c r="H11" i="1"/>
  <c r="J10" i="1"/>
  <c r="B53" i="19"/>
  <c r="D53" i="19"/>
  <c r="C53" i="19"/>
  <c r="L6" i="1" a="1"/>
  <c r="Q5" i="1"/>
  <c r="Q4" i="1"/>
  <c r="H20" i="1" a="1"/>
  <c r="H20" i="1" s="1"/>
  <c r="F11" i="1"/>
  <c r="H16" i="1" a="1"/>
  <c r="B54" i="19"/>
  <c r="C54" i="19"/>
  <c r="D54" i="19"/>
  <c r="L6" i="1"/>
  <c r="M6" i="1"/>
  <c r="L7" i="1"/>
  <c r="M7" i="1"/>
  <c r="H22" i="1"/>
  <c r="H21" i="1"/>
  <c r="H23" i="1"/>
  <c r="H24" i="1"/>
  <c r="H16" i="1"/>
  <c r="I17" i="1"/>
  <c r="J18" i="1"/>
  <c r="L21" i="1"/>
  <c r="I16" i="1"/>
  <c r="J17" i="1"/>
  <c r="J16" i="1"/>
  <c r="L23" i="1" s="1"/>
  <c r="H17" i="1"/>
  <c r="I18" i="1"/>
  <c r="H18" i="1"/>
  <c r="B55" i="19"/>
  <c r="C55" i="19"/>
  <c r="D55" i="19"/>
  <c r="R13" i="1"/>
  <c r="R12" i="1"/>
  <c r="R10" i="1"/>
  <c r="R11" i="1"/>
  <c r="M14" i="1" a="1"/>
  <c r="B56" i="19"/>
  <c r="C56" i="19"/>
  <c r="D56" i="19"/>
  <c r="C57" i="19"/>
  <c r="D57" i="19"/>
  <c r="B57" i="19"/>
  <c r="B58" i="19"/>
  <c r="C58" i="19"/>
  <c r="D58" i="19"/>
  <c r="C59" i="19"/>
  <c r="D59" i="19"/>
  <c r="B59" i="19"/>
  <c r="D60" i="19"/>
  <c r="B60" i="19"/>
  <c r="C60" i="19"/>
  <c r="B61" i="19"/>
  <c r="C61" i="19"/>
  <c r="D61" i="19"/>
  <c r="B62" i="19"/>
  <c r="D62" i="19"/>
  <c r="C62" i="19"/>
  <c r="B63" i="19"/>
  <c r="C63" i="19"/>
  <c r="D63" i="19"/>
  <c r="B64" i="19"/>
  <c r="D64" i="19"/>
  <c r="C64" i="19"/>
  <c r="C65" i="19"/>
  <c r="B65" i="19"/>
  <c r="D65" i="19"/>
  <c r="B66" i="19"/>
  <c r="C66" i="19"/>
  <c r="D66" i="19"/>
  <c r="C67" i="19"/>
  <c r="D67" i="19"/>
  <c r="B67" i="19"/>
  <c r="D68" i="19"/>
  <c r="B68" i="19"/>
  <c r="C68" i="19"/>
  <c r="C69" i="19"/>
  <c r="D69" i="19"/>
  <c r="B69" i="19"/>
  <c r="D70" i="19"/>
  <c r="C70" i="19"/>
  <c r="B70" i="19"/>
  <c r="C71" i="19"/>
  <c r="B71" i="19"/>
  <c r="D71" i="19"/>
  <c r="B72" i="19"/>
  <c r="D72" i="19"/>
  <c r="C72" i="19"/>
  <c r="B73" i="19"/>
  <c r="C73" i="19"/>
  <c r="D73" i="19"/>
  <c r="B74" i="19"/>
  <c r="C74" i="19"/>
  <c r="D74" i="19"/>
  <c r="B75" i="19"/>
  <c r="C75" i="19"/>
  <c r="D75" i="19"/>
  <c r="B76" i="19"/>
  <c r="C76" i="19"/>
  <c r="D76" i="19"/>
  <c r="C77" i="19"/>
  <c r="D77" i="19"/>
  <c r="B77" i="19"/>
  <c r="B78" i="19"/>
  <c r="D78" i="19"/>
  <c r="C78" i="19"/>
  <c r="C79" i="19"/>
  <c r="B79" i="19"/>
  <c r="D79" i="19"/>
  <c r="D80" i="19"/>
  <c r="B80" i="19"/>
  <c r="C80" i="19"/>
  <c r="B81" i="19"/>
  <c r="C81" i="19"/>
  <c r="D81" i="19"/>
  <c r="B82" i="19"/>
  <c r="D82" i="19"/>
  <c r="C82" i="19"/>
  <c r="B83" i="19"/>
  <c r="D83" i="19"/>
  <c r="C83" i="19"/>
  <c r="B84" i="19"/>
  <c r="C84" i="19"/>
  <c r="D84" i="19"/>
  <c r="B85" i="19"/>
  <c r="C85" i="19"/>
  <c r="D85" i="19"/>
  <c r="B86" i="19"/>
  <c r="C86" i="19"/>
  <c r="D86" i="19"/>
  <c r="C87" i="19"/>
  <c r="D87" i="19"/>
  <c r="B87" i="19"/>
  <c r="B88" i="19"/>
  <c r="C88" i="19"/>
  <c r="D88" i="19"/>
  <c r="C89" i="19"/>
  <c r="D89" i="19"/>
  <c r="B89" i="19"/>
  <c r="D90" i="19"/>
  <c r="B90" i="19"/>
  <c r="C90" i="19"/>
  <c r="B91" i="19"/>
  <c r="C91" i="19"/>
  <c r="D91" i="19"/>
  <c r="D92" i="19"/>
  <c r="B92" i="19"/>
  <c r="C92" i="19"/>
  <c r="D93" i="19"/>
  <c r="B93" i="19"/>
  <c r="C93" i="19"/>
  <c r="B94" i="19"/>
  <c r="C94" i="19"/>
  <c r="D94" i="19"/>
  <c r="B95" i="19"/>
  <c r="C95" i="19"/>
  <c r="D95" i="19"/>
  <c r="B96" i="19"/>
  <c r="C96" i="19"/>
  <c r="D96" i="19"/>
  <c r="C97" i="19"/>
  <c r="D97" i="19"/>
  <c r="B97" i="19"/>
  <c r="B98" i="19"/>
  <c r="C98" i="19"/>
  <c r="D98" i="19"/>
  <c r="C99" i="19"/>
  <c r="D99" i="19"/>
  <c r="B99" i="19"/>
  <c r="C100" i="19"/>
  <c r="D100" i="19"/>
  <c r="B100" i="19"/>
  <c r="B101" i="19"/>
  <c r="C101" i="19"/>
  <c r="D101" i="19"/>
  <c r="D102" i="19"/>
  <c r="C102" i="19"/>
  <c r="B102" i="19"/>
  <c r="B103" i="19"/>
  <c r="C103" i="19"/>
  <c r="D103" i="19"/>
  <c r="B104" i="19"/>
  <c r="C104" i="19"/>
  <c r="D104" i="19"/>
  <c r="B105" i="19"/>
  <c r="D105" i="19"/>
  <c r="C105" i="19"/>
  <c r="B106" i="19"/>
  <c r="C106" i="19"/>
  <c r="D106" i="19"/>
  <c r="C107" i="19"/>
  <c r="D107" i="19"/>
  <c r="B107" i="19"/>
  <c r="B108" i="19"/>
  <c r="C108" i="19"/>
  <c r="D108" i="19"/>
  <c r="B109" i="19"/>
  <c r="C109" i="19"/>
  <c r="D109" i="19"/>
  <c r="D110" i="19"/>
  <c r="C110" i="19"/>
  <c r="B110" i="19"/>
  <c r="C111" i="19"/>
  <c r="D111" i="19"/>
  <c r="B111" i="19"/>
  <c r="D112" i="19"/>
  <c r="B112" i="19"/>
  <c r="C112" i="19"/>
  <c r="B113" i="19"/>
  <c r="C113" i="19"/>
  <c r="D113" i="19"/>
  <c r="B114" i="19"/>
  <c r="D114" i="19"/>
  <c r="C114" i="19"/>
  <c r="B115" i="19"/>
  <c r="D115" i="19"/>
  <c r="C115" i="19"/>
  <c r="B116" i="19"/>
  <c r="D116" i="19"/>
  <c r="C116" i="19"/>
  <c r="C117" i="19"/>
  <c r="B117" i="19"/>
  <c r="D117" i="19"/>
  <c r="B118" i="19"/>
  <c r="C118" i="19"/>
  <c r="D118" i="19"/>
  <c r="C119" i="19"/>
  <c r="B119" i="19"/>
  <c r="D119" i="19"/>
  <c r="D120" i="19"/>
  <c r="B120" i="19"/>
  <c r="C120" i="19"/>
  <c r="C121" i="19"/>
  <c r="D121" i="19"/>
  <c r="B121" i="19"/>
  <c r="D122" i="19"/>
  <c r="B122" i="19"/>
  <c r="C122" i="19"/>
  <c r="B123" i="19"/>
  <c r="C123" i="19"/>
  <c r="D123" i="19"/>
  <c r="B124" i="19"/>
  <c r="D124" i="19"/>
  <c r="C124" i="19"/>
  <c r="B125" i="19"/>
  <c r="D125" i="19"/>
  <c r="C125" i="19"/>
  <c r="B126" i="19"/>
  <c r="D126" i="19"/>
  <c r="C126" i="19"/>
  <c r="C127" i="19"/>
  <c r="D127" i="19"/>
  <c r="B127" i="19"/>
  <c r="C128" i="19"/>
  <c r="D128" i="19"/>
  <c r="B128" i="19"/>
  <c r="C129" i="19"/>
  <c r="B129" i="19"/>
  <c r="D129" i="19"/>
  <c r="D130" i="19"/>
  <c r="B130" i="19"/>
  <c r="C130" i="19"/>
  <c r="C131" i="19"/>
  <c r="D131" i="19"/>
  <c r="B131" i="19"/>
  <c r="D132" i="19"/>
  <c r="C132" i="19"/>
  <c r="B132" i="19"/>
  <c r="B133" i="19"/>
  <c r="C133" i="19"/>
  <c r="D133" i="19"/>
  <c r="B134" i="19"/>
  <c r="D134" i="19"/>
  <c r="C134" i="19"/>
  <c r="B135" i="19"/>
  <c r="D135" i="19"/>
  <c r="C135" i="19"/>
  <c r="C136" i="19"/>
  <c r="B136" i="19"/>
  <c r="D136" i="19"/>
  <c r="D137" i="19"/>
  <c r="C137" i="19"/>
  <c r="B137" i="19"/>
  <c r="B138" i="19"/>
  <c r="C138" i="19"/>
  <c r="D138" i="19"/>
  <c r="C139" i="19"/>
  <c r="B139" i="19"/>
  <c r="D139" i="19"/>
  <c r="D140" i="19"/>
  <c r="C140" i="19"/>
  <c r="B140" i="19"/>
  <c r="C141" i="19"/>
  <c r="D141" i="19"/>
  <c r="B141" i="19"/>
  <c r="D142" i="19"/>
  <c r="B142" i="19"/>
  <c r="C142" i="19"/>
  <c r="C143" i="19"/>
  <c r="B143" i="19"/>
  <c r="D143" i="19"/>
  <c r="B144" i="19"/>
  <c r="D144" i="19"/>
  <c r="C144" i="19"/>
  <c r="B145" i="19"/>
  <c r="C145" i="19"/>
  <c r="D145" i="19"/>
  <c r="D146" i="19"/>
  <c r="C146" i="19"/>
  <c r="B146" i="19"/>
  <c r="C147" i="19"/>
  <c r="B147" i="19"/>
  <c r="D147" i="19"/>
  <c r="C148" i="19"/>
  <c r="D148" i="19"/>
  <c r="B148" i="19"/>
  <c r="C149" i="19"/>
  <c r="B149" i="19"/>
  <c r="D149" i="19"/>
  <c r="D150" i="19"/>
  <c r="C150" i="19"/>
  <c r="B150" i="19"/>
  <c r="C151" i="19"/>
  <c r="D151" i="19"/>
  <c r="B151" i="19"/>
  <c r="D152" i="19"/>
  <c r="C152" i="19"/>
  <c r="B152" i="19"/>
  <c r="C153" i="19"/>
  <c r="B153" i="19"/>
  <c r="D153" i="19"/>
  <c r="B154" i="19"/>
  <c r="D154" i="19"/>
  <c r="C154" i="19"/>
  <c r="D155" i="19"/>
  <c r="B155" i="19"/>
  <c r="C155" i="19"/>
  <c r="B156" i="19"/>
  <c r="C156" i="19"/>
  <c r="D156" i="19"/>
  <c r="C157" i="19"/>
  <c r="D157" i="19"/>
  <c r="B157" i="19"/>
  <c r="B158" i="19"/>
  <c r="C158" i="19"/>
  <c r="D158" i="19"/>
  <c r="C159" i="19"/>
  <c r="B159" i="19"/>
  <c r="D159" i="19"/>
  <c r="D160" i="19"/>
  <c r="B160" i="19"/>
  <c r="C160" i="19"/>
  <c r="E13" i="21" l="1"/>
  <c r="AI36" i="18"/>
  <c r="AO36" i="18"/>
  <c r="AP36" i="18"/>
  <c r="AH36" i="18"/>
  <c r="AJ36" i="18"/>
  <c r="AK36" i="18"/>
  <c r="AL36" i="18"/>
  <c r="AM36" i="18"/>
  <c r="AN36" i="18"/>
  <c r="AQ36" i="18"/>
  <c r="AR36" i="18"/>
  <c r="AS36" i="18"/>
  <c r="AT36" i="18"/>
  <c r="AU36" i="18"/>
  <c r="AV36" i="18"/>
  <c r="AW36" i="18"/>
  <c r="AI37" i="18"/>
  <c r="AK37" i="18"/>
  <c r="AL37" i="18"/>
  <c r="AM37" i="18"/>
  <c r="AN37" i="18"/>
  <c r="AO37" i="18"/>
  <c r="AP37" i="18"/>
  <c r="AQ37" i="18"/>
  <c r="AR37" i="18"/>
  <c r="AS37" i="18"/>
  <c r="AT37" i="18"/>
  <c r="AU37" i="18"/>
  <c r="AV37" i="18"/>
  <c r="AW37" i="18"/>
  <c r="AH37" i="18"/>
  <c r="AJ37" i="18"/>
  <c r="AH47" i="18"/>
  <c r="AI47" i="18"/>
  <c r="AJ47" i="18"/>
  <c r="AK47" i="18"/>
  <c r="AL47" i="18"/>
  <c r="AM47" i="18"/>
  <c r="AN47" i="18"/>
  <c r="AO47" i="18"/>
  <c r="AP47" i="18"/>
  <c r="AQ47" i="18"/>
  <c r="AR47" i="18"/>
  <c r="AS47" i="18"/>
  <c r="AT47" i="18"/>
  <c r="AU47" i="18"/>
  <c r="AV47" i="18"/>
  <c r="AW47" i="18"/>
  <c r="Y30" i="18"/>
  <c r="Z30" i="18"/>
  <c r="AA30" i="18"/>
  <c r="AB30" i="18"/>
  <c r="AC30" i="18"/>
  <c r="AD30" i="18"/>
  <c r="AE30" i="18"/>
  <c r="AF30" i="18"/>
  <c r="AG30" i="18"/>
  <c r="AH30" i="18"/>
  <c r="AI30" i="18"/>
  <c r="AJ30" i="18"/>
  <c r="AK30" i="18"/>
  <c r="AL30" i="18"/>
  <c r="AM30" i="18"/>
  <c r="AN30" i="18"/>
  <c r="AO30" i="18"/>
  <c r="AP30" i="18"/>
  <c r="AQ30" i="18"/>
  <c r="AR30" i="18"/>
  <c r="AS30" i="18"/>
  <c r="AT30" i="18"/>
  <c r="AU30" i="18"/>
  <c r="AV30" i="18"/>
  <c r="AW30" i="18"/>
  <c r="AI24" i="18"/>
  <c r="AH24" i="18"/>
  <c r="AW24" i="18"/>
  <c r="AV24" i="18"/>
  <c r="AU24" i="18"/>
  <c r="AT24" i="18"/>
  <c r="AS24" i="18"/>
  <c r="AR24" i="18"/>
  <c r="AQ24" i="18"/>
  <c r="AJ24" i="18"/>
  <c r="AK24" i="18"/>
  <c r="AL24" i="18"/>
  <c r="AM24" i="18"/>
  <c r="AN24" i="18"/>
  <c r="AO24" i="18"/>
  <c r="AP24" i="18"/>
  <c r="AP23" i="18"/>
  <c r="AR23" i="18"/>
  <c r="AS23" i="18"/>
  <c r="AT23" i="18"/>
  <c r="AU23" i="18"/>
  <c r="AV23" i="18"/>
  <c r="AW23" i="18"/>
  <c r="AO23" i="18"/>
  <c r="AN23" i="18"/>
  <c r="AM23" i="18"/>
  <c r="AL23" i="18"/>
  <c r="AK23" i="18"/>
  <c r="AH23" i="18"/>
  <c r="AJ23" i="18"/>
  <c r="AI23" i="18"/>
  <c r="AQ23" i="18"/>
  <c r="AU18" i="18"/>
  <c r="AN18" i="18"/>
  <c r="AV18" i="18"/>
  <c r="AT18" i="18"/>
  <c r="AS18" i="18"/>
  <c r="AR18" i="18"/>
  <c r="AH18" i="18"/>
  <c r="AI18" i="18"/>
  <c r="AJ18" i="18"/>
  <c r="AK18" i="18"/>
  <c r="AL18" i="18"/>
  <c r="AM18" i="18"/>
  <c r="AQ18" i="18"/>
  <c r="AP18" i="18"/>
  <c r="AO18" i="18"/>
  <c r="AW18" i="18"/>
  <c r="AW22" i="18"/>
  <c r="AH22" i="18"/>
  <c r="AI22" i="18"/>
  <c r="AJ22" i="18"/>
  <c r="AK22" i="18"/>
  <c r="AL22" i="18"/>
  <c r="AM22" i="18"/>
  <c r="AN22" i="18"/>
  <c r="AO22" i="18"/>
  <c r="AV22" i="18"/>
  <c r="AU22" i="18"/>
  <c r="AT22" i="18"/>
  <c r="AS22" i="18"/>
  <c r="AR22" i="18"/>
  <c r="AQ22" i="18"/>
  <c r="AP22" i="18"/>
  <c r="AP21" i="18"/>
  <c r="AQ21" i="18"/>
  <c r="AR21" i="18"/>
  <c r="AS21" i="18"/>
  <c r="AT21" i="18"/>
  <c r="AU21" i="18"/>
  <c r="AV21" i="18"/>
  <c r="AW21" i="18"/>
  <c r="AO21" i="18"/>
  <c r="AN21" i="18"/>
  <c r="AM21" i="18"/>
  <c r="AL21" i="18"/>
  <c r="AK21" i="18"/>
  <c r="AJ21" i="18"/>
  <c r="AI21" i="18"/>
  <c r="AH21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H17" i="18"/>
  <c r="AJ17" i="18"/>
  <c r="AK17" i="18"/>
  <c r="AL17" i="18"/>
  <c r="AM17" i="18"/>
  <c r="AN17" i="18"/>
  <c r="AO17" i="18"/>
  <c r="AP17" i="18"/>
  <c r="AQ17" i="18"/>
  <c r="AR17" i="18"/>
  <c r="AS17" i="18"/>
  <c r="AT17" i="18"/>
  <c r="AU17" i="18"/>
  <c r="AV17" i="18"/>
  <c r="AI17" i="18"/>
  <c r="AW17" i="18"/>
  <c r="AW11" i="18"/>
  <c r="AV11" i="18"/>
  <c r="AU11" i="18"/>
  <c r="AT11" i="18"/>
  <c r="AS11" i="18"/>
  <c r="AR11" i="18"/>
  <c r="AQ11" i="18"/>
  <c r="AP11" i="18"/>
  <c r="AO11" i="18"/>
  <c r="AN11" i="18"/>
  <c r="AM11" i="18"/>
  <c r="AL11" i="18"/>
  <c r="AK11" i="18"/>
  <c r="AJ11" i="18"/>
  <c r="AI11" i="18"/>
  <c r="AH11" i="18"/>
  <c r="AS9" i="18"/>
  <c r="AT9" i="18"/>
  <c r="AU9" i="18"/>
  <c r="AV9" i="18"/>
  <c r="AW9" i="18"/>
  <c r="AH9" i="18"/>
  <c r="AI9" i="18"/>
  <c r="AJ9" i="18"/>
  <c r="AK9" i="18"/>
  <c r="AL9" i="18"/>
  <c r="AM9" i="18"/>
  <c r="AN9" i="18"/>
  <c r="AO9" i="18"/>
  <c r="AP9" i="18"/>
  <c r="AQ9" i="18"/>
  <c r="AR9" i="18"/>
  <c r="AQ7" i="18"/>
  <c r="AJ7" i="18"/>
  <c r="AI7" i="18"/>
  <c r="AH7" i="18"/>
  <c r="AK7" i="18"/>
  <c r="AL7" i="18"/>
  <c r="AM7" i="18"/>
  <c r="AN7" i="18"/>
  <c r="AO7" i="18"/>
  <c r="AP7" i="18"/>
  <c r="AW7" i="18"/>
  <c r="AV7" i="18"/>
  <c r="AU7" i="18"/>
  <c r="AT7" i="18"/>
  <c r="AS7" i="18"/>
  <c r="AR7" i="18"/>
  <c r="AK3" i="18"/>
  <c r="AM3" i="18"/>
  <c r="AN3" i="18"/>
  <c r="AO3" i="18"/>
  <c r="AP3" i="18"/>
  <c r="AH3" i="18"/>
  <c r="AI3" i="18"/>
  <c r="AJ3" i="18"/>
  <c r="AQ3" i="18"/>
  <c r="AR3" i="18"/>
  <c r="AS3" i="18"/>
  <c r="AT3" i="18"/>
  <c r="AU3" i="18"/>
  <c r="AV3" i="18"/>
  <c r="AW3" i="18"/>
  <c r="AL3" i="18"/>
  <c r="AU16" i="18"/>
  <c r="AW16" i="18"/>
  <c r="AH16" i="18"/>
  <c r="AV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V6" i="18"/>
  <c r="AM6" i="18"/>
  <c r="AW6" i="18"/>
  <c r="AU6" i="18"/>
  <c r="AT6" i="18"/>
  <c r="AS6" i="18"/>
  <c r="AR6" i="18"/>
  <c r="AQ6" i="18"/>
  <c r="AP6" i="18"/>
  <c r="AO6" i="18"/>
  <c r="AN6" i="18"/>
  <c r="AH6" i="18"/>
  <c r="AI6" i="18"/>
  <c r="AJ6" i="18"/>
  <c r="AK6" i="18"/>
  <c r="AL6" i="18"/>
  <c r="AH29" i="18"/>
  <c r="AK29" i="18"/>
  <c r="AQ29" i="18"/>
  <c r="AV29" i="18"/>
  <c r="AM29" i="18"/>
  <c r="AH27" i="18"/>
  <c r="AV27" i="18"/>
  <c r="AH26" i="18"/>
  <c r="AW26" i="18"/>
  <c r="AK26" i="18"/>
  <c r="AN19" i="18"/>
  <c r="AH19" i="18"/>
  <c r="AI19" i="18"/>
  <c r="AJ19" i="18"/>
  <c r="AK19" i="18"/>
  <c r="AP19" i="18"/>
  <c r="AQ19" i="18"/>
  <c r="AR19" i="18"/>
  <c r="AS19" i="18"/>
  <c r="AT19" i="18"/>
  <c r="AU19" i="18"/>
  <c r="AV19" i="18"/>
  <c r="AW19" i="18"/>
  <c r="AL19" i="18"/>
  <c r="AO19" i="18"/>
  <c r="AM19" i="18"/>
  <c r="AH15" i="18"/>
  <c r="AI15" i="18"/>
  <c r="AJ15" i="18"/>
  <c r="AK15" i="18"/>
  <c r="AM15" i="18"/>
  <c r="AN15" i="18"/>
  <c r="AO15" i="18"/>
  <c r="AP15" i="18"/>
  <c r="AQ15" i="18"/>
  <c r="AR15" i="18"/>
  <c r="AS15" i="18"/>
  <c r="AT15" i="18"/>
  <c r="AU15" i="18"/>
  <c r="AV15" i="18"/>
  <c r="AW15" i="18"/>
  <c r="AL15" i="18"/>
  <c r="AH14" i="18"/>
  <c r="AL14" i="18"/>
  <c r="AM14" i="18"/>
  <c r="AN14" i="18"/>
  <c r="AO14" i="18"/>
  <c r="AP14" i="18"/>
  <c r="AQ14" i="18"/>
  <c r="AR14" i="18"/>
  <c r="AS14" i="18"/>
  <c r="AT14" i="18"/>
  <c r="AI14" i="18"/>
  <c r="AJ14" i="18"/>
  <c r="AK14" i="18"/>
  <c r="AU14" i="18"/>
  <c r="AV14" i="18"/>
  <c r="AW14" i="18"/>
  <c r="AK13" i="18"/>
  <c r="AL13" i="18"/>
  <c r="AM13" i="18"/>
  <c r="AN13" i="18"/>
  <c r="AO13" i="18"/>
  <c r="AH13" i="18"/>
  <c r="AI13" i="18"/>
  <c r="AJ13" i="18"/>
  <c r="AP13" i="18"/>
  <c r="AQ13" i="18"/>
  <c r="AR13" i="18"/>
  <c r="AS13" i="18"/>
  <c r="AT13" i="18"/>
  <c r="AU13" i="18"/>
  <c r="AV13" i="18"/>
  <c r="AW13" i="18"/>
  <c r="AH12" i="18"/>
  <c r="AI12" i="18"/>
  <c r="AJ12" i="18"/>
  <c r="AK12" i="18"/>
  <c r="AL12" i="18"/>
  <c r="AM12" i="18"/>
  <c r="AN12" i="18"/>
  <c r="AO12" i="18"/>
  <c r="AP12" i="18"/>
  <c r="AQ12" i="18"/>
  <c r="AR12" i="18"/>
  <c r="AS12" i="18"/>
  <c r="AT12" i="18"/>
  <c r="AU12" i="18"/>
  <c r="AV12" i="18"/>
  <c r="AW12" i="18"/>
  <c r="AH10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V10" i="18"/>
  <c r="AW10" i="18"/>
  <c r="AH8" i="18"/>
  <c r="AI8" i="18"/>
  <c r="AJ8" i="18"/>
  <c r="AK8" i="18"/>
  <c r="AL8" i="18"/>
  <c r="AM8" i="18"/>
  <c r="AN8" i="18"/>
  <c r="AO8" i="18"/>
  <c r="AP8" i="18"/>
  <c r="AQ8" i="18"/>
  <c r="AR8" i="18"/>
  <c r="AS8" i="18"/>
  <c r="AT8" i="18"/>
  <c r="AU8" i="18"/>
  <c r="AV8" i="18"/>
  <c r="AW8" i="18"/>
  <c r="AH5" i="18"/>
  <c r="AI5" i="18"/>
  <c r="AJ5" i="18"/>
  <c r="AK5" i="18"/>
  <c r="AL5" i="18"/>
  <c r="AM5" i="18"/>
  <c r="AN5" i="18"/>
  <c r="AO5" i="18"/>
  <c r="AP5" i="18"/>
  <c r="AR5" i="18"/>
  <c r="AS5" i="18"/>
  <c r="AT5" i="18"/>
  <c r="AU5" i="18"/>
  <c r="AV5" i="18"/>
  <c r="AW5" i="18"/>
  <c r="AQ5" i="18"/>
  <c r="AH4" i="18"/>
  <c r="AI4" i="18"/>
  <c r="AJ4" i="18"/>
  <c r="AK4" i="18"/>
  <c r="AL4" i="18"/>
  <c r="AM4" i="18"/>
  <c r="AN4" i="18"/>
  <c r="AO4" i="18"/>
  <c r="AP4" i="18"/>
  <c r="AQ4" i="18"/>
  <c r="AR4" i="18"/>
  <c r="AS4" i="18"/>
  <c r="AT4" i="18"/>
  <c r="AU4" i="18"/>
  <c r="AV4" i="18"/>
  <c r="AW4" i="18"/>
  <c r="AH36" i="9"/>
  <c r="AI36" i="9"/>
  <c r="AL36" i="9"/>
  <c r="AM36" i="9"/>
  <c r="AN36" i="9"/>
  <c r="AO36" i="9"/>
  <c r="AP36" i="9"/>
  <c r="AQ36" i="9"/>
  <c r="AR36" i="9"/>
  <c r="AS36" i="9"/>
  <c r="AJ36" i="9"/>
  <c r="AV36" i="9"/>
  <c r="AK36" i="9"/>
  <c r="AT36" i="9"/>
  <c r="AU36" i="9"/>
  <c r="AW36" i="9"/>
  <c r="AH35" i="9"/>
  <c r="AI35" i="9"/>
  <c r="AJ35" i="9"/>
  <c r="AL35" i="9"/>
  <c r="AM35" i="9"/>
  <c r="AN35" i="9"/>
  <c r="AO35" i="9"/>
  <c r="AQ35" i="9"/>
  <c r="AR35" i="9"/>
  <c r="AK35" i="9"/>
  <c r="AS35" i="9"/>
  <c r="AT35" i="9"/>
  <c r="AU35" i="9"/>
  <c r="AV35" i="9"/>
  <c r="AW35" i="9"/>
  <c r="AP35" i="9"/>
  <c r="AI25" i="17"/>
  <c r="AR25" i="17"/>
  <c r="AS25" i="17"/>
  <c r="AT25" i="17"/>
  <c r="AU25" i="17"/>
  <c r="AV25" i="17"/>
  <c r="AW25" i="17"/>
  <c r="AH25" i="17"/>
  <c r="AJ25" i="17"/>
  <c r="AK25" i="17"/>
  <c r="AL25" i="17"/>
  <c r="AM25" i="17"/>
  <c r="AN25" i="17"/>
  <c r="AO25" i="17"/>
  <c r="AP25" i="17"/>
  <c r="AQ25" i="17"/>
  <c r="AJ38" i="9"/>
  <c r="AI38" i="9"/>
  <c r="AL38" i="9"/>
  <c r="AH38" i="9"/>
  <c r="AK38" i="9"/>
  <c r="AM38" i="9"/>
  <c r="AN38" i="9"/>
  <c r="AO38" i="9"/>
  <c r="AP38" i="9"/>
  <c r="AQ38" i="9"/>
  <c r="AR38" i="9"/>
  <c r="AS38" i="9"/>
  <c r="AT38" i="9"/>
  <c r="AU38" i="9"/>
  <c r="AV38" i="9"/>
  <c r="AW38" i="9"/>
  <c r="AH37" i="9"/>
  <c r="AJ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I37" i="9"/>
  <c r="AK37" i="9"/>
  <c r="B1" i="17"/>
  <c r="D7" i="21"/>
  <c r="AI24" i="17"/>
  <c r="AJ24" i="17"/>
  <c r="AH24" i="17"/>
  <c r="AI58" i="9"/>
  <c r="AN58" i="9"/>
  <c r="AO58" i="9"/>
  <c r="AP58" i="9"/>
  <c r="AQ58" i="9"/>
  <c r="AJ58" i="9"/>
  <c r="AK58" i="9"/>
  <c r="AL58" i="9"/>
  <c r="AT58" i="9"/>
  <c r="AU58" i="9"/>
  <c r="AV58" i="9"/>
  <c r="AW58" i="9"/>
  <c r="AM58" i="9"/>
  <c r="AH58" i="9"/>
  <c r="AR58" i="9"/>
  <c r="AS58" i="9"/>
  <c r="AN6" i="9"/>
  <c r="AI6" i="9"/>
  <c r="AM6" i="9"/>
  <c r="AO6" i="9"/>
  <c r="AP6" i="9"/>
  <c r="AH6" i="9"/>
  <c r="AJ6" i="9"/>
  <c r="AK6" i="9"/>
  <c r="AL6" i="9"/>
  <c r="AQ6" i="9"/>
  <c r="AR6" i="9"/>
  <c r="AS6" i="9"/>
  <c r="AT6" i="9"/>
  <c r="AU6" i="9"/>
  <c r="AV6" i="9"/>
  <c r="AW6" i="9"/>
  <c r="AK43" i="9"/>
  <c r="AH43" i="9"/>
  <c r="AJ43" i="9"/>
  <c r="AI43" i="9"/>
  <c r="AH44" i="9"/>
  <c r="AI44" i="9"/>
  <c r="AM44" i="9"/>
  <c r="AN44" i="9"/>
  <c r="AO44" i="9"/>
  <c r="AJ44" i="9"/>
  <c r="AP44" i="9"/>
  <c r="AQ44" i="9"/>
  <c r="AR44" i="9"/>
  <c r="AS44" i="9"/>
  <c r="AT44" i="9"/>
  <c r="AU44" i="9"/>
  <c r="AV44" i="9"/>
  <c r="AW44" i="9"/>
  <c r="AL44" i="9"/>
  <c r="AK44" i="9"/>
  <c r="AH50" i="9"/>
  <c r="AI50" i="9"/>
  <c r="AJ50" i="9"/>
  <c r="AK50" i="9"/>
  <c r="AL50" i="9"/>
  <c r="AM50" i="9"/>
  <c r="AN50" i="9"/>
  <c r="AO50" i="9"/>
  <c r="AP50" i="9"/>
  <c r="AQ50" i="9"/>
  <c r="AR50" i="9"/>
  <c r="AS50" i="9"/>
  <c r="AT50" i="9"/>
  <c r="AU50" i="9"/>
  <c r="AV50" i="9"/>
  <c r="AW50" i="9"/>
  <c r="AH49" i="9"/>
  <c r="AI49" i="9"/>
  <c r="AJ49" i="9"/>
  <c r="AK49" i="9"/>
  <c r="AL49" i="9"/>
  <c r="AM49" i="9"/>
  <c r="AN49" i="9"/>
  <c r="AO49" i="9"/>
  <c r="AP49" i="9"/>
  <c r="AQ49" i="9"/>
  <c r="AR49" i="9"/>
  <c r="AS49" i="9"/>
  <c r="AT49" i="9"/>
  <c r="AU49" i="9"/>
  <c r="AV49" i="9"/>
  <c r="AW49" i="9"/>
  <c r="AH23" i="9"/>
  <c r="AO16" i="9"/>
  <c r="AQ16" i="9"/>
  <c r="AR16" i="9"/>
  <c r="AS16" i="9"/>
  <c r="AT16" i="9"/>
  <c r="AU16" i="9"/>
  <c r="AV16" i="9"/>
  <c r="AW16" i="9"/>
  <c r="AI16" i="9"/>
  <c r="AL16" i="9"/>
  <c r="AM16" i="9"/>
  <c r="AN16" i="9"/>
  <c r="AH16" i="9"/>
  <c r="AJ16" i="9"/>
  <c r="AK16" i="9"/>
  <c r="AP16" i="9"/>
  <c r="AH48" i="9"/>
  <c r="AI48" i="9"/>
  <c r="AJ48" i="9"/>
  <c r="AK48" i="9"/>
  <c r="AL48" i="9"/>
  <c r="AM48" i="9"/>
  <c r="AN48" i="9"/>
  <c r="AO48" i="9"/>
  <c r="AP48" i="9"/>
  <c r="AQ48" i="9"/>
  <c r="AR48" i="9"/>
  <c r="AS48" i="9"/>
  <c r="AT48" i="9"/>
  <c r="AU48" i="9"/>
  <c r="AV48" i="9"/>
  <c r="AW48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H31" i="9"/>
  <c r="AI31" i="9"/>
  <c r="AJ31" i="9"/>
  <c r="AK31" i="9"/>
  <c r="AM31" i="9"/>
  <c r="AN31" i="9"/>
  <c r="AO31" i="9"/>
  <c r="AP31" i="9"/>
  <c r="AQ31" i="9"/>
  <c r="AR31" i="9"/>
  <c r="AS31" i="9"/>
  <c r="AT31" i="9"/>
  <c r="AU31" i="9"/>
  <c r="AV31" i="9"/>
  <c r="AW31" i="9"/>
  <c r="AL31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L29" i="9"/>
  <c r="AM29" i="9"/>
  <c r="AN29" i="9"/>
  <c r="AO29" i="9"/>
  <c r="AP29" i="9"/>
  <c r="AR29" i="9"/>
  <c r="AS29" i="9"/>
  <c r="AT29" i="9"/>
  <c r="AU29" i="9"/>
  <c r="AV29" i="9"/>
  <c r="AW29" i="9"/>
  <c r="AQ29" i="9"/>
  <c r="AI29" i="9"/>
  <c r="AJ29" i="9"/>
  <c r="AK29" i="9"/>
  <c r="AH29" i="9"/>
  <c r="AH20" i="9"/>
  <c r="AI20" i="9"/>
  <c r="AJ20" i="9"/>
  <c r="AK20" i="9"/>
  <c r="AS14" i="9"/>
  <c r="AW14" i="9"/>
  <c r="AV14" i="9"/>
  <c r="AU14" i="9"/>
  <c r="AT14" i="9"/>
  <c r="AH14" i="9"/>
  <c r="AI14" i="9"/>
  <c r="AJ14" i="9"/>
  <c r="AK14" i="9"/>
  <c r="AL14" i="9"/>
  <c r="AM14" i="9"/>
  <c r="AN14" i="9"/>
  <c r="AO14" i="9"/>
  <c r="AP14" i="9"/>
  <c r="AQ14" i="9"/>
  <c r="AR14" i="9"/>
  <c r="AA33" i="9"/>
  <c r="AH33" i="9" a="1"/>
  <c r="AT33" i="9" s="1"/>
  <c r="AR41" i="9"/>
  <c r="AH41" i="9"/>
  <c r="AS11" i="9"/>
  <c r="AL11" i="9"/>
  <c r="AW11" i="9"/>
  <c r="AN11" i="9"/>
  <c r="AP11" i="9"/>
  <c r="AQ11" i="9"/>
  <c r="AR11" i="9"/>
  <c r="AM11" i="9"/>
  <c r="AO11" i="9"/>
  <c r="AT11" i="9"/>
  <c r="AU11" i="9"/>
  <c r="AV11" i="9"/>
  <c r="AI11" i="9"/>
  <c r="AK11" i="9"/>
  <c r="AH11" i="9"/>
  <c r="AJ11" i="9"/>
  <c r="AI12" i="9"/>
  <c r="AJ12" i="9"/>
  <c r="AK12" i="9"/>
  <c r="AH12" i="9"/>
  <c r="AH10" i="9"/>
  <c r="AI10" i="9"/>
  <c r="AJ10" i="9"/>
  <c r="AK10" i="9"/>
  <c r="AH9" i="9"/>
  <c r="AI9" i="9"/>
  <c r="AJ9" i="9"/>
  <c r="AK9" i="9"/>
  <c r="AH8" i="9"/>
  <c r="AI8" i="9"/>
  <c r="AJ8" i="9"/>
  <c r="AK8" i="9"/>
  <c r="AV55" i="9"/>
  <c r="AH55" i="9"/>
  <c r="AR27" i="9"/>
  <c r="AQ27" i="9"/>
  <c r="AW27" i="9"/>
  <c r="AH27" i="9"/>
  <c r="AV27" i="9"/>
  <c r="AU27" i="9"/>
  <c r="AJ27" i="9"/>
  <c r="AT27" i="9"/>
  <c r="AS27" i="9"/>
  <c r="AP27" i="9"/>
  <c r="AN27" i="9"/>
  <c r="AK27" i="9"/>
  <c r="AM27" i="9"/>
  <c r="AL27" i="9"/>
  <c r="AI27" i="9"/>
  <c r="AO27" i="9"/>
  <c r="AN34" i="9"/>
  <c r="AK34" i="9"/>
  <c r="AJ34" i="9"/>
  <c r="AI34" i="9"/>
  <c r="AL34" i="9"/>
  <c r="AM34" i="9"/>
  <c r="AO34" i="9"/>
  <c r="AP34" i="9"/>
  <c r="AQ34" i="9"/>
  <c r="AS34" i="9"/>
  <c r="AT34" i="9"/>
  <c r="AU34" i="9"/>
  <c r="AH34" i="9"/>
  <c r="AV34" i="9"/>
  <c r="AW34" i="9"/>
  <c r="AR34" i="9"/>
  <c r="AV11" i="8"/>
  <c r="AT11" i="8"/>
  <c r="AW11" i="8"/>
  <c r="AU11" i="8"/>
  <c r="AH10" i="8" a="1"/>
  <c r="Z10" i="8"/>
  <c r="S22" i="8"/>
  <c r="Z15" i="8" a="1"/>
  <c r="Z15" i="8" s="1"/>
  <c r="AP11" i="8"/>
  <c r="AR11" i="8"/>
  <c r="AQ11" i="8"/>
  <c r="AS11" i="8"/>
  <c r="AJ3" i="8"/>
  <c r="AK3" i="8"/>
  <c r="AJ21" i="8"/>
  <c r="AK21" i="8"/>
  <c r="R4" i="8" a="1"/>
  <c r="R4" i="8" s="1"/>
  <c r="R5" i="8" a="1"/>
  <c r="R5" i="8" s="1"/>
  <c r="X5" i="8" a="1"/>
  <c r="X5" i="8" s="1"/>
  <c r="Y5" i="8" a="1"/>
  <c r="Y5" i="8" s="1"/>
  <c r="Z5" i="8" a="1"/>
  <c r="Z5" i="8" s="1"/>
  <c r="AL10" i="8" a="1"/>
  <c r="AP20" i="8"/>
  <c r="AQ20" i="8"/>
  <c r="AL20" i="8"/>
  <c r="AU20" i="8"/>
  <c r="AM20" i="8"/>
  <c r="AO20" i="8"/>
  <c r="AS20" i="8"/>
  <c r="AT20" i="8"/>
  <c r="AR20" i="8"/>
  <c r="AH20" i="8"/>
  <c r="AK20" i="8"/>
  <c r="AN20" i="8"/>
  <c r="AW20" i="8"/>
  <c r="AI20" i="8"/>
  <c r="AV20" i="8"/>
  <c r="AJ20" i="8"/>
  <c r="AI21" i="8"/>
  <c r="AH21" i="8"/>
  <c r="AL25" i="8"/>
  <c r="AP25" i="8"/>
  <c r="AI25" i="8"/>
  <c r="AQ25" i="8"/>
  <c r="AS25" i="8"/>
  <c r="AH25" i="8"/>
  <c r="AO25" i="8"/>
  <c r="AK25" i="8"/>
  <c r="AV25" i="8"/>
  <c r="AU25" i="8"/>
  <c r="AT25" i="8"/>
  <c r="AR25" i="8"/>
  <c r="AJ25" i="8"/>
  <c r="AW25" i="8"/>
  <c r="AN25" i="8"/>
  <c r="AM25" i="8"/>
  <c r="AM8" i="8"/>
  <c r="AL8" i="8"/>
  <c r="AK8" i="8"/>
  <c r="AJ8" i="8"/>
  <c r="AI8" i="8"/>
  <c r="AH8" i="8"/>
  <c r="AN4" i="8"/>
  <c r="AM4" i="8"/>
  <c r="AL4" i="8"/>
  <c r="AJ4" i="8" a="1"/>
  <c r="AH4" i="8" a="1"/>
  <c r="S135" i="12"/>
  <c r="AD135" i="12"/>
  <c r="Y124" i="12"/>
  <c r="AF16" i="12"/>
  <c r="AG16" i="12"/>
  <c r="AF17" i="12"/>
  <c r="AG17" i="12"/>
  <c r="AF18" i="12"/>
  <c r="AG18" i="12"/>
  <c r="U16" i="12"/>
  <c r="AB17" i="12"/>
  <c r="V16" i="12"/>
  <c r="S17" i="12"/>
  <c r="AW61" i="12"/>
  <c r="AL61" i="12"/>
  <c r="AU61" i="12"/>
  <c r="AV61" i="12"/>
  <c r="AN61" i="12"/>
  <c r="AO61" i="12"/>
  <c r="AP61" i="12"/>
  <c r="AQ61" i="12"/>
  <c r="AH61" i="12"/>
  <c r="AI61" i="12"/>
  <c r="AR61" i="12"/>
  <c r="AK61" i="12"/>
  <c r="AT61" i="12"/>
  <c r="AJ61" i="12"/>
  <c r="AS61" i="12"/>
  <c r="AM61" i="12"/>
  <c r="R105" i="12"/>
  <c r="S109" i="12"/>
  <c r="S110" i="12"/>
  <c r="S111" i="12"/>
  <c r="T109" i="12"/>
  <c r="T110" i="12"/>
  <c r="T111" i="12"/>
  <c r="AW14" i="12"/>
  <c r="AW12" i="12"/>
  <c r="AV14" i="12"/>
  <c r="AR14" i="12"/>
  <c r="AR13" i="12"/>
  <c r="AQ13" i="12"/>
  <c r="AQ12" i="12"/>
  <c r="AS14" i="12"/>
  <c r="AI14" i="12"/>
  <c r="AH14" i="12"/>
  <c r="AH13" i="12"/>
  <c r="AJ12" i="12"/>
  <c r="C10" i="21"/>
  <c r="E10" i="21"/>
  <c r="AJ101" i="12"/>
  <c r="AE96" i="12"/>
  <c r="AE108" i="12"/>
  <c r="AE100" i="12"/>
  <c r="AE104" i="12"/>
  <c r="C13" i="21"/>
  <c r="AH52" i="12"/>
  <c r="AH53" i="12"/>
  <c r="AW13" i="12"/>
  <c r="AV12" i="12"/>
  <c r="AU14" i="12"/>
  <c r="AU13" i="12"/>
  <c r="AU12" i="12"/>
  <c r="AV13" i="12"/>
  <c r="AT14" i="12"/>
  <c r="AT13" i="12"/>
  <c r="AT12" i="12"/>
  <c r="AR12" i="12"/>
  <c r="AQ14" i="12"/>
  <c r="AS12" i="12"/>
  <c r="AS13" i="12"/>
  <c r="AN13" i="12"/>
  <c r="AN14" i="12"/>
  <c r="AP12" i="12"/>
  <c r="AP13" i="12"/>
  <c r="AO12" i="12"/>
  <c r="AP14" i="12"/>
  <c r="AO13" i="12"/>
  <c r="AN12" i="12"/>
  <c r="AO14" i="12"/>
  <c r="AL14" i="12"/>
  <c r="AM12" i="12"/>
  <c r="AM13" i="12"/>
  <c r="AL12" i="12"/>
  <c r="AK12" i="12"/>
  <c r="AK13" i="12"/>
  <c r="AK14" i="12"/>
  <c r="AM14" i="12"/>
  <c r="AL13" i="12"/>
  <c r="AH12" i="12"/>
  <c r="AJ13" i="12"/>
  <c r="AI12" i="12"/>
  <c r="AJ14" i="12"/>
  <c r="AI13" i="12"/>
  <c r="AV114" i="12"/>
  <c r="AV112" i="12"/>
  <c r="AU114" i="12"/>
  <c r="AU113" i="12"/>
  <c r="AK112" i="12"/>
  <c r="AK114" i="12"/>
  <c r="AK113" i="12"/>
  <c r="AM112" i="12"/>
  <c r="AU112" i="12"/>
  <c r="AW114" i="12"/>
  <c r="AW59" i="12"/>
  <c r="AS59" i="12"/>
  <c r="AM59" i="12"/>
  <c r="AO59" i="12"/>
  <c r="AH59" i="12"/>
  <c r="AP59" i="12"/>
  <c r="AR59" i="12"/>
  <c r="AI59" i="12"/>
  <c r="AQ59" i="12"/>
  <c r="AL59" i="12"/>
  <c r="AT59" i="12"/>
  <c r="AJ59" i="12"/>
  <c r="AK59" i="12"/>
  <c r="AV59" i="12"/>
  <c r="AU59" i="12"/>
  <c r="AN59" i="12"/>
  <c r="AT112" i="12"/>
  <c r="AW113" i="12"/>
  <c r="AW112" i="12"/>
  <c r="AV113" i="12"/>
  <c r="AT114" i="12"/>
  <c r="AT113" i="12"/>
  <c r="AR114" i="12"/>
  <c r="AQ113" i="12"/>
  <c r="AS112" i="12"/>
  <c r="AQ112" i="12"/>
  <c r="AS113" i="12"/>
  <c r="AR112" i="12"/>
  <c r="AQ114" i="12"/>
  <c r="AS114" i="12"/>
  <c r="AR113" i="12"/>
  <c r="AP112" i="12"/>
  <c r="AP114" i="12"/>
  <c r="AO113" i="12"/>
  <c r="AN112" i="12"/>
  <c r="AO114" i="12"/>
  <c r="AN113" i="12"/>
  <c r="AN114" i="12"/>
  <c r="C11" i="21"/>
  <c r="E11" i="21"/>
  <c r="AK52" i="12"/>
  <c r="AL53" i="12"/>
  <c r="AL52" i="12"/>
  <c r="AL54" i="12"/>
  <c r="AK54" i="12"/>
  <c r="AK53" i="12"/>
  <c r="R120" i="12"/>
  <c r="AJ120" i="12" a="1"/>
  <c r="AJ120" i="12" s="1"/>
  <c r="AN120" i="12" a="1"/>
  <c r="AG120" i="12" a="1"/>
  <c r="AG120" i="12" s="1"/>
  <c r="AO52" i="12"/>
  <c r="AP52" i="12"/>
  <c r="AP53" i="12"/>
  <c r="AO53" i="12"/>
  <c r="AG117" i="12" a="1"/>
  <c r="AG117" i="12" s="1"/>
  <c r="U118" i="12" a="1"/>
  <c r="U118" i="12" s="1"/>
  <c r="U117" i="12" a="1"/>
  <c r="U117" i="12" s="1"/>
  <c r="AG162" i="12" a="1"/>
  <c r="AG162" i="12" s="1"/>
  <c r="AK140" i="12" a="1"/>
  <c r="AK140" i="12" s="1"/>
  <c r="U140" i="12" a="1"/>
  <c r="U140" i="12" s="1"/>
  <c r="AJ58" i="12"/>
  <c r="AU58" i="12"/>
  <c r="AS58" i="12"/>
  <c r="AL58" i="12"/>
  <c r="AM58" i="12"/>
  <c r="AO58" i="12"/>
  <c r="AW58" i="12"/>
  <c r="AH58" i="12"/>
  <c r="AP58" i="12"/>
  <c r="AI58" i="12"/>
  <c r="AQ58" i="12"/>
  <c r="AT58" i="12"/>
  <c r="AN58" i="12"/>
  <c r="AR58" i="12"/>
  <c r="AK58" i="12"/>
  <c r="AV58" i="12"/>
  <c r="AL56" i="12"/>
  <c r="AT56" i="12"/>
  <c r="AI56" i="12"/>
  <c r="AM56" i="12"/>
  <c r="AU56" i="12"/>
  <c r="AN56" i="12"/>
  <c r="AV56" i="12"/>
  <c r="AO56" i="12"/>
  <c r="AW56" i="12"/>
  <c r="AQ56" i="12"/>
  <c r="AR56" i="12"/>
  <c r="AI64" i="12"/>
  <c r="AL64" i="12"/>
  <c r="AT64" i="12"/>
  <c r="AQ64" i="12"/>
  <c r="AJ64" i="12"/>
  <c r="AR64" i="12"/>
  <c r="AH64" i="12"/>
  <c r="AK64" i="12"/>
  <c r="AS64" i="12"/>
  <c r="AM64" i="12"/>
  <c r="AU64" i="12"/>
  <c r="AO64" i="12"/>
  <c r="AW64" i="12"/>
  <c r="AP64" i="12"/>
  <c r="AN64" i="12"/>
  <c r="AV64" i="12"/>
  <c r="Z126" i="12" a="1"/>
  <c r="Z126" i="12" s="1"/>
  <c r="AH126" i="12" a="1"/>
  <c r="X126" i="12"/>
  <c r="Y126" i="12"/>
  <c r="Z132" i="12"/>
  <c r="W131" i="12"/>
  <c r="V132" i="12"/>
  <c r="T131" i="12"/>
  <c r="S130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W115" i="12"/>
  <c r="AQ15" i="12"/>
  <c r="AH15" i="12"/>
  <c r="AK15" i="12"/>
  <c r="AL15" i="12"/>
  <c r="AM15" i="12"/>
  <c r="AN15" i="12"/>
  <c r="AO15" i="12"/>
  <c r="AP15" i="12"/>
  <c r="AI15" i="12"/>
  <c r="AR15" i="12"/>
  <c r="AS15" i="12"/>
  <c r="AT15" i="12"/>
  <c r="AU15" i="12"/>
  <c r="AV15" i="12"/>
  <c r="AW15" i="12"/>
  <c r="AJ15" i="12"/>
  <c r="AO4" i="12"/>
  <c r="AP4" i="12"/>
  <c r="AQ4" i="12"/>
  <c r="AR4" i="12"/>
  <c r="AS4" i="12"/>
  <c r="AT4" i="12"/>
  <c r="AU4" i="12"/>
  <c r="AV4" i="12"/>
  <c r="AW4" i="12"/>
  <c r="AH4" i="12"/>
  <c r="AI4" i="12"/>
  <c r="AJ4" i="12"/>
  <c r="AK4" i="12"/>
  <c r="AL4" i="12"/>
  <c r="AM4" i="12"/>
  <c r="AN4" i="12"/>
  <c r="AM134" i="12"/>
  <c r="AL134" i="12"/>
  <c r="AK134" i="12"/>
  <c r="AJ134" i="12"/>
  <c r="AI134" i="12"/>
  <c r="AH134" i="12"/>
  <c r="AV134" i="12"/>
  <c r="AU134" i="12"/>
  <c r="AT134" i="12"/>
  <c r="AS134" i="12"/>
  <c r="AR134" i="12"/>
  <c r="AQ134" i="12"/>
  <c r="AP134" i="12"/>
  <c r="AO134" i="12"/>
  <c r="AN134" i="12"/>
  <c r="AW134" i="12"/>
  <c r="V6" i="12"/>
  <c r="Y11" i="12"/>
  <c r="X10" i="12"/>
  <c r="V9" i="12"/>
  <c r="R9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S52" i="12"/>
  <c r="AS53" i="12"/>
  <c r="AS54" i="12"/>
  <c r="T6" i="12"/>
  <c r="X6" i="12"/>
  <c r="AH162" i="12" a="1"/>
  <c r="Z163" i="12" a="1"/>
  <c r="Z163" i="12" s="1"/>
  <c r="Z164" i="12" a="1"/>
  <c r="Z164" i="12" s="1"/>
  <c r="Z165" i="12" a="1"/>
  <c r="Z165" i="12" s="1"/>
  <c r="Z166" i="12" a="1"/>
  <c r="Z166" i="12" s="1"/>
  <c r="Z167" i="12" a="1"/>
  <c r="Z167" i="12" s="1"/>
  <c r="Z168" i="12" a="1"/>
  <c r="Z168" i="12" s="1"/>
  <c r="Z169" i="12" a="1"/>
  <c r="Z169" i="12" s="1"/>
  <c r="Z170" i="12" a="1"/>
  <c r="Z170" i="12" s="1"/>
  <c r="Z162" i="12" a="1"/>
  <c r="Z162" i="12" s="1"/>
  <c r="V155" i="19"/>
  <c r="W155" i="19"/>
  <c r="V129" i="19"/>
  <c r="W129" i="19"/>
  <c r="V89" i="19"/>
  <c r="W89" i="19"/>
  <c r="V77" i="19"/>
  <c r="W77" i="19"/>
  <c r="V57" i="19"/>
  <c r="W57" i="19"/>
  <c r="V19" i="19"/>
  <c r="W19" i="19"/>
  <c r="V80" i="19"/>
  <c r="W80" i="19"/>
  <c r="W29" i="19"/>
  <c r="V29" i="19"/>
  <c r="W117" i="19"/>
  <c r="V117" i="19"/>
  <c r="V116" i="19"/>
  <c r="W116" i="19"/>
  <c r="V104" i="19"/>
  <c r="W104" i="19"/>
  <c r="V90" i="19"/>
  <c r="W90" i="19"/>
  <c r="V91" i="19"/>
  <c r="W91" i="19"/>
  <c r="V92" i="19"/>
  <c r="W92" i="19"/>
  <c r="V93" i="19"/>
  <c r="W93" i="19"/>
  <c r="W94" i="19"/>
  <c r="V94" i="19"/>
  <c r="W95" i="19"/>
  <c r="V95" i="19"/>
  <c r="W96" i="19"/>
  <c r="V96" i="19"/>
  <c r="W97" i="19"/>
  <c r="V97" i="19"/>
  <c r="W98" i="19"/>
  <c r="V98" i="19"/>
  <c r="W99" i="19"/>
  <c r="V99" i="19"/>
  <c r="W100" i="19"/>
  <c r="V100" i="19"/>
  <c r="W101" i="19"/>
  <c r="V101" i="19"/>
  <c r="W102" i="19"/>
  <c r="V102" i="19"/>
  <c r="V103" i="19"/>
  <c r="W103" i="19"/>
  <c r="W105" i="19"/>
  <c r="V105" i="19"/>
  <c r="V106" i="19"/>
  <c r="W106" i="19"/>
  <c r="V107" i="19"/>
  <c r="W107" i="19"/>
  <c r="V108" i="19"/>
  <c r="W108" i="19"/>
  <c r="V109" i="19"/>
  <c r="W109" i="19"/>
  <c r="V110" i="19"/>
  <c r="W110" i="19"/>
  <c r="V111" i="19"/>
  <c r="W111" i="19"/>
  <c r="V112" i="19"/>
  <c r="W112" i="19"/>
  <c r="V113" i="19"/>
  <c r="W113" i="19"/>
  <c r="V114" i="19"/>
  <c r="W114" i="19"/>
  <c r="V115" i="19"/>
  <c r="W115" i="19"/>
  <c r="V118" i="19"/>
  <c r="W118" i="19"/>
  <c r="V159" i="19"/>
  <c r="W159" i="19"/>
  <c r="V160" i="19"/>
  <c r="W160" i="19"/>
  <c r="V134" i="19"/>
  <c r="W134" i="19"/>
  <c r="V143" i="19"/>
  <c r="W143" i="19"/>
  <c r="V69" i="19"/>
  <c r="W69" i="19"/>
  <c r="V58" i="19"/>
  <c r="W58" i="19"/>
  <c r="V62" i="19"/>
  <c r="W62" i="19"/>
  <c r="V64" i="19"/>
  <c r="W64" i="19"/>
  <c r="AP44" i="12"/>
  <c r="AI44" i="12"/>
  <c r="AQ44" i="12"/>
  <c r="AJ44" i="12"/>
  <c r="AR44" i="12"/>
  <c r="AK44" i="12"/>
  <c r="AS44" i="12"/>
  <c r="AL44" i="12"/>
  <c r="AT44" i="12"/>
  <c r="AM44" i="12"/>
  <c r="AU44" i="12"/>
  <c r="AN44" i="12"/>
  <c r="AV44" i="12"/>
  <c r="AO44" i="12"/>
  <c r="AR22" i="12"/>
  <c r="AU22" i="12"/>
  <c r="AQ22" i="12"/>
  <c r="AT52" i="12"/>
  <c r="AU54" i="12"/>
  <c r="AT54" i="12"/>
  <c r="AU53" i="12"/>
  <c r="AT53" i="12"/>
  <c r="AU52" i="12"/>
  <c r="AR53" i="12"/>
  <c r="AQ53" i="12"/>
  <c r="AR52" i="12"/>
  <c r="AR54" i="12"/>
  <c r="AQ54" i="12"/>
  <c r="AQ52" i="12"/>
  <c r="AP113" i="12"/>
  <c r="AO112" i="12"/>
  <c r="C3" i="21"/>
  <c r="AF59" i="5" a="1"/>
  <c r="AF59" i="5" s="1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I94" i="5"/>
  <c r="AJ94" i="5"/>
  <c r="AV94" i="5"/>
  <c r="AU94" i="5"/>
  <c r="AT94" i="5"/>
  <c r="AS94" i="5"/>
  <c r="AR94" i="5"/>
  <c r="AQ94" i="5"/>
  <c r="AP94" i="5"/>
  <c r="AO94" i="5"/>
  <c r="AH94" i="5"/>
  <c r="AN94" i="5"/>
  <c r="AM94" i="5"/>
  <c r="AL94" i="5"/>
  <c r="AK94" i="5"/>
  <c r="AW94" i="5"/>
  <c r="AW55" i="5"/>
  <c r="AV55" i="5"/>
  <c r="AU55" i="5"/>
  <c r="AH55" i="5"/>
  <c r="AT55" i="5"/>
  <c r="AS55" i="5"/>
  <c r="AR55" i="5"/>
  <c r="AQ55" i="5"/>
  <c r="AP55" i="5"/>
  <c r="AO55" i="5"/>
  <c r="AN55" i="5"/>
  <c r="AM55" i="5"/>
  <c r="AL55" i="5"/>
  <c r="AK55" i="5"/>
  <c r="AI55" i="5"/>
  <c r="AJ55" i="5"/>
  <c r="AV43" i="5"/>
  <c r="AT43" i="5"/>
  <c r="AH43" i="5"/>
  <c r="AI43" i="5"/>
  <c r="AJ43" i="5"/>
  <c r="AK43" i="5"/>
  <c r="AL43" i="5"/>
  <c r="AM43" i="5"/>
  <c r="AO43" i="5"/>
  <c r="AP43" i="5"/>
  <c r="AQ43" i="5"/>
  <c r="AR43" i="5"/>
  <c r="AS43" i="5"/>
  <c r="AW43" i="5"/>
  <c r="AU43" i="5"/>
  <c r="AN43" i="5"/>
  <c r="AK121" i="5"/>
  <c r="AR121" i="5"/>
  <c r="AQ121" i="5"/>
  <c r="AN121" i="5"/>
  <c r="AM121" i="5"/>
  <c r="AL121" i="5"/>
  <c r="AH121" i="5"/>
  <c r="AS121" i="5"/>
  <c r="AI121" i="5"/>
  <c r="AJ121" i="5"/>
  <c r="AP121" i="5"/>
  <c r="AT121" i="5"/>
  <c r="AW121" i="5"/>
  <c r="AV121" i="5"/>
  <c r="AU121" i="5"/>
  <c r="AO121" i="5"/>
  <c r="AN91" i="5"/>
  <c r="AH91" i="5"/>
  <c r="AP91" i="5"/>
  <c r="AO91" i="5"/>
  <c r="AQ91" i="5"/>
  <c r="AR91" i="5"/>
  <c r="AS91" i="5"/>
  <c r="AT91" i="5"/>
  <c r="AU91" i="5"/>
  <c r="AV91" i="5"/>
  <c r="AW91" i="5"/>
  <c r="AM91" i="5"/>
  <c r="AL91" i="5"/>
  <c r="AK91" i="5"/>
  <c r="AJ91" i="5"/>
  <c r="AI91" i="5"/>
  <c r="AI95" i="5"/>
  <c r="AJ95" i="5"/>
  <c r="AT95" i="5"/>
  <c r="AW95" i="5"/>
  <c r="AU95" i="5"/>
  <c r="AQ95" i="5"/>
  <c r="AO95" i="5"/>
  <c r="AM95" i="5"/>
  <c r="AL95" i="5"/>
  <c r="AH95" i="5"/>
  <c r="AV95" i="5"/>
  <c r="AS95" i="5"/>
  <c r="AN95" i="5"/>
  <c r="AK95" i="5"/>
  <c r="AP95" i="5"/>
  <c r="AR95" i="5"/>
  <c r="AI57" i="5"/>
  <c r="AJ57" i="5"/>
  <c r="AH57" i="5"/>
  <c r="AR57" i="5"/>
  <c r="AT57" i="5"/>
  <c r="AV57" i="5"/>
  <c r="AQ57" i="5"/>
  <c r="AO57" i="5"/>
  <c r="AM57" i="5"/>
  <c r="AL57" i="5"/>
  <c r="AK57" i="5"/>
  <c r="AW57" i="5"/>
  <c r="AU57" i="5"/>
  <c r="AS57" i="5"/>
  <c r="AN57" i="5"/>
  <c r="AP57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W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V96" i="5"/>
  <c r="AW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H93" i="5"/>
  <c r="AQ92" i="5"/>
  <c r="AP92" i="5"/>
  <c r="AR92" i="5"/>
  <c r="AN92" i="5"/>
  <c r="AM92" i="5"/>
  <c r="AL92" i="5"/>
  <c r="AK92" i="5"/>
  <c r="AJ92" i="5"/>
  <c r="AI92" i="5"/>
  <c r="AH92" i="5"/>
  <c r="AS92" i="5"/>
  <c r="AT92" i="5"/>
  <c r="AU92" i="5"/>
  <c r="AO92" i="5"/>
  <c r="AV92" i="5"/>
  <c r="AW92" i="5"/>
  <c r="AK90" i="5"/>
  <c r="AO90" i="5"/>
  <c r="AP90" i="5"/>
  <c r="AQ90" i="5"/>
  <c r="AR90" i="5"/>
  <c r="AS90" i="5"/>
  <c r="AT90" i="5"/>
  <c r="AU90" i="5"/>
  <c r="AV90" i="5"/>
  <c r="AN90" i="5"/>
  <c r="AM90" i="5"/>
  <c r="AL90" i="5"/>
  <c r="AJ90" i="5"/>
  <c r="AI90" i="5"/>
  <c r="AH90" i="5"/>
  <c r="AW90" i="5"/>
  <c r="AI89" i="5"/>
  <c r="AO89" i="5"/>
  <c r="AK89" i="5"/>
  <c r="AL89" i="5"/>
  <c r="AJ89" i="5"/>
  <c r="AV89" i="5"/>
  <c r="AH89" i="5"/>
  <c r="AU89" i="5"/>
  <c r="AT89" i="5"/>
  <c r="AS89" i="5"/>
  <c r="AR89" i="5"/>
  <c r="AQ89" i="5"/>
  <c r="AW89" i="5"/>
  <c r="AM89" i="5"/>
  <c r="AN89" i="5"/>
  <c r="AP89" i="5"/>
  <c r="AH85" i="5"/>
  <c r="AM85" i="5"/>
  <c r="AL85" i="5"/>
  <c r="AN85" i="5"/>
  <c r="AO85" i="5"/>
  <c r="AP85" i="5"/>
  <c r="AQ85" i="5"/>
  <c r="AR85" i="5"/>
  <c r="AS85" i="5"/>
  <c r="AT85" i="5"/>
  <c r="AU85" i="5"/>
  <c r="AV85" i="5"/>
  <c r="AW85" i="5"/>
  <c r="AK85" i="5"/>
  <c r="AJ85" i="5"/>
  <c r="AI85" i="5"/>
  <c r="AU84" i="5"/>
  <c r="AT84" i="5"/>
  <c r="AH84" i="5"/>
  <c r="AI84" i="5"/>
  <c r="AJ84" i="5"/>
  <c r="AK84" i="5"/>
  <c r="AL84" i="5"/>
  <c r="AM84" i="5"/>
  <c r="AS84" i="5"/>
  <c r="AN84" i="5"/>
  <c r="AO84" i="5"/>
  <c r="AP84" i="5"/>
  <c r="AQ84" i="5"/>
  <c r="AW84" i="5"/>
  <c r="AV84" i="5"/>
  <c r="AR84" i="5"/>
  <c r="AP82" i="5"/>
  <c r="AO82" i="5"/>
  <c r="AQ82" i="5"/>
  <c r="AH82" i="5"/>
  <c r="AI82" i="5"/>
  <c r="AJ82" i="5"/>
  <c r="AK82" i="5"/>
  <c r="AR82" i="5"/>
  <c r="AS82" i="5"/>
  <c r="AT82" i="5"/>
  <c r="AU82" i="5"/>
  <c r="AV82" i="5"/>
  <c r="AW82" i="5"/>
  <c r="AN82" i="5"/>
  <c r="AM82" i="5"/>
  <c r="AL82" i="5"/>
  <c r="AW81" i="5"/>
  <c r="AI81" i="5"/>
  <c r="Y81" i="5"/>
  <c r="Z81" i="5"/>
  <c r="AA81" i="5"/>
  <c r="AB81" i="5"/>
  <c r="AC81" i="5"/>
  <c r="AD81" i="5"/>
  <c r="AE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F81" i="5"/>
  <c r="AJ81" i="5"/>
  <c r="AG81" i="5"/>
  <c r="AH81" i="5"/>
  <c r="AF80" i="5"/>
  <c r="AI80" i="5"/>
  <c r="AH80" i="5"/>
  <c r="AG80" i="5"/>
  <c r="Z80" i="5"/>
  <c r="AA80" i="5"/>
  <c r="AB80" i="5"/>
  <c r="AC80" i="5"/>
  <c r="AD80" i="5"/>
  <c r="AE80" i="5"/>
  <c r="AJ80" i="5"/>
  <c r="AK80" i="5"/>
  <c r="AL80" i="5"/>
  <c r="AM80" i="5"/>
  <c r="AN80" i="5"/>
  <c r="AO80" i="5"/>
  <c r="AP80" i="5"/>
  <c r="AV80" i="5"/>
  <c r="AU80" i="5"/>
  <c r="AT80" i="5"/>
  <c r="AS80" i="5"/>
  <c r="AR80" i="5"/>
  <c r="AW80" i="5"/>
  <c r="AQ80" i="5"/>
  <c r="AT77" i="5"/>
  <c r="AU77" i="5"/>
  <c r="AV77" i="5"/>
  <c r="AQ77" i="5"/>
  <c r="AP77" i="5"/>
  <c r="AO77" i="5"/>
  <c r="AN77" i="5"/>
  <c r="AM77" i="5"/>
  <c r="AW77" i="5"/>
  <c r="AS77" i="5"/>
  <c r="AL77" i="5"/>
  <c r="AK77" i="5"/>
  <c r="AJ77" i="5"/>
  <c r="AI77" i="5"/>
  <c r="AH77" i="5"/>
  <c r="AR77" i="5"/>
  <c r="AV72" i="5"/>
  <c r="AH72" i="5"/>
  <c r="AU72" i="5"/>
  <c r="AT72" i="5"/>
  <c r="AS72" i="5"/>
  <c r="AR72" i="5"/>
  <c r="AQ72" i="5"/>
  <c r="AP72" i="5"/>
  <c r="AW72" i="5"/>
  <c r="AO72" i="5"/>
  <c r="AN72" i="5"/>
  <c r="AM72" i="5"/>
  <c r="AL72" i="5"/>
  <c r="AK72" i="5"/>
  <c r="AJ72" i="5"/>
  <c r="AI72" i="5"/>
  <c r="AL71" i="5"/>
  <c r="AH71" i="5"/>
  <c r="AJ71" i="5"/>
  <c r="AI71" i="5"/>
  <c r="AK71" i="5"/>
  <c r="AR71" i="5"/>
  <c r="AQ71" i="5"/>
  <c r="AP71" i="5"/>
  <c r="AU71" i="5"/>
  <c r="AV71" i="5"/>
  <c r="AW71" i="5"/>
  <c r="AO71" i="5"/>
  <c r="AN71" i="5"/>
  <c r="AM71" i="5"/>
  <c r="AS71" i="5"/>
  <c r="AT71" i="5"/>
  <c r="AH56" i="5"/>
  <c r="AJ56" i="5"/>
  <c r="AI56" i="5"/>
  <c r="AK56" i="5"/>
  <c r="AL56" i="5"/>
  <c r="AM56" i="5"/>
  <c r="AN56" i="5"/>
  <c r="AU56" i="5"/>
  <c r="AT56" i="5"/>
  <c r="AV56" i="5"/>
  <c r="AW56" i="5"/>
  <c r="AO56" i="5"/>
  <c r="AP56" i="5"/>
  <c r="AQ56" i="5"/>
  <c r="AR56" i="5"/>
  <c r="AS56" i="5"/>
  <c r="AW53" i="5"/>
  <c r="AN53" i="5"/>
  <c r="AM53" i="5"/>
  <c r="AH53" i="5"/>
  <c r="AI53" i="5"/>
  <c r="AJ53" i="5"/>
  <c r="AK53" i="5"/>
  <c r="AL53" i="5"/>
  <c r="AO53" i="5"/>
  <c r="AP53" i="5"/>
  <c r="AQ53" i="5"/>
  <c r="AR53" i="5"/>
  <c r="AS53" i="5"/>
  <c r="AT53" i="5"/>
  <c r="AV53" i="5"/>
  <c r="AU53" i="5"/>
  <c r="AI50" i="5"/>
  <c r="AN50" i="5"/>
  <c r="AH50" i="5"/>
  <c r="AJ50" i="5"/>
  <c r="AK50" i="5"/>
  <c r="AL50" i="5"/>
  <c r="AM50" i="5"/>
  <c r="AW50" i="5"/>
  <c r="AV50" i="5"/>
  <c r="AU50" i="5"/>
  <c r="AT50" i="5"/>
  <c r="AS50" i="5"/>
  <c r="AR50" i="5"/>
  <c r="AQ50" i="5"/>
  <c r="AP50" i="5"/>
  <c r="AO50" i="5"/>
  <c r="AS49" i="5"/>
  <c r="AJ49" i="5"/>
  <c r="AW49" i="5"/>
  <c r="AI49" i="5"/>
  <c r="AH49" i="5"/>
  <c r="AT49" i="5"/>
  <c r="AK49" i="5"/>
  <c r="AL49" i="5"/>
  <c r="AM49" i="5"/>
  <c r="AV49" i="5"/>
  <c r="AU49" i="5"/>
  <c r="AN49" i="5"/>
  <c r="AO49" i="5"/>
  <c r="AP49" i="5"/>
  <c r="AQ49" i="5"/>
  <c r="AR49" i="5"/>
  <c r="AH3" i="5"/>
  <c r="AI3" i="5"/>
  <c r="AJ3" i="5"/>
  <c r="AK3" i="5"/>
  <c r="AL3" i="5"/>
  <c r="AM3" i="5"/>
  <c r="AN3" i="5"/>
  <c r="AO3" i="5"/>
  <c r="AP3" i="5"/>
  <c r="AW3" i="5"/>
  <c r="AS3" i="5"/>
  <c r="AT3" i="5"/>
  <c r="AU3" i="5"/>
  <c r="AV3" i="5"/>
  <c r="AQ3" i="5"/>
  <c r="AR3" i="5"/>
  <c r="AQ36" i="5"/>
  <c r="AV36" i="5"/>
  <c r="AP36" i="5"/>
  <c r="AO36" i="5"/>
  <c r="AN36" i="5"/>
  <c r="AW36" i="5"/>
  <c r="AM36" i="5"/>
  <c r="AL36" i="5"/>
  <c r="AK36" i="5"/>
  <c r="AJ36" i="5"/>
  <c r="AI36" i="5"/>
  <c r="AH36" i="5"/>
  <c r="AR36" i="5"/>
  <c r="AS36" i="5"/>
  <c r="AT36" i="5"/>
  <c r="AU36" i="5"/>
  <c r="AW35" i="5"/>
  <c r="AH35" i="5"/>
  <c r="AI35" i="5"/>
  <c r="AJ35" i="5"/>
  <c r="AK35" i="5"/>
  <c r="AL35" i="5"/>
  <c r="AM35" i="5"/>
  <c r="AN35" i="5"/>
  <c r="AO35" i="5"/>
  <c r="AP35" i="5"/>
  <c r="AQ35" i="5"/>
  <c r="AR35" i="5"/>
  <c r="AT35" i="5"/>
  <c r="AU35" i="5"/>
  <c r="AV35" i="5"/>
  <c r="AS35" i="5"/>
  <c r="AW29" i="5"/>
  <c r="AI29" i="5"/>
  <c r="AT29" i="5"/>
  <c r="AU29" i="5"/>
  <c r="AV29" i="5"/>
  <c r="AH29" i="5"/>
  <c r="AJ29" i="5"/>
  <c r="AK29" i="5"/>
  <c r="AL29" i="5"/>
  <c r="AM29" i="5"/>
  <c r="AN29" i="5"/>
  <c r="AO29" i="5"/>
  <c r="AP29" i="5"/>
  <c r="AQ29" i="5"/>
  <c r="AR29" i="5"/>
  <c r="AS29" i="5"/>
  <c r="H50" i="19"/>
  <c r="I50" i="19"/>
  <c r="C14" i="21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V42" i="5"/>
  <c r="B1" i="5"/>
  <c r="AH83" i="5"/>
  <c r="AI83" i="5"/>
  <c r="AJ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K83" i="5"/>
  <c r="AI48" i="5"/>
  <c r="AH48" i="5"/>
  <c r="AW48" i="5"/>
  <c r="AV48" i="5"/>
  <c r="AU48" i="5"/>
  <c r="AT48" i="5"/>
  <c r="AS48" i="5"/>
  <c r="AR48" i="5"/>
  <c r="AQ48" i="5"/>
  <c r="AJ48" i="5"/>
  <c r="AK48" i="5"/>
  <c r="AL48" i="5"/>
  <c r="AM48" i="5"/>
  <c r="AN48" i="5"/>
  <c r="AO48" i="5"/>
  <c r="AP48" i="5"/>
  <c r="AQ47" i="5"/>
  <c r="AP47" i="5"/>
  <c r="AR47" i="5"/>
  <c r="AS47" i="5"/>
  <c r="AT47" i="5"/>
  <c r="AU47" i="5"/>
  <c r="AV47" i="5"/>
  <c r="AW47" i="5"/>
  <c r="AH47" i="5"/>
  <c r="AO47" i="5"/>
  <c r="AN47" i="5"/>
  <c r="AM47" i="5"/>
  <c r="AL47" i="5"/>
  <c r="AK47" i="5"/>
  <c r="AJ47" i="5"/>
  <c r="AI47" i="5"/>
  <c r="AH45" i="5"/>
  <c r="AI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V44" i="5"/>
  <c r="AU44" i="5"/>
  <c r="AW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J67" i="5"/>
  <c r="AI67" i="5"/>
  <c r="AI54" i="5"/>
  <c r="AR54" i="5"/>
  <c r="AS54" i="5"/>
  <c r="AT54" i="5"/>
  <c r="AU54" i="5"/>
  <c r="AH54" i="5"/>
  <c r="AJ54" i="5"/>
  <c r="AK54" i="5"/>
  <c r="AL54" i="5"/>
  <c r="AM54" i="5"/>
  <c r="AN54" i="5"/>
  <c r="AO54" i="5"/>
  <c r="AP54" i="5"/>
  <c r="AQ54" i="5"/>
  <c r="AV54" i="5"/>
  <c r="AW54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W20" i="5"/>
  <c r="AH20" i="5"/>
  <c r="AI24" i="5"/>
  <c r="AP24" i="5"/>
  <c r="AH24" i="5"/>
  <c r="AV24" i="5"/>
  <c r="AT24" i="5"/>
  <c r="AQ24" i="5"/>
  <c r="AM24" i="5"/>
  <c r="AL24" i="5"/>
  <c r="AS24" i="5"/>
  <c r="AR24" i="5"/>
  <c r="AO24" i="5"/>
  <c r="AK24" i="5"/>
  <c r="AJ24" i="5"/>
  <c r="AW24" i="5"/>
  <c r="AU24" i="5"/>
  <c r="AN24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W76" i="5"/>
  <c r="AL76" i="5"/>
  <c r="AK76" i="5"/>
  <c r="AM76" i="5"/>
  <c r="AJ76" i="5"/>
  <c r="AH76" i="5"/>
  <c r="AN76" i="5"/>
  <c r="AI76" i="5"/>
  <c r="AO76" i="5"/>
  <c r="AP76" i="5"/>
  <c r="AQ76" i="5"/>
  <c r="AR76" i="5"/>
  <c r="AS76" i="5"/>
  <c r="AT76" i="5"/>
  <c r="AU76" i="5"/>
  <c r="AV76" i="5"/>
  <c r="AP100" i="5"/>
  <c r="AN100" i="5"/>
  <c r="AV6" i="5"/>
  <c r="AH6" i="5"/>
  <c r="AI6" i="5"/>
  <c r="AL6" i="5"/>
  <c r="AK6" i="5"/>
  <c r="AM6" i="5"/>
  <c r="AN6" i="5"/>
  <c r="AO6" i="5"/>
  <c r="AQ6" i="5"/>
  <c r="AR6" i="5"/>
  <c r="AU6" i="5"/>
  <c r="AW6" i="5"/>
  <c r="AJ6" i="5"/>
  <c r="AP6" i="5"/>
  <c r="AS6" i="5"/>
  <c r="AT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L104" i="5"/>
  <c r="AH104" i="5"/>
  <c r="AI104" i="5"/>
  <c r="AJ104" i="5"/>
  <c r="AK104" i="5"/>
  <c r="AM104" i="5"/>
  <c r="AN104" i="5"/>
  <c r="AO104" i="5"/>
  <c r="AP104" i="5"/>
  <c r="AQ104" i="5"/>
  <c r="AR104" i="5"/>
  <c r="AS104" i="5"/>
  <c r="AT104" i="5"/>
  <c r="AU104" i="5"/>
  <c r="AV104" i="5"/>
  <c r="AW104" i="5"/>
  <c r="AI102" i="5"/>
  <c r="AH102" i="5"/>
  <c r="AJ102" i="5"/>
  <c r="AK102" i="5"/>
  <c r="AH34" i="5"/>
  <c r="AR34" i="5"/>
  <c r="AW34" i="5"/>
  <c r="AV34" i="5"/>
  <c r="AU34" i="5"/>
  <c r="AT34" i="5"/>
  <c r="AS34" i="5"/>
  <c r="AQ34" i="5"/>
  <c r="AP34" i="5"/>
  <c r="AO34" i="5"/>
  <c r="AN34" i="5"/>
  <c r="AM34" i="5"/>
  <c r="AL34" i="5"/>
  <c r="AK34" i="5"/>
  <c r="AJ34" i="5"/>
  <c r="AI34" i="5"/>
  <c r="AI27" i="5"/>
  <c r="AJ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K27" i="5"/>
  <c r="AH27" i="5"/>
  <c r="AH26" i="5"/>
  <c r="AW26" i="5"/>
  <c r="AV26" i="5"/>
  <c r="AU26" i="5"/>
  <c r="AT26" i="5"/>
  <c r="AS26" i="5"/>
  <c r="AR26" i="5"/>
  <c r="AQ26" i="5"/>
  <c r="AP26" i="5"/>
  <c r="AO26" i="5"/>
  <c r="AM26" i="5"/>
  <c r="AL26" i="5"/>
  <c r="AK26" i="5"/>
  <c r="AJ26" i="5"/>
  <c r="AN26" i="5"/>
  <c r="AI26" i="5"/>
  <c r="AI19" i="5"/>
  <c r="AT19" i="5"/>
  <c r="AJ19" i="5"/>
  <c r="AR19" i="5"/>
  <c r="AS19" i="5"/>
  <c r="AU19" i="5"/>
  <c r="AV19" i="5"/>
  <c r="AW19" i="5"/>
  <c r="AK19" i="5"/>
  <c r="AL19" i="5"/>
  <c r="AM19" i="5"/>
  <c r="AN19" i="5"/>
  <c r="AO19" i="5"/>
  <c r="AP19" i="5"/>
  <c r="AQ19" i="5"/>
  <c r="AH19" i="5"/>
  <c r="AH18" i="5"/>
  <c r="AW18" i="5"/>
  <c r="AT18" i="5"/>
  <c r="AI18" i="5"/>
  <c r="AR18" i="5"/>
  <c r="AQ18" i="5"/>
  <c r="AP18" i="5"/>
  <c r="AO18" i="5"/>
  <c r="AN18" i="5"/>
  <c r="AM18" i="5"/>
  <c r="AJ18" i="5"/>
  <c r="AU18" i="5"/>
  <c r="AL18" i="5"/>
  <c r="AK18" i="5"/>
  <c r="AV18" i="5"/>
  <c r="AS18" i="5"/>
  <c r="AQ17" i="5"/>
  <c r="AH17" i="5"/>
  <c r="AI17" i="5"/>
  <c r="AJ17" i="5"/>
  <c r="AK17" i="5"/>
  <c r="AW17" i="5"/>
  <c r="AV17" i="5"/>
  <c r="AU17" i="5"/>
  <c r="AT17" i="5"/>
  <c r="AS17" i="5"/>
  <c r="AR17" i="5"/>
  <c r="AL17" i="5"/>
  <c r="AM17" i="5"/>
  <c r="AN17" i="5"/>
  <c r="AO17" i="5"/>
  <c r="AP17" i="5"/>
  <c r="AI13" i="5"/>
  <c r="AP13" i="5"/>
  <c r="AQ13" i="5"/>
  <c r="AR13" i="5"/>
  <c r="AS13" i="5"/>
  <c r="AT13" i="5"/>
  <c r="AU13" i="5"/>
  <c r="AV13" i="5"/>
  <c r="AW13" i="5"/>
  <c r="AO13" i="5"/>
  <c r="AN13" i="5"/>
  <c r="AM13" i="5"/>
  <c r="AL13" i="5"/>
  <c r="AK13" i="5"/>
  <c r="AJ13" i="5"/>
  <c r="AH13" i="5"/>
  <c r="AK11" i="5"/>
  <c r="AW11" i="5"/>
  <c r="AU11" i="5"/>
  <c r="AH11" i="5"/>
  <c r="AI11" i="5"/>
  <c r="AJ11" i="5"/>
  <c r="AV11" i="5"/>
  <c r="AT11" i="5"/>
  <c r="AS11" i="5"/>
  <c r="AR11" i="5"/>
  <c r="AQ11" i="5"/>
  <c r="AP11" i="5"/>
  <c r="AO11" i="5"/>
  <c r="AN11" i="5"/>
  <c r="AM11" i="5"/>
  <c r="AL11" i="5"/>
  <c r="AP10" i="5"/>
  <c r="AS10" i="5"/>
  <c r="AJ10" i="5"/>
  <c r="AK10" i="5"/>
  <c r="AW10" i="5"/>
  <c r="AU10" i="5"/>
  <c r="AT10" i="5"/>
  <c r="AV10" i="5"/>
  <c r="AH10" i="5"/>
  <c r="AL10" i="5"/>
  <c r="AM10" i="5"/>
  <c r="AN10" i="5"/>
  <c r="AO10" i="5"/>
  <c r="AQ10" i="5"/>
  <c r="AR10" i="5"/>
  <c r="AI10" i="5"/>
  <c r="AH9" i="5"/>
  <c r="AI9" i="5"/>
  <c r="AK9" i="5"/>
  <c r="AL9" i="5"/>
  <c r="AM9" i="5"/>
  <c r="AN9" i="5"/>
  <c r="AO9" i="5"/>
  <c r="AP9" i="5"/>
  <c r="AQ9" i="5"/>
  <c r="AR9" i="5"/>
  <c r="AS9" i="5"/>
  <c r="AJ9" i="5"/>
  <c r="AT9" i="5"/>
  <c r="AW9" i="5"/>
  <c r="AV9" i="5"/>
  <c r="AU9" i="5"/>
  <c r="AV61" i="5"/>
  <c r="AN61" i="5"/>
  <c r="AS61" i="5"/>
  <c r="AR61" i="5"/>
  <c r="AQ61" i="5"/>
  <c r="AP61" i="5"/>
  <c r="AO61" i="5"/>
  <c r="AW61" i="5"/>
  <c r="AH61" i="5"/>
  <c r="AI61" i="5"/>
  <c r="AJ61" i="5"/>
  <c r="AK61" i="5"/>
  <c r="AL61" i="5"/>
  <c r="AM61" i="5"/>
  <c r="AT61" i="5"/>
  <c r="AU61" i="5"/>
  <c r="AL60" i="5"/>
  <c r="AR60" i="5"/>
  <c r="AQ60" i="5"/>
  <c r="AP60" i="5"/>
  <c r="AO60" i="5"/>
  <c r="AN60" i="5"/>
  <c r="AM60" i="5"/>
  <c r="AJ60" i="5"/>
  <c r="AI60" i="5"/>
  <c r="AS60" i="5"/>
  <c r="AT60" i="5"/>
  <c r="AU60" i="5"/>
  <c r="AV60" i="5"/>
  <c r="AW60" i="5"/>
  <c r="AH60" i="5"/>
  <c r="AK60" i="5"/>
  <c r="AK25" i="5"/>
  <c r="AR25" i="5"/>
  <c r="AQ25" i="5"/>
  <c r="AH25" i="5"/>
  <c r="AU25" i="5"/>
  <c r="AT25" i="5"/>
  <c r="AS25" i="5"/>
  <c r="AO25" i="5"/>
  <c r="AN25" i="5"/>
  <c r="AM25" i="5"/>
  <c r="AL25" i="5"/>
  <c r="AV25" i="5"/>
  <c r="AW25" i="5"/>
  <c r="AJ25" i="5"/>
  <c r="AP25" i="5"/>
  <c r="AI25" i="5"/>
  <c r="AT68" i="5"/>
  <c r="AQ68" i="5"/>
  <c r="AO68" i="5"/>
  <c r="AJ68" i="5"/>
  <c r="AP68" i="5"/>
  <c r="AK68" i="5"/>
  <c r="AL68" i="5"/>
  <c r="AM68" i="5"/>
  <c r="AN68" i="5"/>
  <c r="AH68" i="5"/>
  <c r="AU68" i="5"/>
  <c r="AV68" i="5"/>
  <c r="AW68" i="5"/>
  <c r="AI68" i="5"/>
  <c r="AR68" i="5"/>
  <c r="AS68" i="5"/>
  <c r="AR64" i="5"/>
  <c r="AI64" i="5"/>
  <c r="AU64" i="5"/>
  <c r="AW64" i="5"/>
  <c r="AQ64" i="5"/>
  <c r="AP64" i="5"/>
  <c r="AO64" i="5"/>
  <c r="AN64" i="5"/>
  <c r="AM64" i="5"/>
  <c r="AL64" i="5"/>
  <c r="AK64" i="5"/>
  <c r="AV64" i="5"/>
  <c r="AS64" i="5"/>
  <c r="AJ64" i="5"/>
  <c r="AT64" i="5"/>
  <c r="AH64" i="5"/>
  <c r="AJ7" i="5"/>
  <c r="AS7" i="5"/>
  <c r="AR7" i="5"/>
  <c r="AI7" i="5"/>
  <c r="AH7" i="5"/>
  <c r="AW7" i="5"/>
  <c r="AK7" i="5"/>
  <c r="AV7" i="5"/>
  <c r="AU7" i="5"/>
  <c r="AT7" i="5"/>
  <c r="AQ7" i="5"/>
  <c r="AP7" i="5"/>
  <c r="AO7" i="5"/>
  <c r="AN7" i="5"/>
  <c r="AM7" i="5"/>
  <c r="AL7" i="5"/>
  <c r="AJ99" i="5"/>
  <c r="AH99" i="5"/>
  <c r="AI33" i="5"/>
  <c r="AH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H32" i="5"/>
  <c r="AL32" i="5"/>
  <c r="AM32" i="5"/>
  <c r="AN32" i="5"/>
  <c r="AO32" i="5"/>
  <c r="AP32" i="5"/>
  <c r="AQ32" i="5"/>
  <c r="AR32" i="5"/>
  <c r="AS32" i="5"/>
  <c r="AT32" i="5"/>
  <c r="AI32" i="5"/>
  <c r="AJ32" i="5"/>
  <c r="AK32" i="5"/>
  <c r="AU32" i="5"/>
  <c r="AV32" i="5"/>
  <c r="AW32" i="5"/>
  <c r="AH31" i="5"/>
  <c r="AI31" i="5"/>
  <c r="AJ31" i="5"/>
  <c r="AL31" i="5"/>
  <c r="AM31" i="5"/>
  <c r="AN31" i="5"/>
  <c r="AO31" i="5"/>
  <c r="AP31" i="5"/>
  <c r="AQ31" i="5"/>
  <c r="AR31" i="5"/>
  <c r="AS31" i="5"/>
  <c r="AT31" i="5"/>
  <c r="AV31" i="5"/>
  <c r="AW31" i="5"/>
  <c r="AK31" i="5"/>
  <c r="AU31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I16" i="5"/>
  <c r="AL16" i="5"/>
  <c r="AM16" i="5"/>
  <c r="AN16" i="5"/>
  <c r="AJ16" i="5"/>
  <c r="AH16" i="5"/>
  <c r="AK16" i="5"/>
  <c r="AO16" i="5"/>
  <c r="AP16" i="5"/>
  <c r="AQ16" i="5"/>
  <c r="AR16" i="5"/>
  <c r="AS16" i="5"/>
  <c r="AT16" i="5"/>
  <c r="AU16" i="5"/>
  <c r="AV16" i="5"/>
  <c r="AW16" i="5"/>
  <c r="AH15" i="5"/>
  <c r="AM15" i="5"/>
  <c r="AN15" i="5"/>
  <c r="AO15" i="5"/>
  <c r="AP15" i="5"/>
  <c r="AQ15" i="5"/>
  <c r="AI15" i="5"/>
  <c r="AJ15" i="5"/>
  <c r="AK15" i="5"/>
  <c r="AL15" i="5"/>
  <c r="AR15" i="5"/>
  <c r="AS15" i="5"/>
  <c r="AT15" i="5"/>
  <c r="AU15" i="5"/>
  <c r="AV15" i="5"/>
  <c r="AW15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H12" i="5"/>
  <c r="AJ12" i="5"/>
  <c r="AI12" i="5"/>
  <c r="AL12" i="5"/>
  <c r="AM12" i="5"/>
  <c r="AP12" i="5"/>
  <c r="AQ12" i="5"/>
  <c r="AR12" i="5"/>
  <c r="AS12" i="5"/>
  <c r="AT12" i="5"/>
  <c r="AU12" i="5"/>
  <c r="AV12" i="5"/>
  <c r="AW12" i="5"/>
  <c r="AK12" i="5"/>
  <c r="AN12" i="5"/>
  <c r="AO12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P15" i="19"/>
  <c r="N15" i="19"/>
  <c r="M15" i="19"/>
  <c r="O15" i="19"/>
  <c r="I15" i="19"/>
  <c r="L15" i="19"/>
  <c r="K15" i="19"/>
  <c r="J15" i="19"/>
  <c r="AC4" i="1"/>
  <c r="AD4" i="1" s="1" a="1"/>
  <c r="AD4" i="1" s="1"/>
  <c r="C12" i="21"/>
  <c r="E12" i="21"/>
  <c r="C4" i="21"/>
  <c r="E4" i="21"/>
  <c r="AJ45" i="11"/>
  <c r="AH45" i="11"/>
  <c r="AI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H44" i="11"/>
  <c r="AI44" i="11"/>
  <c r="AJ44" i="11"/>
  <c r="AK44" i="11"/>
  <c r="AM44" i="11"/>
  <c r="AN44" i="11"/>
  <c r="AO44" i="11"/>
  <c r="AQ44" i="11"/>
  <c r="AR44" i="11"/>
  <c r="AS44" i="11"/>
  <c r="AT44" i="11"/>
  <c r="AU44" i="11"/>
  <c r="AV44" i="11"/>
  <c r="AW44" i="11"/>
  <c r="AL44" i="11"/>
  <c r="AP44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T47" i="11"/>
  <c r="AU47" i="11"/>
  <c r="AV47" i="11"/>
  <c r="AW47" i="11"/>
  <c r="AG3" i="11" a="1"/>
  <c r="AG3" i="11" s="1"/>
  <c r="AF3" i="11"/>
  <c r="J28" i="19"/>
  <c r="AH11" i="11"/>
  <c r="AJ11" i="11"/>
  <c r="AW11" i="11"/>
  <c r="AU11" i="11"/>
  <c r="AS11" i="11"/>
  <c r="AR11" i="11"/>
  <c r="AP11" i="11"/>
  <c r="AO11" i="11"/>
  <c r="AM11" i="11"/>
  <c r="AK11" i="11"/>
  <c r="AV11" i="11"/>
  <c r="AT11" i="11"/>
  <c r="AQ11" i="11"/>
  <c r="AN11" i="11"/>
  <c r="AL11" i="11"/>
  <c r="AI11" i="11"/>
  <c r="C15" i="21"/>
  <c r="AH18" i="11" a="1"/>
  <c r="Z18" i="11"/>
  <c r="Z4" i="11"/>
  <c r="AG4" i="11" a="1"/>
  <c r="AG4" i="11" s="1"/>
  <c r="AH4" i="11" a="1"/>
  <c r="Y4" i="11"/>
  <c r="AH3" i="11" a="1"/>
  <c r="Z3" i="11"/>
  <c r="Y3" i="11"/>
  <c r="AN39" i="11"/>
  <c r="AU39" i="11"/>
  <c r="AO39" i="11"/>
  <c r="AP39" i="11"/>
  <c r="AS39" i="11"/>
  <c r="AT39" i="11"/>
  <c r="AQ39" i="11"/>
  <c r="AW39" i="11"/>
  <c r="AV39" i="11"/>
  <c r="AH39" i="11"/>
  <c r="AI39" i="11"/>
  <c r="AJ39" i="11"/>
  <c r="AQ25" i="11"/>
  <c r="AW25" i="11"/>
  <c r="AO25" i="11"/>
  <c r="AP25" i="11"/>
  <c r="AN25" i="11"/>
  <c r="AU25" i="11"/>
  <c r="AM25" i="11"/>
  <c r="AT25" i="11"/>
  <c r="AL25" i="11"/>
  <c r="AS25" i="11"/>
  <c r="AK25" i="11"/>
  <c r="AR25" i="11"/>
  <c r="AV25" i="11"/>
  <c r="AH31" i="11" a="1"/>
  <c r="Z31" i="11" a="1"/>
  <c r="Z31" i="11" s="1"/>
  <c r="Z32" i="11"/>
  <c r="AH32" i="11" a="1"/>
  <c r="Z33" i="11"/>
  <c r="AH33" i="11" a="1"/>
  <c r="AH36" i="11" a="1"/>
  <c r="Z36" i="11"/>
  <c r="AD27" i="11"/>
  <c r="AH27" i="11" a="1"/>
  <c r="AM39" i="11"/>
  <c r="AK39" i="11"/>
  <c r="AL39" i="11"/>
  <c r="AJ37" i="11"/>
  <c r="AI37" i="11"/>
  <c r="AH37" i="11"/>
  <c r="J2" i="19"/>
  <c r="I2" i="19"/>
  <c r="K2" i="19"/>
  <c r="L2" i="19"/>
  <c r="M2" i="19"/>
  <c r="N2" i="19"/>
  <c r="O2" i="19"/>
  <c r="P2" i="19"/>
  <c r="K6" i="19"/>
  <c r="L6" i="19"/>
  <c r="Z30" i="11"/>
  <c r="AH30" i="11" a="1"/>
  <c r="AH50" i="11" a="1"/>
  <c r="Z50" i="11"/>
  <c r="AH51" i="11" a="1"/>
  <c r="Z51" i="11"/>
  <c r="AH55" i="11" a="1"/>
  <c r="Z55" i="11"/>
  <c r="AH54" i="11" a="1"/>
  <c r="AH15" i="11"/>
  <c r="AT15" i="11"/>
  <c r="AI15" i="11"/>
  <c r="AJ15" i="11"/>
  <c r="AK15" i="11"/>
  <c r="AL15" i="11"/>
  <c r="AM15" i="11"/>
  <c r="AN15" i="11"/>
  <c r="AO15" i="11"/>
  <c r="AW15" i="11"/>
  <c r="AV15" i="11"/>
  <c r="AP15" i="11"/>
  <c r="AQ15" i="11"/>
  <c r="AR15" i="11"/>
  <c r="AS15" i="11"/>
  <c r="AU15" i="11"/>
  <c r="Z8" i="11"/>
  <c r="AH8" i="11" a="1"/>
  <c r="AH5" i="11" a="1"/>
  <c r="Z5" i="11"/>
  <c r="AP40" i="11"/>
  <c r="AO40" i="11"/>
  <c r="AN40" i="11"/>
  <c r="AW40" i="11"/>
  <c r="AV40" i="11"/>
  <c r="AU40" i="11"/>
  <c r="AT40" i="11"/>
  <c r="AS40" i="11"/>
  <c r="AR40" i="11"/>
  <c r="AQ40" i="11"/>
  <c r="AJ40" i="11"/>
  <c r="AI40" i="11"/>
  <c r="AH40" i="11"/>
  <c r="AJ38" i="11"/>
  <c r="AH38" i="11"/>
  <c r="AI38" i="11"/>
  <c r="AK38" i="11" a="1"/>
  <c r="Z38" i="11"/>
  <c r="AI35" i="11"/>
  <c r="AH35" i="11"/>
  <c r="AK35" i="11" a="1"/>
  <c r="Z35" i="11"/>
  <c r="AJ26" i="11"/>
  <c r="AI26" i="11"/>
  <c r="AH26" i="11"/>
  <c r="Z26" i="11"/>
  <c r="AK26" i="11" a="1"/>
  <c r="AH23" i="11" a="1"/>
  <c r="Z23" i="11"/>
  <c r="AH21" i="11"/>
  <c r="AI21" i="11"/>
  <c r="Z21" i="11"/>
  <c r="AK21" i="11" a="1"/>
  <c r="AH17" i="11"/>
  <c r="AI17" i="11"/>
  <c r="AJ17" i="11"/>
  <c r="Z17" i="11"/>
  <c r="AK17" i="11" a="1"/>
  <c r="AH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I54" i="11"/>
  <c r="AW54" i="11"/>
  <c r="AJ6" i="11"/>
  <c r="AI6" i="11"/>
  <c r="AK6" i="11"/>
  <c r="AL6" i="11"/>
  <c r="AP6" i="11"/>
  <c r="AQ6" i="11"/>
  <c r="AR6" i="11"/>
  <c r="AS6" i="11"/>
  <c r="AT6" i="11"/>
  <c r="AU6" i="11"/>
  <c r="AV6" i="11"/>
  <c r="AW6" i="11"/>
  <c r="AH6" i="11"/>
  <c r="AM6" i="11"/>
  <c r="AN6" i="11"/>
  <c r="AO6" i="11"/>
  <c r="AK40" i="11"/>
  <c r="AL40" i="11"/>
  <c r="AM40" i="11"/>
  <c r="E15" i="21"/>
  <c r="AH6" i="15"/>
  <c r="AJ6" i="15"/>
  <c r="AK6" i="15"/>
  <c r="AL6" i="15"/>
  <c r="AM6" i="15"/>
  <c r="AN6" i="15"/>
  <c r="AO6" i="15"/>
  <c r="AP6" i="15"/>
  <c r="AQ6" i="15"/>
  <c r="AI6" i="15"/>
  <c r="AR6" i="15"/>
  <c r="AS6" i="15"/>
  <c r="AT6" i="15"/>
  <c r="AU6" i="15"/>
  <c r="AV6" i="15"/>
  <c r="AW6" i="15"/>
  <c r="AJ42" i="15"/>
  <c r="AU42" i="15"/>
  <c r="AV42" i="15"/>
  <c r="AH42" i="15"/>
  <c r="AK42" i="15"/>
  <c r="AL42" i="15"/>
  <c r="AM42" i="15"/>
  <c r="AN42" i="15"/>
  <c r="AO42" i="15"/>
  <c r="AP42" i="15"/>
  <c r="AQ42" i="15"/>
  <c r="AR42" i="15"/>
  <c r="AI42" i="15"/>
  <c r="AS42" i="15"/>
  <c r="AT42" i="15"/>
  <c r="AW42" i="15"/>
  <c r="AH33" i="15"/>
  <c r="AI33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H32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I32" i="15"/>
  <c r="AH44" i="15"/>
  <c r="AV44" i="15"/>
  <c r="AW44" i="15"/>
  <c r="AU44" i="15"/>
  <c r="AI44" i="15"/>
  <c r="AJ44" i="15"/>
  <c r="AK44" i="15"/>
  <c r="AL44" i="15"/>
  <c r="AM44" i="15"/>
  <c r="AN44" i="15"/>
  <c r="AO44" i="15"/>
  <c r="AP44" i="15"/>
  <c r="AQ44" i="15"/>
  <c r="AR44" i="15"/>
  <c r="AS44" i="15"/>
  <c r="AT44" i="15"/>
  <c r="AI29" i="15"/>
  <c r="AJ29" i="15"/>
  <c r="AK29" i="15"/>
  <c r="AL29" i="15"/>
  <c r="AM29" i="15"/>
  <c r="AN29" i="15"/>
  <c r="AO29" i="15"/>
  <c r="AP29" i="15"/>
  <c r="AQ29" i="15"/>
  <c r="AR29" i="15"/>
  <c r="AH29" i="15"/>
  <c r="AS29" i="15"/>
  <c r="AT29" i="15"/>
  <c r="AU29" i="15"/>
  <c r="AV29" i="15"/>
  <c r="AW29" i="15"/>
  <c r="AR16" i="15"/>
  <c r="AU16" i="15"/>
  <c r="AT16" i="15"/>
  <c r="AS16" i="15"/>
  <c r="AV16" i="15"/>
  <c r="AW16" i="15"/>
  <c r="AH16" i="15"/>
  <c r="AI16" i="15"/>
  <c r="AJ16" i="15"/>
  <c r="AK16" i="15"/>
  <c r="AL16" i="15"/>
  <c r="AM16" i="15"/>
  <c r="AN16" i="15"/>
  <c r="AO16" i="15"/>
  <c r="AP16" i="15"/>
  <c r="AQ16" i="15"/>
  <c r="AL15" i="15"/>
  <c r="AK15" i="15"/>
  <c r="AJ15" i="15"/>
  <c r="AI15" i="15"/>
  <c r="AH15" i="15"/>
  <c r="AW15" i="15"/>
  <c r="AS15" i="15"/>
  <c r="AT15" i="15"/>
  <c r="AU15" i="15"/>
  <c r="AV15" i="15"/>
  <c r="AF14" i="15"/>
  <c r="AG14" i="15"/>
  <c r="AF13" i="15"/>
  <c r="AG13" i="15"/>
  <c r="AF12" i="15"/>
  <c r="AG12" i="15"/>
  <c r="AG11" i="15"/>
  <c r="AF11" i="15"/>
  <c r="AH14" i="15" a="1"/>
  <c r="AH14" i="15" s="1"/>
  <c r="Z14" i="15"/>
  <c r="Y14" i="15"/>
  <c r="AH11" i="15" a="1"/>
  <c r="AH11" i="15" s="1"/>
  <c r="Y11" i="15"/>
  <c r="Z11" i="15"/>
  <c r="AH12" i="15" a="1"/>
  <c r="AH12" i="15" s="1"/>
  <c r="Y12" i="15"/>
  <c r="Z12" i="15"/>
  <c r="Y13" i="15"/>
  <c r="AH13" i="15" a="1"/>
  <c r="AH13" i="15" s="1"/>
  <c r="Z13" i="15"/>
  <c r="Y10" i="15"/>
  <c r="AH10" i="15" a="1"/>
  <c r="Z10" i="15"/>
  <c r="AL3" i="15"/>
  <c r="AM3" i="15"/>
  <c r="AJ3" i="15"/>
  <c r="AK3" i="15"/>
  <c r="AI3" i="15"/>
  <c r="AH3" i="15"/>
  <c r="V158" i="19"/>
  <c r="V130" i="19"/>
  <c r="V135" i="19"/>
  <c r="V139" i="19"/>
  <c r="V140" i="19"/>
  <c r="V141" i="19"/>
  <c r="V144" i="19"/>
  <c r="V151" i="19"/>
  <c r="V71" i="19"/>
  <c r="V72" i="19"/>
  <c r="V73" i="19"/>
  <c r="V74" i="19"/>
  <c r="V75" i="19"/>
  <c r="V59" i="19"/>
  <c r="V53" i="19"/>
  <c r="V54" i="19"/>
  <c r="V55" i="19"/>
  <c r="V52" i="19"/>
  <c r="V44" i="19"/>
  <c r="V45" i="19"/>
  <c r="V46" i="19"/>
  <c r="V47" i="19"/>
  <c r="V48" i="19"/>
  <c r="V49" i="19"/>
  <c r="V50" i="19"/>
  <c r="V136" i="19"/>
  <c r="V137" i="19"/>
  <c r="V138" i="19"/>
  <c r="V142" i="19"/>
  <c r="V145" i="19"/>
  <c r="V146" i="19"/>
  <c r="V147" i="19"/>
  <c r="V148" i="19"/>
  <c r="V149" i="19"/>
  <c r="V150" i="19"/>
  <c r="V152" i="19"/>
  <c r="V153" i="19"/>
  <c r="V66" i="19"/>
  <c r="V67" i="19"/>
  <c r="V68" i="19"/>
  <c r="V37" i="19"/>
  <c r="V38" i="19"/>
  <c r="V39" i="19"/>
  <c r="V40" i="19"/>
  <c r="V41" i="19"/>
  <c r="V42" i="19"/>
  <c r="V20" i="19"/>
  <c r="V21" i="19"/>
  <c r="V22" i="19"/>
  <c r="V23" i="19"/>
  <c r="V24" i="19"/>
  <c r="V25" i="19"/>
  <c r="V26" i="19"/>
  <c r="V27" i="19"/>
  <c r="V28" i="19"/>
  <c r="V30" i="19"/>
  <c r="V31" i="19"/>
  <c r="V32" i="19"/>
  <c r="V33" i="19"/>
  <c r="V3" i="19"/>
  <c r="V4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2" i="19"/>
  <c r="V35" i="19"/>
  <c r="C8" i="21"/>
  <c r="E8" i="21"/>
  <c r="D29" i="1" a="1"/>
  <c r="D29" i="1" s="1"/>
  <c r="AF33" i="9"/>
  <c r="AF40" i="9"/>
  <c r="P9" i="1"/>
  <c r="AO42" i="11"/>
  <c r="AP42" i="11"/>
  <c r="AQ42" i="11"/>
  <c r="AN42" i="11"/>
  <c r="AM42" i="11"/>
  <c r="AL42" i="11"/>
  <c r="AJ46" i="11"/>
  <c r="AO46" i="11"/>
  <c r="AN46" i="11"/>
  <c r="AT46" i="11"/>
  <c r="AW46" i="11"/>
  <c r="AL46" i="11"/>
  <c r="AK46" i="11"/>
  <c r="AP46" i="11"/>
  <c r="AM46" i="11"/>
  <c r="AQ46" i="11"/>
  <c r="AR46" i="11"/>
  <c r="AI46" i="11"/>
  <c r="AV46" i="11"/>
  <c r="AS46" i="11"/>
  <c r="AU46" i="11"/>
  <c r="AM22" i="12"/>
  <c r="AS22" i="12"/>
  <c r="AP22" i="12"/>
  <c r="AV22" i="12"/>
  <c r="AN22" i="12"/>
  <c r="AO22" i="12"/>
  <c r="AT22" i="12"/>
  <c r="AL22" i="12"/>
  <c r="AK22" i="12"/>
  <c r="AW22" i="12"/>
  <c r="K20" i="19"/>
  <c r="K21" i="19"/>
  <c r="K16" i="19"/>
  <c r="L16" i="19"/>
  <c r="K17" i="19"/>
  <c r="L17" i="19"/>
  <c r="AH22" i="12"/>
  <c r="AI22" i="12"/>
  <c r="AJ22" i="12"/>
  <c r="AQ47" i="3"/>
  <c r="AN47" i="3"/>
  <c r="AM47" i="3"/>
  <c r="AS47" i="3"/>
  <c r="AR47" i="3"/>
  <c r="AT47" i="3"/>
  <c r="AJ47" i="3"/>
  <c r="AU47" i="3"/>
  <c r="AK47" i="3"/>
  <c r="AV47" i="3"/>
  <c r="AL47" i="3"/>
  <c r="AO47" i="3"/>
  <c r="AW47" i="3"/>
  <c r="AH47" i="3"/>
  <c r="AP47" i="3"/>
  <c r="R30" i="1"/>
  <c r="Q27" i="1"/>
  <c r="P29" i="1"/>
  <c r="P28" i="1"/>
  <c r="Q30" i="1"/>
  <c r="S27" i="1"/>
  <c r="S28" i="1"/>
  <c r="P30" i="1"/>
  <c r="R28" i="1"/>
  <c r="R27" i="1"/>
  <c r="S30" i="1"/>
  <c r="S29" i="1"/>
  <c r="AP79" i="5"/>
  <c r="AS79" i="5"/>
  <c r="AO79" i="5"/>
  <c r="AJ79" i="5"/>
  <c r="AI79" i="5"/>
  <c r="AM79" i="5"/>
  <c r="AR79" i="5"/>
  <c r="AV79" i="5"/>
  <c r="AQ79" i="5"/>
  <c r="AL79" i="5"/>
  <c r="AN79" i="5"/>
  <c r="AK79" i="5"/>
  <c r="AM78" i="5"/>
  <c r="AJ78" i="5"/>
  <c r="AW78" i="5"/>
  <c r="AR78" i="5"/>
  <c r="AN78" i="5"/>
  <c r="AS78" i="5"/>
  <c r="AP78" i="5"/>
  <c r="AI78" i="5"/>
  <c r="AK78" i="5"/>
  <c r="AL78" i="5"/>
  <c r="AP29" i="18"/>
  <c r="AT29" i="18"/>
  <c r="AN29" i="18"/>
  <c r="AO29" i="18"/>
  <c r="AS29" i="18"/>
  <c r="AI29" i="18"/>
  <c r="AR29" i="18"/>
  <c r="AU29" i="18"/>
  <c r="AL29" i="18"/>
  <c r="AJ29" i="18"/>
  <c r="AW29" i="18"/>
  <c r="AO28" i="18"/>
  <c r="AU28" i="18"/>
  <c r="AM28" i="18"/>
  <c r="AL28" i="18"/>
  <c r="AJ28" i="18"/>
  <c r="AS28" i="18"/>
  <c r="AN28" i="18"/>
  <c r="AK28" i="18"/>
  <c r="AQ28" i="18"/>
  <c r="AP28" i="18"/>
  <c r="AR28" i="18"/>
  <c r="AV28" i="18"/>
  <c r="AW28" i="18"/>
  <c r="AI28" i="18"/>
  <c r="AT28" i="18"/>
  <c r="AW27" i="18"/>
  <c r="AS27" i="18"/>
  <c r="AJ27" i="18"/>
  <c r="AI27" i="18"/>
  <c r="AR27" i="18"/>
  <c r="AU27" i="18"/>
  <c r="AL27" i="18"/>
  <c r="AO27" i="18"/>
  <c r="AP27" i="18"/>
  <c r="AN27" i="18"/>
  <c r="AM27" i="18"/>
  <c r="AQ27" i="18"/>
  <c r="AK27" i="18"/>
  <c r="AT27" i="18"/>
  <c r="AS26" i="18"/>
  <c r="AM26" i="18"/>
  <c r="AR26" i="18"/>
  <c r="AN26" i="18"/>
  <c r="AI26" i="18"/>
  <c r="AT26" i="18"/>
  <c r="AP26" i="18"/>
  <c r="AJ26" i="18"/>
  <c r="AO26" i="18"/>
  <c r="AV26" i="18"/>
  <c r="AU26" i="18"/>
  <c r="AL26" i="18"/>
  <c r="AQ26" i="18"/>
  <c r="AR73" i="5"/>
  <c r="AO73" i="5"/>
  <c r="AN73" i="5"/>
  <c r="AU73" i="5"/>
  <c r="AS73" i="5"/>
  <c r="AK73" i="5"/>
  <c r="AT73" i="5"/>
  <c r="AJ73" i="5"/>
  <c r="AI73" i="5"/>
  <c r="AV73" i="5"/>
  <c r="AQ73" i="5"/>
  <c r="AL73" i="5"/>
  <c r="AW73" i="5"/>
  <c r="AP73" i="5"/>
  <c r="AR75" i="5"/>
  <c r="AN75" i="5"/>
  <c r="AJ75" i="5"/>
  <c r="AV75" i="5"/>
  <c r="AQ75" i="5"/>
  <c r="AL75" i="5"/>
  <c r="AM75" i="5"/>
  <c r="AP75" i="5"/>
  <c r="AW75" i="5"/>
  <c r="AO74" i="5"/>
  <c r="AK74" i="5"/>
  <c r="AN74" i="5"/>
  <c r="AR74" i="5"/>
  <c r="AI74" i="5"/>
  <c r="AS74" i="5"/>
  <c r="AP74" i="5"/>
  <c r="AU74" i="5"/>
  <c r="AT74" i="5"/>
  <c r="AW74" i="5"/>
  <c r="AQ74" i="5"/>
  <c r="AJ74" i="5"/>
  <c r="AL74" i="5"/>
  <c r="AO88" i="5"/>
  <c r="AN88" i="5"/>
  <c r="AW88" i="5"/>
  <c r="AP88" i="5"/>
  <c r="AS88" i="5"/>
  <c r="AK88" i="5"/>
  <c r="AU88" i="5"/>
  <c r="AR88" i="5"/>
  <c r="AL88" i="5"/>
  <c r="AM88" i="5"/>
  <c r="AV88" i="5"/>
  <c r="AT88" i="5"/>
  <c r="AJ88" i="5"/>
  <c r="AI88" i="5"/>
  <c r="AQ88" i="5"/>
  <c r="AR87" i="5"/>
  <c r="AJ87" i="5"/>
  <c r="AO87" i="5"/>
  <c r="AS87" i="5"/>
  <c r="AW87" i="5"/>
  <c r="AQ87" i="5"/>
  <c r="AI87" i="5"/>
  <c r="AK87" i="5"/>
  <c r="AL87" i="5"/>
  <c r="AP87" i="5"/>
  <c r="AT87" i="5"/>
  <c r="AN87" i="5"/>
  <c r="AH32" i="18"/>
  <c r="AS32" i="18"/>
  <c r="AU32" i="18"/>
  <c r="AL32" i="18"/>
  <c r="AI32" i="18"/>
  <c r="AR32" i="18"/>
  <c r="AP32" i="18"/>
  <c r="AV32" i="18"/>
  <c r="AK32" i="18"/>
  <c r="AM32" i="18"/>
  <c r="AW32" i="18"/>
  <c r="AN32" i="18"/>
  <c r="AT32" i="18"/>
  <c r="AJ32" i="18"/>
  <c r="AQ32" i="18"/>
  <c r="AO32" i="18"/>
  <c r="AW76" i="3"/>
  <c r="AO76" i="3"/>
  <c r="AP76" i="3"/>
  <c r="AT76" i="3"/>
  <c r="AK76" i="3"/>
  <c r="AJ76" i="3"/>
  <c r="AV76" i="3"/>
  <c r="AN76" i="3"/>
  <c r="AM76" i="3"/>
  <c r="AU76" i="3"/>
  <c r="AR76" i="3"/>
  <c r="AI76" i="3"/>
  <c r="AS76" i="3"/>
  <c r="AW9" i="11"/>
  <c r="AK9" i="11"/>
  <c r="AV9" i="11"/>
  <c r="AL9" i="11"/>
  <c r="AM9" i="11"/>
  <c r="AN9" i="11"/>
  <c r="AO9" i="11"/>
  <c r="AP9" i="11"/>
  <c r="AJ9" i="11"/>
  <c r="AU9" i="11"/>
  <c r="AH9" i="11"/>
  <c r="AS9" i="11"/>
  <c r="AR9" i="11"/>
  <c r="AI9" i="11"/>
  <c r="AT9" i="11"/>
  <c r="AQ9" i="11"/>
  <c r="AI7" i="11"/>
  <c r="AJ7" i="11"/>
  <c r="AT7" i="11"/>
  <c r="AN7" i="11"/>
  <c r="AH7" i="11"/>
  <c r="AO7" i="11"/>
  <c r="AP7" i="11"/>
  <c r="AQ7" i="11"/>
  <c r="AU7" i="11"/>
  <c r="AV7" i="11"/>
  <c r="AW7" i="11"/>
  <c r="AK7" i="11"/>
  <c r="AL7" i="11"/>
  <c r="AM7" i="11"/>
  <c r="AS7" i="11"/>
  <c r="AR7" i="11"/>
  <c r="I29" i="1"/>
  <c r="I27" i="1"/>
  <c r="I30" i="1" s="1"/>
  <c r="AU43" i="11"/>
  <c r="AK43" i="11"/>
  <c r="AP43" i="11"/>
  <c r="AQ43" i="11"/>
  <c r="AO43" i="11"/>
  <c r="AN43" i="11"/>
  <c r="AS43" i="11"/>
  <c r="AT43" i="11"/>
  <c r="AW43" i="11"/>
  <c r="AL43" i="11"/>
  <c r="AM43" i="11"/>
  <c r="AR43" i="11"/>
  <c r="AI43" i="11"/>
  <c r="AV43" i="11"/>
  <c r="AJ43" i="11"/>
  <c r="AQ53" i="11"/>
  <c r="AH53" i="11"/>
  <c r="AO53" i="11"/>
  <c r="AR53" i="11"/>
  <c r="AI53" i="11"/>
  <c r="AS53" i="11"/>
  <c r="AP53" i="11"/>
  <c r="AJ53" i="11"/>
  <c r="AT53" i="11"/>
  <c r="AK53" i="11"/>
  <c r="AN53" i="11"/>
  <c r="AQ13" i="6"/>
  <c r="AS13" i="6"/>
  <c r="AW13" i="6"/>
  <c r="AU13" i="6"/>
  <c r="AQ11" i="6"/>
  <c r="AU11" i="6"/>
  <c r="AR11" i="6"/>
  <c r="AI11" i="6"/>
  <c r="AJ11" i="6"/>
  <c r="AW18" i="6"/>
  <c r="AR18" i="6"/>
  <c r="AM9" i="6"/>
  <c r="AL9" i="6"/>
  <c r="AN9" i="6"/>
  <c r="AS6" i="6"/>
  <c r="AQ6" i="6"/>
  <c r="AV6" i="6"/>
  <c r="AU6" i="6"/>
  <c r="AT6" i="6"/>
  <c r="AO6" i="6"/>
  <c r="AN6" i="6"/>
  <c r="AP6" i="6"/>
  <c r="AM6" i="6"/>
  <c r="AR6" i="6"/>
  <c r="AW6" i="6"/>
  <c r="X3" i="12"/>
  <c r="Z3" i="12"/>
  <c r="AR22" i="9"/>
  <c r="AS22" i="9"/>
  <c r="AV22" i="9"/>
  <c r="AU22" i="9"/>
  <c r="AK22" i="9"/>
  <c r="Z22" i="9"/>
  <c r="Y22" i="9"/>
  <c r="AT55" i="9"/>
  <c r="AS55" i="9"/>
  <c r="AR55" i="9"/>
  <c r="AW55" i="9"/>
  <c r="AL25" i="9"/>
  <c r="AR25" i="9"/>
  <c r="AJ25" i="9"/>
  <c r="AQ25" i="9"/>
  <c r="AM25" i="9"/>
  <c r="AS25" i="9"/>
  <c r="AW25" i="9"/>
  <c r="AV25" i="9"/>
  <c r="AP25" i="9"/>
  <c r="AO25" i="9"/>
  <c r="AI25" i="9"/>
  <c r="AS12" i="6"/>
  <c r="AI12" i="6"/>
  <c r="AR12" i="6"/>
  <c r="AK4" i="17"/>
  <c r="AO4" i="17"/>
  <c r="AR4" i="17"/>
  <c r="AQ4" i="17"/>
  <c r="AW4" i="17"/>
  <c r="AM4" i="17"/>
  <c r="AU4" i="17"/>
  <c r="AT4" i="17"/>
  <c r="AW65" i="5"/>
  <c r="AV65" i="5"/>
  <c r="AQ34" i="18"/>
  <c r="AS34" i="18"/>
  <c r="AR34" i="18"/>
  <c r="AJ35" i="18"/>
  <c r="AM35" i="18"/>
  <c r="AI35" i="18"/>
  <c r="AK35" i="18"/>
  <c r="AL35" i="18"/>
  <c r="AM34" i="18"/>
  <c r="AL34" i="18"/>
  <c r="AK34" i="18"/>
  <c r="AJ34" i="18"/>
  <c r="AI34" i="18"/>
  <c r="AL27" i="17"/>
  <c r="AK27" i="17"/>
  <c r="AJ27" i="17"/>
  <c r="AQ27" i="17"/>
  <c r="AM27" i="17"/>
  <c r="AN27" i="17"/>
  <c r="AO27" i="17"/>
  <c r="AI27" i="17"/>
  <c r="AP27" i="17"/>
  <c r="AR27" i="17"/>
  <c r="AT27" i="17"/>
  <c r="AU27" i="17"/>
  <c r="AV27" i="17"/>
  <c r="AW27" i="17"/>
  <c r="AS27" i="17"/>
  <c r="AO18" i="17"/>
  <c r="AI18" i="17"/>
  <c r="AS18" i="17"/>
  <c r="AP18" i="17"/>
  <c r="AJ18" i="17"/>
  <c r="AQ18" i="17"/>
  <c r="AU18" i="17"/>
  <c r="AL18" i="17"/>
  <c r="AT18" i="17"/>
  <c r="AW18" i="17"/>
  <c r="AR18" i="17"/>
  <c r="AN18" i="17"/>
  <c r="AM18" i="17"/>
  <c r="AK18" i="17"/>
  <c r="AV18" i="17"/>
  <c r="AN13" i="17"/>
  <c r="AJ13" i="17"/>
  <c r="AT13" i="17"/>
  <c r="AR13" i="17"/>
  <c r="AO13" i="17"/>
  <c r="AU13" i="17"/>
  <c r="AM13" i="17"/>
  <c r="AS13" i="17"/>
  <c r="AP13" i="17"/>
  <c r="AL13" i="17"/>
  <c r="AV13" i="17"/>
  <c r="AK13" i="17"/>
  <c r="AW13" i="17"/>
  <c r="AQ13" i="17"/>
  <c r="AI13" i="17"/>
  <c r="AS11" i="17"/>
  <c r="AJ11" i="17"/>
  <c r="AQ11" i="17"/>
  <c r="AI11" i="17"/>
  <c r="AW11" i="17"/>
  <c r="AN11" i="17"/>
  <c r="AM11" i="17"/>
  <c r="AR11" i="17"/>
  <c r="AU11" i="17"/>
  <c r="AP11" i="17"/>
  <c r="AL11" i="17"/>
  <c r="AV11" i="17"/>
  <c r="AT11" i="17"/>
  <c r="AO11" i="17"/>
  <c r="AK11" i="17"/>
  <c r="AH20" i="17"/>
  <c r="AQ20" i="17"/>
  <c r="AN20" i="17"/>
  <c r="AM20" i="17"/>
  <c r="AK20" i="17"/>
  <c r="AI20" i="17"/>
  <c r="AT20" i="17"/>
  <c r="AV20" i="17"/>
  <c r="AO20" i="17"/>
  <c r="AS20" i="17"/>
  <c r="AU20" i="17"/>
  <c r="AJ20" i="17"/>
  <c r="AR20" i="17"/>
  <c r="AW20" i="17"/>
  <c r="AL20" i="17"/>
  <c r="AP20" i="17"/>
  <c r="AU6" i="17"/>
  <c r="AJ6" i="17"/>
  <c r="AL6" i="17"/>
  <c r="AK6" i="17"/>
  <c r="AI6" i="17"/>
  <c r="AQ6" i="17"/>
  <c r="AR6" i="17"/>
  <c r="AO6" i="17"/>
  <c r="AW6" i="17"/>
  <c r="AM6" i="17"/>
  <c r="AT6" i="17"/>
  <c r="AS6" i="17"/>
  <c r="AN6" i="17"/>
  <c r="AV6" i="17"/>
  <c r="AP6" i="17"/>
  <c r="AI14" i="17"/>
  <c r="AW14" i="17"/>
  <c r="AR14" i="17"/>
  <c r="AQ14" i="17"/>
  <c r="AJ14" i="17"/>
  <c r="AL14" i="17"/>
  <c r="AM14" i="17"/>
  <c r="AP14" i="17"/>
  <c r="AT14" i="17"/>
  <c r="AK14" i="17"/>
  <c r="AN14" i="17"/>
  <c r="AS14" i="17"/>
  <c r="AU14" i="17"/>
  <c r="AV14" i="17"/>
  <c r="AO14" i="17"/>
  <c r="AT19" i="17"/>
  <c r="AS19" i="17"/>
  <c r="AV19" i="17"/>
  <c r="AR19" i="17"/>
  <c r="AW19" i="17"/>
  <c r="AU19" i="17"/>
  <c r="AQ19" i="17"/>
  <c r="AP19" i="17"/>
  <c r="AN19" i="17"/>
  <c r="AM19" i="17"/>
  <c r="AL112" i="12"/>
  <c r="AM113" i="12"/>
  <c r="AL113" i="12"/>
  <c r="AM114" i="12"/>
  <c r="AJ112" i="12"/>
  <c r="AJ113" i="12"/>
  <c r="AI112" i="12"/>
  <c r="AI114" i="12"/>
  <c r="AJ114" i="12"/>
  <c r="AI113" i="12"/>
  <c r="AH113" i="12"/>
  <c r="AH114" i="12"/>
  <c r="AO4" i="13"/>
  <c r="AV4" i="13"/>
  <c r="AN4" i="13"/>
  <c r="AU4" i="13"/>
  <c r="AM4" i="13"/>
  <c r="AT4" i="13"/>
  <c r="AW4" i="13"/>
  <c r="AQ4" i="13"/>
  <c r="AR4" i="13"/>
  <c r="AS4" i="13"/>
  <c r="AL4" i="13"/>
  <c r="AP4" i="13"/>
  <c r="AH44" i="12"/>
  <c r="AW44" i="12"/>
  <c r="AO62" i="12"/>
  <c r="AH62" i="12"/>
  <c r="AU62" i="12"/>
  <c r="AV62" i="12"/>
  <c r="AL62" i="12"/>
  <c r="AS62" i="12"/>
  <c r="AM62" i="12"/>
  <c r="AR62" i="12"/>
  <c r="AJ62" i="12"/>
  <c r="AK62" i="12"/>
  <c r="AQ62" i="12"/>
  <c r="AI62" i="12"/>
  <c r="AW62" i="12"/>
  <c r="AN62" i="12"/>
  <c r="AP62" i="12"/>
  <c r="AT62" i="12"/>
  <c r="AT57" i="12"/>
  <c r="AN57" i="12"/>
  <c r="AV57" i="12"/>
  <c r="AO57" i="12"/>
  <c r="AW57" i="12"/>
  <c r="AH57" i="12"/>
  <c r="AP57" i="12"/>
  <c r="AJ57" i="12"/>
  <c r="AI57" i="12"/>
  <c r="AQ57" i="12"/>
  <c r="AR57" i="12"/>
  <c r="AS57" i="12"/>
  <c r="AU57" i="12"/>
  <c r="AM57" i="12"/>
  <c r="AK57" i="12"/>
  <c r="AL57" i="12"/>
  <c r="AH63" i="12"/>
  <c r="AI63" i="12"/>
  <c r="AP63" i="12"/>
  <c r="AO63" i="12"/>
  <c r="AU63" i="12"/>
  <c r="AM63" i="12"/>
  <c r="AW63" i="12"/>
  <c r="AN63" i="12"/>
  <c r="AS63" i="12"/>
  <c r="AK63" i="12"/>
  <c r="AT63" i="12"/>
  <c r="AL63" i="12"/>
  <c r="AR63" i="12"/>
  <c r="AJ63" i="12"/>
  <c r="AV63" i="12"/>
  <c r="AQ63" i="12"/>
  <c r="AP56" i="12"/>
  <c r="AH56" i="12"/>
  <c r="AK56" i="12"/>
  <c r="AJ56" i="12"/>
  <c r="AS56" i="12"/>
  <c r="AH60" i="12"/>
  <c r="AO60" i="12"/>
  <c r="AP60" i="12"/>
  <c r="AT60" i="12"/>
  <c r="AL60" i="12"/>
  <c r="AV60" i="12"/>
  <c r="AM60" i="12"/>
  <c r="AK60" i="12"/>
  <c r="AR60" i="12"/>
  <c r="AJ60" i="12"/>
  <c r="AS60" i="12"/>
  <c r="AQ60" i="12"/>
  <c r="AI60" i="12"/>
  <c r="AW60" i="12"/>
  <c r="AN60" i="12"/>
  <c r="AU60" i="12"/>
  <c r="AR34" i="11"/>
  <c r="AO34" i="11"/>
  <c r="AS34" i="11"/>
  <c r="AL34" i="11"/>
  <c r="AT34" i="11"/>
  <c r="AM34" i="11"/>
  <c r="AU34" i="11"/>
  <c r="AN34" i="11"/>
  <c r="AV34" i="11"/>
  <c r="AQ34" i="11"/>
  <c r="AP34" i="11"/>
  <c r="AW34" i="11"/>
  <c r="AI16" i="11"/>
  <c r="AJ16" i="11"/>
  <c r="AL20" i="11"/>
  <c r="AS20" i="11"/>
  <c r="AR20" i="11"/>
  <c r="AQ20" i="11"/>
  <c r="AP20" i="11"/>
  <c r="AW20" i="11"/>
  <c r="AO20" i="11"/>
  <c r="AV20" i="11"/>
  <c r="AN20" i="11"/>
  <c r="AU20" i="11"/>
  <c r="AM20" i="11"/>
  <c r="AT20" i="11"/>
  <c r="AS4" i="3"/>
  <c r="AR4" i="3"/>
  <c r="AI4" i="3"/>
  <c r="AN4" i="3"/>
  <c r="AL4" i="3"/>
  <c r="AV4" i="3"/>
  <c r="AJ4" i="3"/>
  <c r="AO4" i="3"/>
  <c r="AH4" i="3"/>
  <c r="AU4" i="3"/>
  <c r="AK4" i="3"/>
  <c r="AM4" i="3"/>
  <c r="AQ4" i="3"/>
  <c r="AT4" i="3"/>
  <c r="AW4" i="3"/>
  <c r="AP4" i="3"/>
  <c r="AL72" i="3"/>
  <c r="AK72" i="3"/>
  <c r="AJ72" i="3"/>
  <c r="AI72" i="3"/>
  <c r="AH72" i="3"/>
  <c r="W17" i="1"/>
  <c r="AB14" i="1"/>
  <c r="AA18" i="1"/>
  <c r="X19" i="1"/>
  <c r="U15" i="1"/>
  <c r="X14" i="1"/>
  <c r="Y16" i="1"/>
  <c r="X15" i="1"/>
  <c r="W14" i="1"/>
  <c r="AA19" i="1"/>
  <c r="Z18" i="1"/>
  <c r="Y15" i="1"/>
  <c r="X18" i="1"/>
  <c r="Y17" i="1"/>
  <c r="X16" i="1"/>
  <c r="W15" i="1"/>
  <c r="V14" i="1"/>
  <c r="Z19" i="1"/>
  <c r="Y18" i="1"/>
  <c r="X17" i="1"/>
  <c r="W16" i="1"/>
  <c r="V15" i="1"/>
  <c r="Z17" i="1"/>
  <c r="Y19" i="1"/>
  <c r="Z16" i="1"/>
  <c r="AA17" i="1"/>
  <c r="AC16" i="1"/>
  <c r="U18" i="1"/>
  <c r="AB18" i="1"/>
  <c r="AC19" i="1"/>
  <c r="Y14" i="1"/>
  <c r="Z15" i="1"/>
  <c r="AB15" i="1"/>
  <c r="AA14" i="1"/>
  <c r="U19" i="1"/>
  <c r="AC17" i="1"/>
  <c r="AA16" i="1"/>
  <c r="AB16" i="1"/>
  <c r="AB17" i="1"/>
  <c r="V17" i="1"/>
  <c r="W18" i="1"/>
  <c r="V16" i="1"/>
  <c r="U14" i="1"/>
  <c r="AC18" i="1"/>
  <c r="AA15" i="1"/>
  <c r="Z14" i="1"/>
  <c r="U16" i="1"/>
  <c r="AC14" i="1"/>
  <c r="W19" i="1"/>
  <c r="V18" i="1"/>
  <c r="V19" i="1"/>
  <c r="U17" i="1"/>
  <c r="AC15" i="1"/>
  <c r="AB19" i="1"/>
  <c r="AH41" i="11"/>
  <c r="AK41" i="11"/>
  <c r="AT41" i="11"/>
  <c r="AU41" i="11"/>
  <c r="AQ41" i="11"/>
  <c r="AN41" i="11"/>
  <c r="AJ41" i="11"/>
  <c r="AR41" i="11"/>
  <c r="AI41" i="11"/>
  <c r="AS41" i="11"/>
  <c r="AL41" i="11"/>
  <c r="AV41" i="11"/>
  <c r="AO41" i="11"/>
  <c r="AP41" i="11"/>
  <c r="AW41" i="11"/>
  <c r="AM41" i="11"/>
  <c r="AV53" i="11"/>
  <c r="AM53" i="11"/>
  <c r="AL53" i="11"/>
  <c r="AU53" i="11"/>
  <c r="AL13" i="6"/>
  <c r="AN13" i="6"/>
  <c r="AJ13" i="6"/>
  <c r="AI13" i="6"/>
  <c r="AN11" i="6"/>
  <c r="AL11" i="6"/>
  <c r="AM18" i="6"/>
  <c r="AL18" i="6"/>
  <c r="AS18" i="6"/>
  <c r="AT18" i="6"/>
  <c r="AV18" i="6"/>
  <c r="AQ18" i="6"/>
  <c r="AP18" i="6"/>
  <c r="AJ18" i="6"/>
  <c r="AI18" i="6"/>
  <c r="AQ15" i="6"/>
  <c r="AR15" i="6"/>
  <c r="AP15" i="6"/>
  <c r="AT15" i="6"/>
  <c r="AU15" i="6"/>
  <c r="AV15" i="6"/>
  <c r="AW15" i="6"/>
  <c r="AS15" i="6"/>
  <c r="AK15" i="6"/>
  <c r="AM15" i="6"/>
  <c r="AL15" i="6"/>
  <c r="AI15" i="6"/>
  <c r="AJ15" i="6"/>
  <c r="AS9" i="6"/>
  <c r="AP9" i="6"/>
  <c r="AQ9" i="6"/>
  <c r="AV9" i="6"/>
  <c r="AR9" i="6"/>
  <c r="AT9" i="6"/>
  <c r="AL6" i="6"/>
  <c r="AJ6" i="6"/>
  <c r="AK6" i="6"/>
  <c r="AF3" i="12"/>
  <c r="AE3" i="12"/>
  <c r="AD3" i="12"/>
  <c r="AP46" i="9"/>
  <c r="AN46" i="9"/>
  <c r="AM46" i="9"/>
  <c r="AU46" i="9"/>
  <c r="AO46" i="9"/>
  <c r="AL46" i="9"/>
  <c r="AT46" i="9"/>
  <c r="AV46" i="9"/>
  <c r="AR46" i="9"/>
  <c r="AK46" i="9"/>
  <c r="AQ46" i="9"/>
  <c r="AW46" i="9"/>
  <c r="AS46" i="9"/>
  <c r="AJ46" i="9"/>
  <c r="AI46" i="9"/>
  <c r="AS41" i="9"/>
  <c r="AN41" i="9"/>
  <c r="AM41" i="9"/>
  <c r="AW41" i="9"/>
  <c r="AV41" i="9"/>
  <c r="AL41" i="9"/>
  <c r="AU41" i="9"/>
  <c r="AK41" i="9"/>
  <c r="AT41" i="9"/>
  <c r="AJ41" i="9"/>
  <c r="AI41" i="9"/>
  <c r="AQ41" i="9"/>
  <c r="AP41" i="9"/>
  <c r="AO41" i="9"/>
  <c r="AP22" i="9"/>
  <c r="AO22" i="9"/>
  <c r="AI22" i="9"/>
  <c r="AW22" i="9"/>
  <c r="AM22" i="9"/>
  <c r="AT22" i="9"/>
  <c r="AJ22" i="9"/>
  <c r="AR45" i="9"/>
  <c r="AV45" i="9"/>
  <c r="AQ45" i="9"/>
  <c r="AW45" i="9"/>
  <c r="AT45" i="9"/>
  <c r="AI45" i="9"/>
  <c r="AM45" i="9"/>
  <c r="AO45" i="9"/>
  <c r="AN45" i="9"/>
  <c r="AJ45" i="9"/>
  <c r="AU45" i="9"/>
  <c r="AK45" i="9"/>
  <c r="AP45" i="9"/>
  <c r="AL45" i="9"/>
  <c r="AS45" i="9"/>
  <c r="AU55" i="9"/>
  <c r="AI55" i="9"/>
  <c r="AM55" i="9"/>
  <c r="AO55" i="9"/>
  <c r="AN55" i="9"/>
  <c r="AQ55" i="9"/>
  <c r="AL55" i="9"/>
  <c r="AK55" i="9"/>
  <c r="AP55" i="9"/>
  <c r="AJ55" i="9"/>
  <c r="AJ56" i="9"/>
  <c r="AU56" i="9"/>
  <c r="AK56" i="9"/>
  <c r="AN56" i="9"/>
  <c r="AL56" i="9"/>
  <c r="AP56" i="9"/>
  <c r="AQ56" i="9"/>
  <c r="AS56" i="9"/>
  <c r="AV56" i="9"/>
  <c r="AR56" i="9"/>
  <c r="AT56" i="9"/>
  <c r="AM56" i="9"/>
  <c r="AI56" i="9"/>
  <c r="AW56" i="9"/>
  <c r="AO56" i="9"/>
  <c r="AI40" i="9"/>
  <c r="AN40" i="9"/>
  <c r="AS40" i="9"/>
  <c r="AP40" i="9"/>
  <c r="AK40" i="9"/>
  <c r="AR40" i="9"/>
  <c r="AL40" i="9"/>
  <c r="AO40" i="9"/>
  <c r="AU40" i="9"/>
  <c r="AV40" i="9"/>
  <c r="AM40" i="9"/>
  <c r="AJ40" i="9"/>
  <c r="AP26" i="9"/>
  <c r="AI26" i="9"/>
  <c r="AJ26" i="9"/>
  <c r="AQ26" i="9"/>
  <c r="AO26" i="9"/>
  <c r="AN26" i="9"/>
  <c r="AR26" i="9"/>
  <c r="AM26" i="9"/>
  <c r="AT26" i="9"/>
  <c r="AL26" i="9"/>
  <c r="AH26" i="9"/>
  <c r="AK26" i="9"/>
  <c r="AV26" i="9"/>
  <c r="AS26" i="9"/>
  <c r="AU26" i="9"/>
  <c r="AW26" i="9"/>
  <c r="AN25" i="9"/>
  <c r="AU25" i="9"/>
  <c r="AM20" i="5"/>
  <c r="AK20" i="5"/>
  <c r="AU20" i="5"/>
  <c r="AT20" i="5"/>
  <c r="AS20" i="5"/>
  <c r="AR20" i="5"/>
  <c r="AP20" i="5"/>
  <c r="AN20" i="5"/>
  <c r="AL20" i="5"/>
  <c r="AJ20" i="5"/>
  <c r="AV20" i="5"/>
  <c r="AI20" i="5"/>
  <c r="AQ20" i="5"/>
  <c r="AO20" i="5"/>
  <c r="AK12" i="6"/>
  <c r="AH12" i="6"/>
  <c r="AQ12" i="6"/>
  <c r="AP12" i="6"/>
  <c r="AO12" i="6"/>
  <c r="AN12" i="6"/>
  <c r="AW12" i="6"/>
  <c r="AM12" i="6"/>
  <c r="AV12" i="6"/>
  <c r="AL12" i="6"/>
  <c r="AU12" i="6"/>
  <c r="AT12" i="6"/>
  <c r="AJ12" i="6"/>
  <c r="AJ10" i="8"/>
  <c r="AK10" i="8"/>
  <c r="AM12" i="17"/>
  <c r="AS12" i="17"/>
  <c r="AW12" i="17"/>
  <c r="AH12" i="17"/>
  <c r="AP12" i="17"/>
  <c r="AL12" i="17"/>
  <c r="AK12" i="17"/>
  <c r="AV12" i="17"/>
  <c r="AR12" i="17"/>
  <c r="AO12" i="17"/>
  <c r="AJ12" i="17"/>
  <c r="AT12" i="17"/>
  <c r="AQ12" i="17"/>
  <c r="AN12" i="17"/>
  <c r="AI12" i="17"/>
  <c r="AU12" i="17"/>
  <c r="AP23" i="17"/>
  <c r="AI23" i="17"/>
  <c r="AT23" i="17"/>
  <c r="AU23" i="17"/>
  <c r="AQ23" i="17"/>
  <c r="AV23" i="17"/>
  <c r="AR23" i="17"/>
  <c r="AS23" i="17"/>
  <c r="AW23" i="17"/>
  <c r="AJ23" i="17"/>
  <c r="AK23" i="17"/>
  <c r="AL23" i="17"/>
  <c r="AM23" i="17"/>
  <c r="AN23" i="17"/>
  <c r="AO23" i="17"/>
  <c r="AH22" i="17"/>
  <c r="AR22" i="17"/>
  <c r="AQ22" i="17"/>
  <c r="AP22" i="17"/>
  <c r="AO22" i="17"/>
  <c r="AN22" i="17"/>
  <c r="AL22" i="17"/>
  <c r="AK22" i="17"/>
  <c r="AJ22" i="17"/>
  <c r="AI22" i="17"/>
  <c r="AM22" i="17"/>
  <c r="AW22" i="17"/>
  <c r="AV22" i="17"/>
  <c r="AU22" i="17"/>
  <c r="AT22" i="17"/>
  <c r="AS22" i="17"/>
  <c r="AV4" i="17"/>
  <c r="AJ4" i="17"/>
  <c r="AI4" i="17"/>
  <c r="AL4" i="17"/>
  <c r="AS4" i="17"/>
  <c r="AP4" i="17"/>
  <c r="AQ52" i="3"/>
  <c r="AT52" i="3"/>
  <c r="AR52" i="3"/>
  <c r="AS52" i="3"/>
  <c r="AN52" i="3"/>
  <c r="AU52" i="3"/>
  <c r="AP52" i="3"/>
  <c r="AO52" i="3"/>
  <c r="AL52" i="3"/>
  <c r="AI52" i="3"/>
  <c r="AJ52" i="3"/>
  <c r="AK52" i="3"/>
  <c r="AH52" i="3"/>
  <c r="AU65" i="5"/>
  <c r="AR65" i="5"/>
  <c r="AO65" i="5"/>
  <c r="AP65" i="5"/>
  <c r="AQ65" i="5"/>
  <c r="AJ65" i="5"/>
  <c r="AK65" i="5"/>
  <c r="AH65" i="5"/>
  <c r="AL65" i="5"/>
  <c r="AM65" i="5"/>
  <c r="AI65" i="5"/>
  <c r="AH42" i="5"/>
  <c r="AT42" i="5"/>
  <c r="AK42" i="5"/>
  <c r="AM42" i="5"/>
  <c r="AN42" i="5"/>
  <c r="AO42" i="5"/>
  <c r="AP42" i="5"/>
  <c r="AS42" i="5"/>
  <c r="AV42" i="5"/>
  <c r="AI42" i="5"/>
  <c r="AJ42" i="5"/>
  <c r="AL42" i="5"/>
  <c r="AQ42" i="5"/>
  <c r="AR42" i="5"/>
  <c r="AU42" i="5"/>
  <c r="AW42" i="5"/>
  <c r="AM37" i="5"/>
  <c r="AJ37" i="5"/>
  <c r="AO37" i="5"/>
  <c r="AP37" i="5"/>
  <c r="AQ37" i="5"/>
  <c r="AR37" i="5"/>
  <c r="AU37" i="5"/>
  <c r="AH37" i="5"/>
  <c r="AV37" i="5"/>
  <c r="AL37" i="5"/>
  <c r="AK37" i="5"/>
  <c r="AI37" i="5"/>
  <c r="AT37" i="5"/>
  <c r="AN37" i="5"/>
  <c r="AW37" i="5"/>
  <c r="AS37" i="5"/>
  <c r="AO3" i="12"/>
  <c r="AK3" i="12"/>
  <c r="AN3" i="12"/>
  <c r="AJ3" i="12"/>
  <c r="AI3" i="12"/>
  <c r="AM3" i="12"/>
  <c r="AH3" i="12"/>
  <c r="AW3" i="12"/>
  <c r="AV3" i="12"/>
  <c r="AU3" i="12"/>
  <c r="AT3" i="12"/>
  <c r="AS3" i="12"/>
  <c r="AR3" i="12"/>
  <c r="AQ3" i="12"/>
  <c r="AP3" i="12"/>
  <c r="AL3" i="12"/>
  <c r="AJ33" i="9"/>
  <c r="AI33" i="9"/>
  <c r="AS33" i="9"/>
  <c r="AK33" i="9"/>
  <c r="AR33" i="9"/>
  <c r="AQ33" i="9"/>
  <c r="AP33" i="9"/>
  <c r="AO33" i="9"/>
  <c r="AN33" i="9"/>
  <c r="AW33" i="9"/>
  <c r="AH33" i="9"/>
  <c r="AM33" i="9"/>
  <c r="AV33" i="9"/>
  <c r="AL33" i="9"/>
  <c r="AU33" i="9"/>
  <c r="AS99" i="5"/>
  <c r="AP99" i="5"/>
  <c r="AL100" i="5"/>
  <c r="AM100" i="5"/>
  <c r="AK100" i="5"/>
  <c r="AI100" i="5"/>
  <c r="AJ100" i="5"/>
  <c r="AV98" i="5"/>
  <c r="AP98" i="5"/>
  <c r="AQ97" i="5"/>
  <c r="AP97" i="5"/>
  <c r="AW97" i="5"/>
  <c r="AV97" i="5"/>
  <c r="AU97" i="5"/>
  <c r="AT97" i="5"/>
  <c r="AS97" i="5"/>
  <c r="AR97" i="5"/>
  <c r="AO97" i="5"/>
  <c r="AK98" i="5"/>
  <c r="AM98" i="5"/>
  <c r="AI98" i="5"/>
  <c r="AL98" i="5"/>
  <c r="AJ98" i="5"/>
  <c r="AK97" i="5"/>
  <c r="AI97" i="5"/>
  <c r="AJ97" i="5"/>
  <c r="AL97" i="5"/>
  <c r="AM97" i="5"/>
  <c r="AI26" i="17"/>
  <c r="AP26" i="17"/>
  <c r="AU26" i="17"/>
  <c r="AS26" i="17"/>
  <c r="AN5" i="17"/>
  <c r="AT5" i="17"/>
  <c r="AQ5" i="17"/>
  <c r="AL5" i="17"/>
  <c r="AK5" i="17"/>
  <c r="AI5" i="17"/>
  <c r="AJ5" i="17"/>
  <c r="AR5" i="17"/>
  <c r="AS5" i="17"/>
  <c r="AO5" i="17"/>
  <c r="AM5" i="17"/>
  <c r="AH5" i="17"/>
  <c r="AW5" i="17"/>
  <c r="AV5" i="17"/>
  <c r="AU5" i="17"/>
  <c r="AP5" i="17"/>
  <c r="AQ3" i="17"/>
  <c r="AR3" i="17"/>
  <c r="AT3" i="17"/>
  <c r="AU3" i="17"/>
  <c r="AS3" i="17"/>
  <c r="AW3" i="17"/>
  <c r="AO3" i="17"/>
  <c r="AV3" i="17"/>
  <c r="AL3" i="17"/>
  <c r="AN3" i="17"/>
  <c r="AI3" i="17"/>
  <c r="AJ3" i="17"/>
  <c r="AK3" i="17"/>
  <c r="AS37" i="11"/>
  <c r="AL37" i="11"/>
  <c r="AN37" i="11"/>
  <c r="AT37" i="11"/>
  <c r="AP37" i="11"/>
  <c r="AM37" i="11"/>
  <c r="AR37" i="11"/>
  <c r="AO37" i="11"/>
  <c r="AU37" i="11"/>
  <c r="AK37" i="11"/>
  <c r="AW37" i="11"/>
  <c r="AV37" i="11"/>
  <c r="AT49" i="11"/>
  <c r="AQ49" i="11"/>
  <c r="AV49" i="11"/>
  <c r="AU49" i="11"/>
  <c r="AI49" i="11"/>
  <c r="AM49" i="11"/>
  <c r="AJ49" i="11"/>
  <c r="AR49" i="11"/>
  <c r="AP49" i="11"/>
  <c r="AO49" i="11"/>
  <c r="AK49" i="11"/>
  <c r="AS49" i="11"/>
  <c r="AL49" i="11"/>
  <c r="AN49" i="11"/>
  <c r="AW49" i="11"/>
  <c r="AQ52" i="11"/>
  <c r="AL52" i="11"/>
  <c r="AR52" i="11"/>
  <c r="AW52" i="11"/>
  <c r="AK52" i="11"/>
  <c r="AO52" i="11"/>
  <c r="AV52" i="11"/>
  <c r="AI52" i="11"/>
  <c r="AP52" i="11"/>
  <c r="AH52" i="11"/>
  <c r="AN52" i="11"/>
  <c r="AU52" i="11"/>
  <c r="AS52" i="11"/>
  <c r="AM52" i="11"/>
  <c r="AJ52" i="11"/>
  <c r="AT52" i="11"/>
  <c r="AP16" i="11"/>
  <c r="AR16" i="11"/>
  <c r="AN16" i="11"/>
  <c r="AQ16" i="11"/>
  <c r="AK16" i="11"/>
  <c r="AM16" i="11"/>
  <c r="AU16" i="11"/>
  <c r="AO16" i="11"/>
  <c r="AL16" i="11"/>
  <c r="AS16" i="11"/>
  <c r="AV16" i="11"/>
  <c r="AT16" i="11"/>
  <c r="AJ9" i="8" a="1"/>
  <c r="AL9" i="8" a="1"/>
  <c r="AF9" i="8"/>
  <c r="AH9" i="8" a="1"/>
  <c r="Z9" i="8"/>
  <c r="AM13" i="3"/>
  <c r="AQ13" i="3"/>
  <c r="AP13" i="3"/>
  <c r="AN13" i="3"/>
  <c r="AV13" i="3"/>
  <c r="AU13" i="3"/>
  <c r="AL13" i="3"/>
  <c r="AW13" i="3"/>
  <c r="AI13" i="3"/>
  <c r="AT13" i="3"/>
  <c r="AK13" i="3"/>
  <c r="AR13" i="3"/>
  <c r="AS13" i="3"/>
  <c r="AJ13" i="3"/>
  <c r="AO13" i="3"/>
  <c r="AR8" i="8"/>
  <c r="AS8" i="8"/>
  <c r="AV8" i="8"/>
  <c r="AW8" i="8"/>
  <c r="AU8" i="8"/>
  <c r="AP8" i="8"/>
  <c r="AO8" i="8"/>
  <c r="AN8" i="8"/>
  <c r="AU4" i="5"/>
  <c r="AO4" i="5"/>
  <c r="AR4" i="5"/>
  <c r="AQ4" i="5"/>
  <c r="AV4" i="5"/>
  <c r="AN4" i="5"/>
  <c r="AW4" i="5"/>
  <c r="AT4" i="5"/>
  <c r="AP4" i="5"/>
  <c r="AL4" i="5"/>
  <c r="AM4" i="5"/>
  <c r="AH4" i="5"/>
  <c r="AI4" i="5"/>
  <c r="AJ4" i="5"/>
  <c r="AV66" i="5"/>
  <c r="AO66" i="5"/>
  <c r="AN66" i="5"/>
  <c r="AW66" i="5"/>
  <c r="AP66" i="5"/>
  <c r="AR66" i="5"/>
  <c r="AT66" i="5"/>
  <c r="AS66" i="5"/>
  <c r="AU66" i="5"/>
  <c r="AK66" i="5"/>
  <c r="AI66" i="5"/>
  <c r="AL66" i="5"/>
  <c r="AM66" i="5"/>
  <c r="AJ66" i="5"/>
  <c r="AW62" i="5"/>
  <c r="AN62" i="5"/>
  <c r="AV62" i="5"/>
  <c r="AT62" i="5"/>
  <c r="AQ62" i="5"/>
  <c r="AS62" i="5"/>
  <c r="AO62" i="5"/>
  <c r="AR62" i="5"/>
  <c r="AU62" i="5"/>
  <c r="AJ62" i="5"/>
  <c r="AK62" i="5"/>
  <c r="AI62" i="5"/>
  <c r="AL62" i="5"/>
  <c r="AM62" i="5"/>
  <c r="AN45" i="3"/>
  <c r="AS45" i="3"/>
  <c r="AW45" i="3"/>
  <c r="AU45" i="3"/>
  <c r="AP45" i="3"/>
  <c r="AQ45" i="3"/>
  <c r="AV45" i="3"/>
  <c r="AR45" i="3"/>
  <c r="AM45" i="3"/>
  <c r="AT45" i="3"/>
  <c r="AH45" i="3"/>
  <c r="AI45" i="3"/>
  <c r="AK45" i="3"/>
  <c r="AJ45" i="3"/>
  <c r="AP31" i="3"/>
  <c r="AJ31" i="3"/>
  <c r="AO31" i="3"/>
  <c r="AM31" i="3"/>
  <c r="AT31" i="3"/>
  <c r="AU31" i="3"/>
  <c r="AH31" i="3"/>
  <c r="AW31" i="3"/>
  <c r="AI31" i="3"/>
  <c r="AR31" i="3"/>
  <c r="AQ31" i="3"/>
  <c r="AN31" i="3"/>
  <c r="AV31" i="3"/>
  <c r="AS31" i="3"/>
  <c r="AK31" i="3"/>
  <c r="AW30" i="3"/>
  <c r="AQ30" i="3"/>
  <c r="AU30" i="3"/>
  <c r="AM30" i="3"/>
  <c r="AP30" i="3"/>
  <c r="AK30" i="3"/>
  <c r="AN30" i="3"/>
  <c r="AL30" i="3"/>
  <c r="AV30" i="3"/>
  <c r="AS30" i="3"/>
  <c r="AO30" i="3"/>
  <c r="AJ30" i="3"/>
  <c r="AH30" i="3"/>
  <c r="AT30" i="3"/>
  <c r="AR30" i="3"/>
  <c r="AR82" i="3"/>
  <c r="AJ82" i="3"/>
  <c r="AN82" i="3"/>
  <c r="AO82" i="3"/>
  <c r="AU82" i="3"/>
  <c r="AV82" i="3"/>
  <c r="AM82" i="3"/>
  <c r="AQ82" i="3"/>
  <c r="AH82" i="3"/>
  <c r="AW82" i="3"/>
  <c r="AK82" i="3"/>
  <c r="AT82" i="3"/>
  <c r="AL82" i="3"/>
  <c r="AS82" i="3"/>
  <c r="AP82" i="3"/>
  <c r="AK63" i="3"/>
  <c r="AT63" i="3"/>
  <c r="AW63" i="3"/>
  <c r="AN63" i="3"/>
  <c r="AH63" i="3"/>
  <c r="AQ63" i="3"/>
  <c r="AP63" i="3"/>
  <c r="AU63" i="3"/>
  <c r="AL63" i="3"/>
  <c r="AR63" i="3"/>
  <c r="AI63" i="3"/>
  <c r="AM63" i="3"/>
  <c r="AV63" i="3"/>
  <c r="AS63" i="3"/>
  <c r="AJ63" i="3"/>
  <c r="AO63" i="3"/>
  <c r="AR62" i="3"/>
  <c r="AU62" i="3"/>
  <c r="AP62" i="3"/>
  <c r="AW62" i="3"/>
  <c r="AN62" i="3"/>
  <c r="AK62" i="3"/>
  <c r="AT62" i="3"/>
  <c r="AO62" i="3"/>
  <c r="AI62" i="3"/>
  <c r="AS62" i="3"/>
  <c r="AQ62" i="3"/>
  <c r="AJ62" i="3"/>
  <c r="AV62" i="3"/>
  <c r="AL62" i="3"/>
  <c r="AM62" i="3"/>
  <c r="AV70" i="3"/>
  <c r="AH70" i="3"/>
  <c r="AN70" i="3"/>
  <c r="AM70" i="3"/>
  <c r="AT70" i="3"/>
  <c r="AQ70" i="3"/>
  <c r="AO70" i="3"/>
  <c r="AS70" i="3"/>
  <c r="AK70" i="3"/>
  <c r="AW70" i="3"/>
  <c r="AU70" i="3"/>
  <c r="AL70" i="3"/>
  <c r="AP70" i="3"/>
  <c r="AR70" i="3"/>
  <c r="AJ70" i="3"/>
  <c r="AL58" i="3"/>
  <c r="AI58" i="3"/>
  <c r="AV58" i="3"/>
  <c r="AN58" i="3"/>
  <c r="AR58" i="3"/>
  <c r="AO58" i="3"/>
  <c r="AW58" i="3"/>
  <c r="AJ58" i="3"/>
  <c r="AH58" i="3"/>
  <c r="AU58" i="3"/>
  <c r="AM58" i="3"/>
  <c r="AQ58" i="3"/>
  <c r="AS58" i="3"/>
  <c r="AK58" i="3"/>
  <c r="AP58" i="3"/>
  <c r="AT58" i="3"/>
  <c r="AN9" i="3"/>
  <c r="AO9" i="3"/>
  <c r="AV9" i="3"/>
  <c r="AU9" i="3"/>
  <c r="AT9" i="3"/>
  <c r="AK9" i="3"/>
  <c r="AS9" i="3"/>
  <c r="AM9" i="3"/>
  <c r="AL9" i="3"/>
  <c r="AW9" i="3"/>
  <c r="AR9" i="3"/>
  <c r="AI9" i="3"/>
  <c r="AQ9" i="3"/>
  <c r="AP9" i="3"/>
  <c r="AJ9" i="3"/>
  <c r="AI61" i="3"/>
  <c r="AW61" i="3"/>
  <c r="AP61" i="3"/>
  <c r="AQ61" i="3"/>
  <c r="AK61" i="3"/>
  <c r="AO61" i="3"/>
  <c r="AJ61" i="3"/>
  <c r="AR61" i="3"/>
  <c r="AS61" i="3"/>
  <c r="AL61" i="3"/>
  <c r="AM61" i="3"/>
  <c r="AV61" i="3"/>
  <c r="AU61" i="3"/>
  <c r="AN61" i="3"/>
  <c r="AT61" i="3"/>
  <c r="AH61" i="3"/>
  <c r="AQ60" i="3"/>
  <c r="AH60" i="3"/>
  <c r="AN60" i="3"/>
  <c r="AT60" i="3"/>
  <c r="AM60" i="3"/>
  <c r="AS60" i="3"/>
  <c r="AW60" i="3"/>
  <c r="AP60" i="3"/>
  <c r="AV60" i="3"/>
  <c r="AO60" i="3"/>
  <c r="AU60" i="3"/>
  <c r="AI60" i="3"/>
  <c r="AL60" i="3"/>
  <c r="AJ60" i="3"/>
  <c r="AK60" i="3"/>
  <c r="AR60" i="3"/>
  <c r="AN59" i="3"/>
  <c r="AV59" i="3"/>
  <c r="AP59" i="3"/>
  <c r="AU59" i="3"/>
  <c r="AW59" i="3"/>
  <c r="AI59" i="3"/>
  <c r="AQ59" i="3"/>
  <c r="AM59" i="3"/>
  <c r="AJ59" i="3"/>
  <c r="AR59" i="3"/>
  <c r="AK59" i="3"/>
  <c r="AS59" i="3"/>
  <c r="AL59" i="3"/>
  <c r="AO59" i="3"/>
  <c r="AT59" i="3"/>
  <c r="AP66" i="3"/>
  <c r="AV66" i="3"/>
  <c r="AN66" i="3"/>
  <c r="AO66" i="3"/>
  <c r="AQ66" i="3"/>
  <c r="AT66" i="3"/>
  <c r="AU66" i="3"/>
  <c r="AL66" i="3"/>
  <c r="AJ66" i="3"/>
  <c r="AR66" i="3"/>
  <c r="AK66" i="3"/>
  <c r="AS66" i="3"/>
  <c r="AW66" i="3"/>
  <c r="AM66" i="3"/>
  <c r="AI66" i="3"/>
  <c r="AH66" i="3"/>
  <c r="AN48" i="3"/>
  <c r="AV48" i="3"/>
  <c r="AL48" i="3"/>
  <c r="AI48" i="3"/>
  <c r="AR48" i="3"/>
  <c r="AO48" i="3"/>
  <c r="AQ48" i="3"/>
  <c r="AS48" i="3"/>
  <c r="AH48" i="3"/>
  <c r="AK48" i="3"/>
  <c r="AT48" i="3"/>
  <c r="AU48" i="3"/>
  <c r="AM48" i="3"/>
  <c r="AP48" i="3"/>
  <c r="AJ48" i="3"/>
  <c r="AW48" i="3"/>
  <c r="AT28" i="3"/>
  <c r="AH28" i="3"/>
  <c r="AP28" i="3"/>
  <c r="AM28" i="3"/>
  <c r="AU28" i="3"/>
  <c r="AQ28" i="3"/>
  <c r="AJ28" i="3"/>
  <c r="AL28" i="3"/>
  <c r="AK28" i="3"/>
  <c r="AV28" i="3"/>
  <c r="AN28" i="3"/>
  <c r="AW28" i="3"/>
  <c r="AR28" i="3"/>
  <c r="AO28" i="3"/>
  <c r="AI28" i="3"/>
  <c r="AS28" i="3"/>
  <c r="AP81" i="3"/>
  <c r="AR81" i="3"/>
  <c r="AH81" i="3"/>
  <c r="AL81" i="3"/>
  <c r="AU81" i="3"/>
  <c r="AV81" i="3"/>
  <c r="AM81" i="3"/>
  <c r="AQ81" i="3"/>
  <c r="AO81" i="3"/>
  <c r="AJ81" i="3"/>
  <c r="AS81" i="3"/>
  <c r="AW81" i="3"/>
  <c r="AN81" i="3"/>
  <c r="AT81" i="3"/>
  <c r="AK81" i="3"/>
  <c r="AI81" i="3"/>
  <c r="AQ80" i="3"/>
  <c r="AI80" i="3"/>
  <c r="AR80" i="3"/>
  <c r="AN80" i="3"/>
  <c r="AK80" i="3"/>
  <c r="AP80" i="3"/>
  <c r="AS80" i="3"/>
  <c r="AJ80" i="3"/>
  <c r="AO80" i="3"/>
  <c r="AH80" i="3"/>
  <c r="AT80" i="3"/>
  <c r="AU80" i="3"/>
  <c r="AL80" i="3"/>
  <c r="AM80" i="3"/>
  <c r="AW80" i="3"/>
  <c r="AV80" i="3"/>
  <c r="AT75" i="3"/>
  <c r="AN75" i="3"/>
  <c r="AO75" i="3"/>
  <c r="AS75" i="3"/>
  <c r="AL75" i="3"/>
  <c r="AI75" i="3"/>
  <c r="AH75" i="3"/>
  <c r="AW75" i="3"/>
  <c r="AK75" i="3"/>
  <c r="AV75" i="3"/>
  <c r="AR75" i="3"/>
  <c r="AJ75" i="3"/>
  <c r="AP75" i="3"/>
  <c r="AQ75" i="3"/>
  <c r="AU75" i="3"/>
  <c r="AV72" i="3"/>
  <c r="AW72" i="3"/>
  <c r="AT72" i="3"/>
  <c r="AS72" i="3"/>
  <c r="AU72" i="3"/>
  <c r="AO72" i="3"/>
  <c r="AP72" i="3"/>
  <c r="AQ72" i="3"/>
  <c r="AN72" i="3"/>
  <c r="AH69" i="3"/>
  <c r="AN69" i="3"/>
  <c r="AI69" i="3"/>
  <c r="AR69" i="3"/>
  <c r="AK69" i="3"/>
  <c r="AQ69" i="3"/>
  <c r="AS69" i="3"/>
  <c r="AP69" i="3"/>
  <c r="AL69" i="3"/>
  <c r="AO69" i="3"/>
  <c r="AT69" i="3"/>
  <c r="AM69" i="3"/>
  <c r="AV69" i="3"/>
  <c r="AW69" i="3"/>
  <c r="AU69" i="3"/>
  <c r="AJ69" i="3"/>
  <c r="AJ68" i="3"/>
  <c r="AN68" i="3"/>
  <c r="AS68" i="3"/>
  <c r="AK68" i="3"/>
  <c r="AT68" i="3"/>
  <c r="AR68" i="3"/>
  <c r="AI68" i="3"/>
  <c r="AL68" i="3"/>
  <c r="AH68" i="3"/>
  <c r="AQ68" i="3"/>
  <c r="AU68" i="3"/>
  <c r="AW68" i="3"/>
  <c r="AP68" i="3"/>
  <c r="AM68" i="3"/>
  <c r="AV68" i="3"/>
  <c r="AO68" i="3"/>
  <c r="AO67" i="3"/>
  <c r="AT67" i="3"/>
  <c r="AI67" i="3"/>
  <c r="AQ67" i="3"/>
  <c r="AJ67" i="3"/>
  <c r="AN67" i="3"/>
  <c r="AW67" i="3"/>
  <c r="AR67" i="3"/>
  <c r="AH67" i="3"/>
  <c r="AK67" i="3"/>
  <c r="AV67" i="3"/>
  <c r="AS67" i="3"/>
  <c r="AP67" i="3"/>
  <c r="AL67" i="3"/>
  <c r="AU67" i="3"/>
  <c r="AM67" i="3"/>
  <c r="AP54" i="3"/>
  <c r="AV54" i="3"/>
  <c r="AM54" i="3"/>
  <c r="AW54" i="3"/>
  <c r="AN54" i="3"/>
  <c r="AO54" i="3"/>
  <c r="AU54" i="3"/>
  <c r="AK54" i="3"/>
  <c r="AT54" i="3"/>
  <c r="AS54" i="3"/>
  <c r="AL54" i="3"/>
  <c r="AR54" i="3"/>
  <c r="AJ54" i="3"/>
  <c r="AQ54" i="3"/>
  <c r="AI54" i="3"/>
  <c r="AH54" i="3"/>
  <c r="AV51" i="3"/>
  <c r="AT51" i="3"/>
  <c r="AU51" i="3"/>
  <c r="AL51" i="3"/>
  <c r="AM51" i="3"/>
  <c r="AH51" i="3"/>
  <c r="AP51" i="3"/>
  <c r="AR51" i="3"/>
  <c r="AI51" i="3"/>
  <c r="AW51" i="3"/>
  <c r="AN51" i="3"/>
  <c r="AQ51" i="3"/>
  <c r="AJ51" i="3"/>
  <c r="AS51" i="3"/>
  <c r="AO51" i="3"/>
  <c r="AK51" i="3"/>
  <c r="AL50" i="3"/>
  <c r="AU50" i="3"/>
  <c r="AQ50" i="3"/>
  <c r="AM50" i="3"/>
  <c r="AH50" i="3"/>
  <c r="AS50" i="3"/>
  <c r="AV50" i="3"/>
  <c r="AR50" i="3"/>
  <c r="AT50" i="3"/>
  <c r="AK50" i="3"/>
  <c r="AW50" i="3"/>
  <c r="AJ50" i="3"/>
  <c r="AI50" i="3"/>
  <c r="AP50" i="3"/>
  <c r="AO50" i="3"/>
  <c r="AP44" i="3"/>
  <c r="AI44" i="3"/>
  <c r="AV44" i="3"/>
  <c r="AN44" i="3"/>
  <c r="AJ44" i="3"/>
  <c r="AM44" i="3"/>
  <c r="AH44" i="3"/>
  <c r="AR44" i="3"/>
  <c r="AW44" i="3"/>
  <c r="AS44" i="3"/>
  <c r="AO44" i="3"/>
  <c r="AQ44" i="3"/>
  <c r="AK44" i="3"/>
  <c r="AU44" i="3"/>
  <c r="AL44" i="3"/>
  <c r="AT44" i="3"/>
  <c r="AO40" i="3"/>
  <c r="AU40" i="3"/>
  <c r="AM40" i="3"/>
  <c r="AS40" i="3"/>
  <c r="AL40" i="3"/>
  <c r="AT40" i="3"/>
  <c r="AH40" i="3"/>
  <c r="AW40" i="3"/>
  <c r="AN40" i="3"/>
  <c r="AQ40" i="3"/>
  <c r="AP40" i="3"/>
  <c r="AK40" i="3"/>
  <c r="AR40" i="3"/>
  <c r="AV40" i="3"/>
  <c r="AJ40" i="3"/>
  <c r="AW39" i="3"/>
  <c r="AI39" i="3"/>
  <c r="AL39" i="3"/>
  <c r="AN39" i="3"/>
  <c r="AT39" i="3"/>
  <c r="AR39" i="3"/>
  <c r="AM39" i="3"/>
  <c r="AU39" i="3"/>
  <c r="AO39" i="3"/>
  <c r="AJ39" i="3"/>
  <c r="AH39" i="3"/>
  <c r="AQ39" i="3"/>
  <c r="AV39" i="3"/>
  <c r="AP39" i="3"/>
  <c r="AS39" i="3"/>
  <c r="AK39" i="3"/>
  <c r="AV38" i="3"/>
  <c r="AH38" i="3"/>
  <c r="AN38" i="3"/>
  <c r="AP38" i="3"/>
  <c r="AI38" i="3"/>
  <c r="AQ38" i="3"/>
  <c r="AO38" i="3"/>
  <c r="AJ38" i="3"/>
  <c r="AM38" i="3"/>
  <c r="AR38" i="3"/>
  <c r="AK38" i="3"/>
  <c r="AS38" i="3"/>
  <c r="AL38" i="3"/>
  <c r="AT38" i="3"/>
  <c r="AW38" i="3"/>
  <c r="AS35" i="3"/>
  <c r="AM35" i="3"/>
  <c r="AO35" i="3"/>
  <c r="AV35" i="3"/>
  <c r="AK35" i="3"/>
  <c r="AJ35" i="3"/>
  <c r="AP35" i="3"/>
  <c r="AT35" i="3"/>
  <c r="AQ35" i="3"/>
  <c r="AN35" i="3"/>
  <c r="AU35" i="3"/>
  <c r="AI35" i="3"/>
  <c r="AW35" i="3"/>
  <c r="AR35" i="3"/>
  <c r="AL35" i="3"/>
  <c r="AO33" i="3"/>
  <c r="AQ33" i="3"/>
  <c r="AI33" i="3"/>
  <c r="AS33" i="3"/>
  <c r="AJ33" i="3"/>
  <c r="AM33" i="3"/>
  <c r="AW33" i="3"/>
  <c r="AT33" i="3"/>
  <c r="AP33" i="3"/>
  <c r="AV33" i="3"/>
  <c r="AL33" i="3"/>
  <c r="AR33" i="3"/>
  <c r="AK33" i="3"/>
  <c r="AU33" i="3"/>
  <c r="AH33" i="3"/>
  <c r="AN33" i="3"/>
  <c r="AT32" i="3"/>
  <c r="AW32" i="3"/>
  <c r="AJ32" i="3"/>
  <c r="AU32" i="3"/>
  <c r="AP32" i="3"/>
  <c r="AS32" i="3"/>
  <c r="AN32" i="3"/>
  <c r="AK32" i="3"/>
  <c r="AL32" i="3"/>
  <c r="AR32" i="3"/>
  <c r="AQ32" i="3"/>
  <c r="AH32" i="3"/>
  <c r="AI32" i="3"/>
  <c r="AM32" i="3"/>
  <c r="AV32" i="3"/>
  <c r="AO32" i="3"/>
  <c r="AM29" i="3"/>
  <c r="AL29" i="3"/>
  <c r="AH29" i="3"/>
  <c r="AK29" i="3"/>
  <c r="AR29" i="3"/>
  <c r="AO29" i="3"/>
  <c r="AQ29" i="3"/>
  <c r="AP29" i="3"/>
  <c r="AW29" i="3"/>
  <c r="AJ29" i="3"/>
  <c r="AV29" i="3"/>
  <c r="AI29" i="3"/>
  <c r="AT29" i="3"/>
  <c r="AS29" i="3"/>
  <c r="AN29" i="3"/>
  <c r="AU29" i="3"/>
  <c r="AP27" i="3"/>
  <c r="AJ27" i="3"/>
  <c r="AU27" i="3"/>
  <c r="AS27" i="3"/>
  <c r="AI27" i="3"/>
  <c r="AK27" i="3"/>
  <c r="AW27" i="3"/>
  <c r="AL27" i="3"/>
  <c r="AR27" i="3"/>
  <c r="AN27" i="3"/>
  <c r="AM27" i="3"/>
  <c r="AT27" i="3"/>
  <c r="AV27" i="3"/>
  <c r="AO27" i="3"/>
  <c r="AQ27" i="3"/>
  <c r="AH27" i="3"/>
  <c r="AT26" i="3"/>
  <c r="AN26" i="3"/>
  <c r="AK26" i="3"/>
  <c r="AW26" i="3"/>
  <c r="AR26" i="3"/>
  <c r="AS26" i="3"/>
  <c r="AI26" i="3"/>
  <c r="AM26" i="3"/>
  <c r="AL26" i="3"/>
  <c r="AQ26" i="3"/>
  <c r="AH26" i="3"/>
  <c r="AO26" i="3"/>
  <c r="AP26" i="3"/>
  <c r="AJ26" i="3"/>
  <c r="AU26" i="3"/>
  <c r="AV26" i="3"/>
  <c r="AO25" i="3"/>
  <c r="AU25" i="3"/>
  <c r="AQ25" i="3"/>
  <c r="AN25" i="3"/>
  <c r="AJ25" i="3"/>
  <c r="AR25" i="3"/>
  <c r="AV25" i="3"/>
  <c r="AS25" i="3"/>
  <c r="AK25" i="3"/>
  <c r="AW25" i="3"/>
  <c r="AP25" i="3"/>
  <c r="AL25" i="3"/>
  <c r="AI25" i="3"/>
  <c r="AH25" i="3"/>
  <c r="AT25" i="3"/>
  <c r="AM25" i="3"/>
  <c r="AW24" i="3"/>
  <c r="AJ24" i="3"/>
  <c r="AI24" i="3"/>
  <c r="AP24" i="3"/>
  <c r="AQ24" i="3"/>
  <c r="AO24" i="3"/>
  <c r="AU24" i="3"/>
  <c r="AN24" i="3"/>
  <c r="AV24" i="3"/>
  <c r="AK24" i="3"/>
  <c r="AM24" i="3"/>
  <c r="AS24" i="3"/>
  <c r="AL24" i="3"/>
  <c r="AT24" i="3"/>
  <c r="AR24" i="3"/>
  <c r="AH24" i="3"/>
  <c r="AV23" i="3"/>
  <c r="AP23" i="3"/>
  <c r="AR23" i="3"/>
  <c r="AI23" i="3"/>
  <c r="AQ23" i="3"/>
  <c r="AL23" i="3"/>
  <c r="AJ23" i="3"/>
  <c r="AK23" i="3"/>
  <c r="AT23" i="3"/>
  <c r="AH23" i="3"/>
  <c r="AU23" i="3"/>
  <c r="AM23" i="3"/>
  <c r="AW23" i="3"/>
  <c r="AS23" i="3"/>
  <c r="AN23" i="3"/>
  <c r="AO23" i="3"/>
  <c r="AH22" i="3"/>
  <c r="AQ22" i="3"/>
  <c r="AT22" i="3"/>
  <c r="AR22" i="3"/>
  <c r="AP22" i="3"/>
  <c r="AV22" i="3"/>
  <c r="AO22" i="3"/>
  <c r="AI22" i="3"/>
  <c r="AJ22" i="3"/>
  <c r="AL22" i="3"/>
  <c r="AW22" i="3"/>
  <c r="AM22" i="3"/>
  <c r="AS22" i="3"/>
  <c r="AK22" i="3"/>
  <c r="AN22" i="3"/>
  <c r="AU22" i="3"/>
  <c r="AS21" i="3"/>
  <c r="AP21" i="3"/>
  <c r="AQ21" i="3"/>
  <c r="AK21" i="3"/>
  <c r="AR21" i="3"/>
  <c r="AM21" i="3"/>
  <c r="AJ21" i="3"/>
  <c r="AI21" i="3"/>
  <c r="AL21" i="3"/>
  <c r="AN21" i="3"/>
  <c r="AU21" i="3"/>
  <c r="AV21" i="3"/>
  <c r="AW21" i="3"/>
  <c r="AO21" i="3"/>
  <c r="AH21" i="3"/>
  <c r="AT21" i="3"/>
  <c r="AJ20" i="3"/>
  <c r="AN20" i="3"/>
  <c r="AU20" i="3"/>
  <c r="AT20" i="3"/>
  <c r="AH20" i="3"/>
  <c r="AW20" i="3"/>
  <c r="AP20" i="3"/>
  <c r="AI20" i="3"/>
  <c r="AS20" i="3"/>
  <c r="AV20" i="3"/>
  <c r="AO20" i="3"/>
  <c r="AK20" i="3"/>
  <c r="AR20" i="3"/>
  <c r="AQ20" i="3"/>
  <c r="AM20" i="3"/>
  <c r="AU17" i="3"/>
  <c r="AM17" i="3"/>
  <c r="AQ17" i="3"/>
  <c r="AH17" i="3"/>
  <c r="AP17" i="3"/>
  <c r="AV17" i="3"/>
  <c r="AR17" i="3"/>
  <c r="AW17" i="3"/>
  <c r="AT17" i="3"/>
  <c r="AL17" i="3"/>
  <c r="AO17" i="3"/>
  <c r="AI17" i="3"/>
  <c r="AN17" i="3"/>
  <c r="AK17" i="3"/>
  <c r="AS17" i="3"/>
  <c r="AJ17" i="3"/>
  <c r="AT16" i="3"/>
  <c r="AJ16" i="3"/>
  <c r="AV16" i="3"/>
  <c r="AO16" i="3"/>
  <c r="AP16" i="3"/>
  <c r="AN16" i="3"/>
  <c r="AK16" i="3"/>
  <c r="AQ16" i="3"/>
  <c r="AS16" i="3"/>
  <c r="AM16" i="3"/>
  <c r="AL16" i="3"/>
  <c r="AU16" i="3"/>
  <c r="AW16" i="3"/>
  <c r="AR16" i="3"/>
  <c r="AH16" i="3"/>
  <c r="AI16" i="3"/>
  <c r="AV14" i="3"/>
  <c r="AJ14" i="3"/>
  <c r="AI14" i="3"/>
  <c r="AU14" i="3"/>
  <c r="AO14" i="3"/>
  <c r="AP14" i="3"/>
  <c r="AL14" i="3"/>
  <c r="AW14" i="3"/>
  <c r="AN14" i="3"/>
  <c r="AQ14" i="3"/>
  <c r="AH14" i="3"/>
  <c r="AM14" i="3"/>
  <c r="AR14" i="3"/>
  <c r="AT14" i="3"/>
  <c r="AK14" i="3"/>
  <c r="AS14" i="3"/>
  <c r="AL12" i="3"/>
  <c r="AU12" i="3"/>
  <c r="AV12" i="3"/>
  <c r="AP12" i="3"/>
  <c r="AT12" i="3"/>
  <c r="AI12" i="3"/>
  <c r="AO12" i="3"/>
  <c r="AQ12" i="3"/>
  <c r="AW12" i="3"/>
  <c r="AS12" i="3"/>
  <c r="AM12" i="3"/>
  <c r="AK12" i="3"/>
  <c r="AH12" i="3"/>
  <c r="AN12" i="3"/>
  <c r="AR12" i="3"/>
  <c r="AJ12" i="3"/>
  <c r="AQ11" i="3"/>
  <c r="AJ11" i="3"/>
  <c r="AS11" i="3"/>
  <c r="AM11" i="3"/>
  <c r="AK11" i="3"/>
  <c r="AP11" i="3"/>
  <c r="AV11" i="3"/>
  <c r="AN11" i="3"/>
  <c r="AU11" i="3"/>
  <c r="AW11" i="3"/>
  <c r="AT11" i="3"/>
  <c r="AL11" i="3"/>
  <c r="AI11" i="3"/>
  <c r="AH11" i="3"/>
  <c r="AR11" i="3"/>
  <c r="AO11" i="3"/>
  <c r="R5" i="1"/>
  <c r="R4" i="1"/>
  <c r="M15" i="1"/>
  <c r="N15" i="1"/>
  <c r="N16" i="1"/>
  <c r="M14" i="1"/>
  <c r="N14" i="1"/>
  <c r="M16" i="1"/>
  <c r="E7" i="21" l="1"/>
  <c r="C7" i="21"/>
  <c r="C9" i="21"/>
  <c r="E9" i="21"/>
  <c r="D18" i="21"/>
  <c r="AI10" i="8"/>
  <c r="AH10" i="8"/>
  <c r="AT10" i="8"/>
  <c r="AL10" i="8"/>
  <c r="AS10" i="8"/>
  <c r="AR10" i="8"/>
  <c r="AN10" i="8"/>
  <c r="AM10" i="8"/>
  <c r="AP10" i="8"/>
  <c r="AW10" i="8"/>
  <c r="AQ10" i="8"/>
  <c r="AV10" i="8"/>
  <c r="AU10" i="8"/>
  <c r="AO10" i="8"/>
  <c r="AJ4" i="8"/>
  <c r="AK4" i="8"/>
  <c r="AH4" i="8"/>
  <c r="AI4" i="8"/>
  <c r="AN120" i="12"/>
  <c r="AJ117" i="12" a="1"/>
  <c r="AJ117" i="12" s="1"/>
  <c r="AN117" i="12" a="1"/>
  <c r="AN117" i="12" s="1"/>
  <c r="AT126" i="12"/>
  <c r="AQ126" i="12"/>
  <c r="AR126" i="12"/>
  <c r="AS126" i="12"/>
  <c r="AP126" i="12"/>
  <c r="AW126" i="12"/>
  <c r="AO126" i="12"/>
  <c r="AN126" i="12"/>
  <c r="AI126" i="12"/>
  <c r="AU126" i="12"/>
  <c r="AV126" i="12"/>
  <c r="AH126" i="12"/>
  <c r="AJ126" i="12"/>
  <c r="AK126" i="12"/>
  <c r="AL126" i="12"/>
  <c r="AM126" i="12"/>
  <c r="AP167" i="12"/>
  <c r="AK164" i="12"/>
  <c r="AL164" i="12"/>
  <c r="AN164" i="12"/>
  <c r="AO164" i="12"/>
  <c r="AP164" i="12"/>
  <c r="AQ164" i="12"/>
  <c r="AR164" i="12"/>
  <c r="AS164" i="12"/>
  <c r="AT164" i="12"/>
  <c r="AU164" i="12"/>
  <c r="AV164" i="12"/>
  <c r="AW164" i="12"/>
  <c r="AH165" i="12"/>
  <c r="AI167" i="12"/>
  <c r="AJ167" i="12"/>
  <c r="AK167" i="12"/>
  <c r="AL167" i="12"/>
  <c r="AN167" i="12"/>
  <c r="AJ168" i="12"/>
  <c r="AK168" i="12"/>
  <c r="AL168" i="12"/>
  <c r="AM168" i="12"/>
  <c r="AN168" i="12"/>
  <c r="AO168" i="12"/>
  <c r="AP168" i="12"/>
  <c r="AI170" i="12"/>
  <c r="AJ170" i="12"/>
  <c r="AK170" i="12"/>
  <c r="AL170" i="12"/>
  <c r="AO170" i="12"/>
  <c r="AP170" i="12"/>
  <c r="AQ170" i="12"/>
  <c r="AR170" i="12"/>
  <c r="AS170" i="12"/>
  <c r="AT170" i="12"/>
  <c r="AU170" i="12"/>
  <c r="AV170" i="12"/>
  <c r="AW170" i="12"/>
  <c r="AN170" i="12"/>
  <c r="AH162" i="12"/>
  <c r="AJ162" i="12"/>
  <c r="AT163" i="12"/>
  <c r="AU163" i="12"/>
  <c r="AH164" i="12"/>
  <c r="AM164" i="12"/>
  <c r="AI164" i="12"/>
  <c r="AQ168" i="12"/>
  <c r="AR168" i="12"/>
  <c r="AU169" i="12"/>
  <c r="AV169" i="12"/>
  <c r="AW169" i="12"/>
  <c r="AH170" i="12"/>
  <c r="AJ164" i="12"/>
  <c r="AI165" i="12"/>
  <c r="AJ165" i="12"/>
  <c r="AK165" i="12"/>
  <c r="AL165" i="12"/>
  <c r="AK162" i="12"/>
  <c r="AL162" i="12"/>
  <c r="AM162" i="12"/>
  <c r="AK163" i="12"/>
  <c r="AL163" i="12"/>
  <c r="AV165" i="12"/>
  <c r="AW165" i="12"/>
  <c r="AH166" i="12"/>
  <c r="AI166" i="12"/>
  <c r="AJ166" i="12"/>
  <c r="AK166" i="12"/>
  <c r="AL166" i="12"/>
  <c r="AM166" i="12"/>
  <c r="AO167" i="12"/>
  <c r="AQ163" i="12"/>
  <c r="AR167" i="12"/>
  <c r="AS167" i="12"/>
  <c r="AT167" i="12"/>
  <c r="AI168" i="12"/>
  <c r="AN162" i="12"/>
  <c r="AO162" i="12"/>
  <c r="AP162" i="12"/>
  <c r="AQ162" i="12"/>
  <c r="AR162" i="12"/>
  <c r="AS162" i="12"/>
  <c r="AT162" i="12"/>
  <c r="AS163" i="12"/>
  <c r="AV163" i="12"/>
  <c r="AW163" i="12"/>
  <c r="AM165" i="12"/>
  <c r="AN165" i="12"/>
  <c r="AO165" i="12"/>
  <c r="AP165" i="12"/>
  <c r="AQ165" i="12"/>
  <c r="AR165" i="12"/>
  <c r="AS165" i="12"/>
  <c r="AT165" i="12"/>
  <c r="AU165" i="12"/>
  <c r="AI169" i="12"/>
  <c r="AJ169" i="12"/>
  <c r="AK169" i="12"/>
  <c r="AL169" i="12"/>
  <c r="AM167" i="12"/>
  <c r="AQ167" i="12"/>
  <c r="AU162" i="12"/>
  <c r="AV162" i="12"/>
  <c r="AW162" i="12"/>
  <c r="AH163" i="12"/>
  <c r="AI163" i="12"/>
  <c r="AJ163" i="12"/>
  <c r="AM163" i="12"/>
  <c r="AN163" i="12"/>
  <c r="AO163" i="12"/>
  <c r="AP163" i="12"/>
  <c r="AI162" i="12"/>
  <c r="AR163" i="12"/>
  <c r="AN166" i="12"/>
  <c r="AO166" i="12"/>
  <c r="AP166" i="12"/>
  <c r="AQ166" i="12"/>
  <c r="AR166" i="12"/>
  <c r="AS166" i="12"/>
  <c r="AT166" i="12"/>
  <c r="AU166" i="12"/>
  <c r="AV166" i="12"/>
  <c r="AW166" i="12"/>
  <c r="AH167" i="12"/>
  <c r="AU167" i="12"/>
  <c r="AV167" i="12"/>
  <c r="AW167" i="12"/>
  <c r="AH168" i="12"/>
  <c r="AS168" i="12"/>
  <c r="AT168" i="12"/>
  <c r="AU168" i="12"/>
  <c r="AV168" i="12"/>
  <c r="AW168" i="12"/>
  <c r="AH169" i="12"/>
  <c r="AM169" i="12"/>
  <c r="AN169" i="12"/>
  <c r="AO169" i="12"/>
  <c r="AP169" i="12"/>
  <c r="AQ169" i="12"/>
  <c r="AR169" i="12"/>
  <c r="AS169" i="12"/>
  <c r="AT169" i="12"/>
  <c r="AM170" i="12"/>
  <c r="E14" i="21"/>
  <c r="B18" i="21"/>
  <c r="AH8" i="11"/>
  <c r="AL8" i="11"/>
  <c r="AI8" i="11"/>
  <c r="AJ8" i="11"/>
  <c r="AK8" i="11"/>
  <c r="AM8" i="11"/>
  <c r="AN8" i="11"/>
  <c r="AO8" i="11"/>
  <c r="AP8" i="11"/>
  <c r="AQ8" i="11"/>
  <c r="AR8" i="11"/>
  <c r="AS8" i="11"/>
  <c r="AT8" i="11"/>
  <c r="AU8" i="11"/>
  <c r="AV8" i="11"/>
  <c r="AW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W3" i="11"/>
  <c r="AH3" i="11"/>
  <c r="AI3" i="11"/>
  <c r="AJ3" i="11"/>
  <c r="AK3" i="11"/>
  <c r="AL3" i="11"/>
  <c r="AM3" i="11"/>
  <c r="AN3" i="11"/>
  <c r="AO3" i="11"/>
  <c r="AV3" i="11"/>
  <c r="AU3" i="11"/>
  <c r="AT3" i="11"/>
  <c r="AS3" i="11"/>
  <c r="AR3" i="11"/>
  <c r="AQ3" i="11"/>
  <c r="AP3" i="11"/>
  <c r="AN50" i="11"/>
  <c r="AO50" i="11"/>
  <c r="AP50" i="11"/>
  <c r="AQ50" i="11"/>
  <c r="AR50" i="11"/>
  <c r="AS50" i="11"/>
  <c r="AT50" i="11"/>
  <c r="AU50" i="11"/>
  <c r="AM50" i="11"/>
  <c r="AL50" i="11"/>
  <c r="AK50" i="11"/>
  <c r="AJ50" i="11"/>
  <c r="AH50" i="11"/>
  <c r="AW50" i="11"/>
  <c r="AI50" i="11"/>
  <c r="AV50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W27" i="11"/>
  <c r="AV27" i="11"/>
  <c r="AH27" i="11"/>
  <c r="AU31" i="11"/>
  <c r="AJ31" i="11"/>
  <c r="AL31" i="11"/>
  <c r="AM31" i="11"/>
  <c r="AV31" i="11"/>
  <c r="AW31" i="11"/>
  <c r="AH31" i="11"/>
  <c r="AI31" i="11"/>
  <c r="AK31" i="11"/>
  <c r="AN31" i="11"/>
  <c r="AO31" i="11"/>
  <c r="AP31" i="11"/>
  <c r="AQ31" i="11"/>
  <c r="AR31" i="11"/>
  <c r="AT31" i="11"/>
  <c r="AS31" i="11"/>
  <c r="AJ33" i="11"/>
  <c r="AK33" i="11"/>
  <c r="AL33" i="11"/>
  <c r="AM33" i="11"/>
  <c r="AN33" i="11"/>
  <c r="AO33" i="11"/>
  <c r="AP33" i="11"/>
  <c r="AQ33" i="11"/>
  <c r="AS33" i="11"/>
  <c r="AT33" i="11"/>
  <c r="AU33" i="11"/>
  <c r="AV33" i="11"/>
  <c r="AW33" i="11"/>
  <c r="AI33" i="11"/>
  <c r="AH33" i="11"/>
  <c r="AR33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W51" i="11"/>
  <c r="AV51" i="11"/>
  <c r="AU51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P5" i="11"/>
  <c r="AO5" i="11"/>
  <c r="AN5" i="11"/>
  <c r="AM5" i="11"/>
  <c r="AL5" i="11"/>
  <c r="AW5" i="11"/>
  <c r="AV5" i="11"/>
  <c r="AU5" i="11"/>
  <c r="AT5" i="11"/>
  <c r="AS5" i="11"/>
  <c r="AR5" i="11"/>
  <c r="AQ5" i="11"/>
  <c r="AK5" i="11"/>
  <c r="AH5" i="11"/>
  <c r="AJ5" i="11"/>
  <c r="AI5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K38" i="11"/>
  <c r="AO38" i="11"/>
  <c r="AQ38" i="11"/>
  <c r="AW38" i="11"/>
  <c r="AV38" i="11"/>
  <c r="AU38" i="11"/>
  <c r="AT38" i="11"/>
  <c r="AS38" i="11"/>
  <c r="AL38" i="11"/>
  <c r="AP38" i="11"/>
  <c r="AR38" i="11"/>
  <c r="AN38" i="11"/>
  <c r="AM38" i="11"/>
  <c r="AW35" i="11"/>
  <c r="AP35" i="11"/>
  <c r="AV35" i="11"/>
  <c r="AU35" i="11"/>
  <c r="AT35" i="11"/>
  <c r="AS35" i="11"/>
  <c r="AR35" i="11"/>
  <c r="AQ35" i="11"/>
  <c r="AK35" i="11"/>
  <c r="AN35" i="11"/>
  <c r="AL35" i="11"/>
  <c r="AO35" i="11"/>
  <c r="AM35" i="11"/>
  <c r="AM26" i="11"/>
  <c r="AK26" i="11"/>
  <c r="AL26" i="11"/>
  <c r="AW26" i="11"/>
  <c r="AR26" i="11"/>
  <c r="AQ26" i="11"/>
  <c r="AP26" i="11"/>
  <c r="AO26" i="11"/>
  <c r="AN26" i="11"/>
  <c r="AV26" i="11"/>
  <c r="AU26" i="11"/>
  <c r="AT26" i="11"/>
  <c r="AS26" i="11"/>
  <c r="AK21" i="11"/>
  <c r="AN21" i="11"/>
  <c r="AW21" i="11"/>
  <c r="AV21" i="11"/>
  <c r="AU21" i="11"/>
  <c r="AM21" i="11"/>
  <c r="AL21" i="11"/>
  <c r="AO21" i="11"/>
  <c r="AT21" i="11"/>
  <c r="AS21" i="11"/>
  <c r="AR21" i="11"/>
  <c r="AQ21" i="11"/>
  <c r="AP21" i="11"/>
  <c r="AP17" i="11"/>
  <c r="AR17" i="11"/>
  <c r="AS17" i="11"/>
  <c r="AT17" i="11"/>
  <c r="AU17" i="11"/>
  <c r="AV17" i="11"/>
  <c r="AW17" i="11"/>
  <c r="AK17" i="11"/>
  <c r="AM17" i="11"/>
  <c r="AN17" i="11"/>
  <c r="AO17" i="11"/>
  <c r="AL17" i="11"/>
  <c r="AQ17" i="11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J9" i="8"/>
  <c r="AK9" i="8"/>
  <c r="AU9" i="8"/>
  <c r="AN9" i="8"/>
  <c r="AV9" i="8"/>
  <c r="AR9" i="8"/>
  <c r="AW9" i="8"/>
  <c r="AP9" i="8"/>
  <c r="AQ9" i="8"/>
  <c r="AL9" i="8"/>
  <c r="AO9" i="8"/>
  <c r="AS9" i="8"/>
  <c r="AT9" i="8"/>
  <c r="AM9" i="8"/>
  <c r="AH9" i="8"/>
  <c r="AI9" i="8"/>
  <c r="C18" i="21" l="1"/>
  <c r="F18" i="21" s="1"/>
  <c r="F9" i="21"/>
  <c r="F6" i="21"/>
  <c r="F3" i="21"/>
  <c r="F15" i="21"/>
  <c r="F11" i="21"/>
  <c r="F4" i="21"/>
  <c r="F14" i="21"/>
  <c r="F17" i="21"/>
  <c r="F16" i="21"/>
  <c r="F12" i="21"/>
  <c r="F8" i="21"/>
  <c r="F13" i="21"/>
  <c r="F10" i="21"/>
  <c r="F7" i="21"/>
  <c r="F5" i="21"/>
  <c r="E18" i="2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4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</futureMetadata>
  <cellMetadata count="1">
    <bk>
      <rc t="1" v="0"/>
    </bk>
  </cellMetadata>
  <valueMetadata count="14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</valueMetadata>
</metadata>
</file>

<file path=xl/sharedStrings.xml><?xml version="1.0" encoding="utf-8"?>
<sst xmlns="http://schemas.openxmlformats.org/spreadsheetml/2006/main" count="2407" uniqueCount="835">
  <si>
    <t>ca</t>
  </si>
  <si>
    <t>LN</t>
  </si>
  <si>
    <t>LOG</t>
  </si>
  <si>
    <t>EXP</t>
  </si>
  <si>
    <t>SIN</t>
  </si>
  <si>
    <t>ACOS</t>
  </si>
  <si>
    <t>ACOSH</t>
  </si>
  <si>
    <t>COS</t>
  </si>
  <si>
    <t>COSH</t>
  </si>
  <si>
    <t>ASIN</t>
  </si>
  <si>
    <t>ASINH</t>
  </si>
  <si>
    <t>ATAN</t>
  </si>
  <si>
    <t>ATAN2</t>
  </si>
  <si>
    <t>ATANH</t>
  </si>
  <si>
    <t>SINH</t>
  </si>
  <si>
    <t>TAN</t>
  </si>
  <si>
    <t>TANH</t>
  </si>
  <si>
    <t>ABS</t>
  </si>
  <si>
    <t>MAX</t>
  </si>
  <si>
    <t>MIN</t>
  </si>
  <si>
    <t>RADIANS</t>
  </si>
  <si>
    <t>DEGREES</t>
  </si>
  <si>
    <t>POWER</t>
  </si>
  <si>
    <t>MOD</t>
  </si>
  <si>
    <t>SQRT</t>
  </si>
  <si>
    <t>SUMPRODUCT</t>
  </si>
  <si>
    <t>FUNCTION</t>
  </si>
  <si>
    <t>NUMERIC</t>
  </si>
  <si>
    <t>STRING</t>
  </si>
  <si>
    <t>ERROR</t>
  </si>
  <si>
    <t>ARRAY -&gt; VALUE</t>
  </si>
  <si>
    <t>ARRAY -&gt; ARRAY</t>
  </si>
  <si>
    <t>ciao</t>
  </si>
  <si>
    <t>INPUTS</t>
  </si>
  <si>
    <t>EVAL</t>
  </si>
  <si>
    <t>INT</t>
  </si>
  <si>
    <t>ISERR</t>
  </si>
  <si>
    <t>ISERROR</t>
  </si>
  <si>
    <t>EMPTY</t>
  </si>
  <si>
    <t>SUM</t>
  </si>
  <si>
    <t>ACOT</t>
  </si>
  <si>
    <t>ACOTH</t>
  </si>
  <si>
    <t>AGGREGATE</t>
  </si>
  <si>
    <t>ARABIC</t>
  </si>
  <si>
    <t>BASE</t>
  </si>
  <si>
    <t>CEILING</t>
  </si>
  <si>
    <t>CEILING.MATH</t>
  </si>
  <si>
    <t>CEILING.PRECISE</t>
  </si>
  <si>
    <t>COMBIN</t>
  </si>
  <si>
    <t>COMBINA</t>
  </si>
  <si>
    <t>COT</t>
  </si>
  <si>
    <t>COTH</t>
  </si>
  <si>
    <t>CSC</t>
  </si>
  <si>
    <t>CSCH</t>
  </si>
  <si>
    <t>DECIMAL</t>
  </si>
  <si>
    <t>EVEN</t>
  </si>
  <si>
    <t>FACT</t>
  </si>
  <si>
    <t>FACTDOUBLE</t>
  </si>
  <si>
    <t>FLOOR</t>
  </si>
  <si>
    <t>FLOOR.MATH</t>
  </si>
  <si>
    <t>FLOOR.PRECISE</t>
  </si>
  <si>
    <t>GCD</t>
  </si>
  <si>
    <t>ISO.CEILING</t>
  </si>
  <si>
    <t>LCM</t>
  </si>
  <si>
    <t>LOG10</t>
  </si>
  <si>
    <t>MDETERM</t>
  </si>
  <si>
    <t>MINVERSE</t>
  </si>
  <si>
    <t>MMULT</t>
  </si>
  <si>
    <t>MROUND</t>
  </si>
  <si>
    <t>MULTINOMIAL</t>
  </si>
  <si>
    <t>MUNIT</t>
  </si>
  <si>
    <t>ODD</t>
  </si>
  <si>
    <t>PI</t>
  </si>
  <si>
    <t>PRODUCT</t>
  </si>
  <si>
    <t>QUOTIENT</t>
  </si>
  <si>
    <t>RAND</t>
  </si>
  <si>
    <t>RANDBETWEEN</t>
  </si>
  <si>
    <t>ROMAN</t>
  </si>
  <si>
    <t>ROUND</t>
  </si>
  <si>
    <t>ROUNDDOWN</t>
  </si>
  <si>
    <t>ROUNDUP</t>
  </si>
  <si>
    <t>SEC</t>
  </si>
  <si>
    <t>SECH</t>
  </si>
  <si>
    <t>SERIESSUM</t>
  </si>
  <si>
    <t>SIGN</t>
  </si>
  <si>
    <t>SQRTPI</t>
  </si>
  <si>
    <t>SUBTOTAL</t>
  </si>
  <si>
    <t>SUMIF</t>
  </si>
  <si>
    <t>SUMIFS</t>
  </si>
  <si>
    <t>SUMSQ</t>
  </si>
  <si>
    <t>SUMX2MY2</t>
  </si>
  <si>
    <t>SUMX2PY2</t>
  </si>
  <si>
    <t>SUMXMY2</t>
  </si>
  <si>
    <t>TRUNC</t>
  </si>
  <si>
    <t>BOOL</t>
  </si>
  <si>
    <t>IL</t>
  </si>
  <si>
    <t>IIIIIIV</t>
  </si>
  <si>
    <t>IILmIIC</t>
  </si>
  <si>
    <t>Vh</t>
  </si>
  <si>
    <t>AVEDEV</t>
  </si>
  <si>
    <t>AVERAGE</t>
  </si>
  <si>
    <t>AVERAGEA</t>
  </si>
  <si>
    <t>AVERAGEIF</t>
  </si>
  <si>
    <t>AVERAGEIFS</t>
  </si>
  <si>
    <t>BETA.DIST</t>
  </si>
  <si>
    <t>BETA.INV</t>
  </si>
  <si>
    <t>BINOM.DIST</t>
  </si>
  <si>
    <t>BINOM.DIST.RANGE</t>
  </si>
  <si>
    <t>BINOM.INV</t>
  </si>
  <si>
    <t>CHISQ.DIST</t>
  </si>
  <si>
    <t>CHISQ.DIST.RT</t>
  </si>
  <si>
    <t>CHISQ.INV</t>
  </si>
  <si>
    <t>CHISQ.INV.RT</t>
  </si>
  <si>
    <t>CHISQ.TEST</t>
  </si>
  <si>
    <t>CONFIDENCE.NORM</t>
  </si>
  <si>
    <t>CONFIDENCE.T</t>
  </si>
  <si>
    <t>CORREL</t>
  </si>
  <si>
    <t>COUNT</t>
  </si>
  <si>
    <t>COUNTA</t>
  </si>
  <si>
    <t>COUNTBLANK</t>
  </si>
  <si>
    <t>COUNTIF</t>
  </si>
  <si>
    <t>COUNTIFS</t>
  </si>
  <si>
    <t>COVARIANCE.P</t>
  </si>
  <si>
    <t>COVARIANCE.S</t>
  </si>
  <si>
    <t>DEVSQ</t>
  </si>
  <si>
    <t>EXPON.DIST</t>
  </si>
  <si>
    <t>F.DIST</t>
  </si>
  <si>
    <t>F.DIST.RT</t>
  </si>
  <si>
    <t>F.INV</t>
  </si>
  <si>
    <t>F.INV.RT</t>
  </si>
  <si>
    <t>F.TEST</t>
  </si>
  <si>
    <t>FISHER</t>
  </si>
  <si>
    <t>FISHERINV</t>
  </si>
  <si>
    <t>FORECAST</t>
  </si>
  <si>
    <t>FORECAST.ETS</t>
  </si>
  <si>
    <t>FORECAST.ETS.CONFINT</t>
  </si>
  <si>
    <t>FORECAST.ETS.SEASONALITY</t>
  </si>
  <si>
    <t>FORECAST.ETS.STAT</t>
  </si>
  <si>
    <t>FORECAST.LINEAR</t>
  </si>
  <si>
    <t>FREQUENCY</t>
  </si>
  <si>
    <t>GAMMA</t>
  </si>
  <si>
    <t>GAMMA.DIST</t>
  </si>
  <si>
    <t>GAMMA.INV</t>
  </si>
  <si>
    <t>GAMMALN</t>
  </si>
  <si>
    <t>GAMMALN.PRECISE</t>
  </si>
  <si>
    <t>GAUSS</t>
  </si>
  <si>
    <t>GEOMEAN</t>
  </si>
  <si>
    <t>GROWTH</t>
  </si>
  <si>
    <t>HARMEAN</t>
  </si>
  <si>
    <t>HYPGEOM.DIST</t>
  </si>
  <si>
    <t>INTERCEPT</t>
  </si>
  <si>
    <t>KURT</t>
  </si>
  <si>
    <t>LARGE</t>
  </si>
  <si>
    <t>LINEST</t>
  </si>
  <si>
    <t>LOGEST</t>
  </si>
  <si>
    <t>LOGNORM.DIST</t>
  </si>
  <si>
    <t>LOGNORM.INV</t>
  </si>
  <si>
    <t>MAXA</t>
  </si>
  <si>
    <t>MAXIFS</t>
  </si>
  <si>
    <t>MEDIAN</t>
  </si>
  <si>
    <t>MINIFS</t>
  </si>
  <si>
    <t>MINA</t>
  </si>
  <si>
    <t>MODE.MULT</t>
  </si>
  <si>
    <t>MODE.SNGL</t>
  </si>
  <si>
    <t>NEGBINOM.DIST</t>
  </si>
  <si>
    <t>NORM.DIST</t>
  </si>
  <si>
    <t>NORM.INV</t>
  </si>
  <si>
    <t>NORM.S.DIST</t>
  </si>
  <si>
    <t>NORM.S.INV</t>
  </si>
  <si>
    <t>PEARSON</t>
  </si>
  <si>
    <t>PERCENTILE.EXC</t>
  </si>
  <si>
    <t>PERCENTILE.INC</t>
  </si>
  <si>
    <t>PERCENTRANK.EXC</t>
  </si>
  <si>
    <t>PERCENTRANK.INC</t>
  </si>
  <si>
    <t>PERMUT</t>
  </si>
  <si>
    <t>PERMUTATIONA</t>
  </si>
  <si>
    <t>PHI</t>
  </si>
  <si>
    <t>POISSON.DIST</t>
  </si>
  <si>
    <t>PROB</t>
  </si>
  <si>
    <t>QUARTILE.EXC</t>
  </si>
  <si>
    <t>QUARTILE.INC</t>
  </si>
  <si>
    <t>RANK.AVG</t>
  </si>
  <si>
    <t>RANK.EQ</t>
  </si>
  <si>
    <t>RSQ</t>
  </si>
  <si>
    <t>SKEW</t>
  </si>
  <si>
    <t>SKEW.P</t>
  </si>
  <si>
    <t>SLOPE</t>
  </si>
  <si>
    <t>SMALL</t>
  </si>
  <si>
    <t>STANDARDIZE</t>
  </si>
  <si>
    <t>STDEV.P</t>
  </si>
  <si>
    <t>STDEV.S</t>
  </si>
  <si>
    <t>STDEVA</t>
  </si>
  <si>
    <t>STDEVPA</t>
  </si>
  <si>
    <t>STEYX</t>
  </si>
  <si>
    <t>T.DIST</t>
  </si>
  <si>
    <t>T.DIST.RT</t>
  </si>
  <si>
    <t>T.INV</t>
  </si>
  <si>
    <t>T.TEST</t>
  </si>
  <si>
    <t>TREND</t>
  </si>
  <si>
    <t>TRIMMEAN</t>
  </si>
  <si>
    <t>VAR.P</t>
  </si>
  <si>
    <t>VAR.S</t>
  </si>
  <si>
    <t>VARA</t>
  </si>
  <si>
    <t>VARPA</t>
  </si>
  <si>
    <t>WEIBULL.DIST</t>
  </si>
  <si>
    <t>Z.TEST</t>
  </si>
  <si>
    <t>T.DIST.2T</t>
  </si>
  <si>
    <t>T.INV.2T</t>
  </si>
  <si>
    <t>CELL</t>
  </si>
  <si>
    <t>ERROR.TYPE</t>
  </si>
  <si>
    <t>INFO</t>
  </si>
  <si>
    <t>ISBLANK</t>
  </si>
  <si>
    <t>ISEVEN</t>
  </si>
  <si>
    <t>ISFORMULA</t>
  </si>
  <si>
    <t>ISLOGICAL</t>
  </si>
  <si>
    <t>ISNA</t>
  </si>
  <si>
    <t>ISNONTEXT</t>
  </si>
  <si>
    <t>ISNUMBER</t>
  </si>
  <si>
    <t>ISODD</t>
  </si>
  <si>
    <t>ISREF</t>
  </si>
  <si>
    <t>ISTEXT</t>
  </si>
  <si>
    <t>N</t>
  </si>
  <si>
    <t>NA</t>
  </si>
  <si>
    <t>SHEET</t>
  </si>
  <si>
    <t>SHEETS</t>
  </si>
  <si>
    <t>TYPE</t>
  </si>
  <si>
    <t>ACCRINT</t>
  </si>
  <si>
    <t>ACCRINTM</t>
  </si>
  <si>
    <t>AMORDEGRC</t>
  </si>
  <si>
    <t>AMORLINC</t>
  </si>
  <si>
    <t>COUPDAYBS</t>
  </si>
  <si>
    <t>COUPDAYS</t>
  </si>
  <si>
    <t>COUPDAYSNC</t>
  </si>
  <si>
    <t>COUPNCD</t>
  </si>
  <si>
    <t>COUPNUM</t>
  </si>
  <si>
    <t>COUPPCD</t>
  </si>
  <si>
    <t>CUMIPMT</t>
  </si>
  <si>
    <t>CUMPRINC</t>
  </si>
  <si>
    <t>DB</t>
  </si>
  <si>
    <t>DDB</t>
  </si>
  <si>
    <t>DISC</t>
  </si>
  <si>
    <t>DOLLARDE</t>
  </si>
  <si>
    <t>DOLLARFR</t>
  </si>
  <si>
    <t>DURATION</t>
  </si>
  <si>
    <t>EFFECT</t>
  </si>
  <si>
    <t>FV</t>
  </si>
  <si>
    <t>FVSCHEDULE</t>
  </si>
  <si>
    <t>INTRATE</t>
  </si>
  <si>
    <t>IPMT</t>
  </si>
  <si>
    <t>IRR</t>
  </si>
  <si>
    <t>ISPMT</t>
  </si>
  <si>
    <t>MDURATION</t>
  </si>
  <si>
    <t>MIRR</t>
  </si>
  <si>
    <t>NOMINAL</t>
  </si>
  <si>
    <t>NPER</t>
  </si>
  <si>
    <t>NPV</t>
  </si>
  <si>
    <t>ODDFPRICE</t>
  </si>
  <si>
    <t>ODDFYIELD</t>
  </si>
  <si>
    <t>ODDLPRICE</t>
  </si>
  <si>
    <t>ODDLYIELD</t>
  </si>
  <si>
    <t>PDURATION</t>
  </si>
  <si>
    <t>PMT</t>
  </si>
  <si>
    <t>PPMT</t>
  </si>
  <si>
    <t>PRICE</t>
  </si>
  <si>
    <t>PRICEDISC</t>
  </si>
  <si>
    <t>PRICEMAT</t>
  </si>
  <si>
    <t>PV</t>
  </si>
  <si>
    <t>RATE</t>
  </si>
  <si>
    <t>RECEIVED</t>
  </si>
  <si>
    <t>RRI</t>
  </si>
  <si>
    <t>SLN</t>
  </si>
  <si>
    <t>SYD</t>
  </si>
  <si>
    <t>TBILLEQ</t>
  </si>
  <si>
    <t>TBILLPRICE</t>
  </si>
  <si>
    <t>TBILLYIELD</t>
  </si>
  <si>
    <t>VDB</t>
  </si>
  <si>
    <t>XIRR</t>
  </si>
  <si>
    <t>XNPV</t>
  </si>
  <si>
    <t>YIELD</t>
  </si>
  <si>
    <t>YIELDDISC</t>
  </si>
  <si>
    <t>YIELDMAT</t>
  </si>
  <si>
    <t>ASC</t>
  </si>
  <si>
    <t>BAHTTEXT</t>
  </si>
  <si>
    <t>CHAR</t>
  </si>
  <si>
    <t>CLEAN</t>
  </si>
  <si>
    <t>CODE</t>
  </si>
  <si>
    <t>CONCAT</t>
  </si>
  <si>
    <t>CONCATENATE</t>
  </si>
  <si>
    <t>DBCS</t>
  </si>
  <si>
    <t>DOLLAR</t>
  </si>
  <si>
    <t>EXACT</t>
  </si>
  <si>
    <t>FIND</t>
  </si>
  <si>
    <t>FINDB</t>
  </si>
  <si>
    <t>FIXED</t>
  </si>
  <si>
    <t>LEFT</t>
  </si>
  <si>
    <t>LEFTB</t>
  </si>
  <si>
    <t>LEN</t>
  </si>
  <si>
    <t>LENB</t>
  </si>
  <si>
    <t>LOWER</t>
  </si>
  <si>
    <t>MID</t>
  </si>
  <si>
    <t>MIDB</t>
  </si>
  <si>
    <t>NUMBERVALUE</t>
  </si>
  <si>
    <t>PHONETIC</t>
  </si>
  <si>
    <t>PROPER</t>
  </si>
  <si>
    <t>REPLACE</t>
  </si>
  <si>
    <t>REPLACEB</t>
  </si>
  <si>
    <t>REPT</t>
  </si>
  <si>
    <t>RIGHT</t>
  </si>
  <si>
    <t>RIGHTB</t>
  </si>
  <si>
    <t>SEARCH</t>
  </si>
  <si>
    <t>SEARCHB</t>
  </si>
  <si>
    <t>SUBSTITUTE</t>
  </si>
  <si>
    <t>T</t>
  </si>
  <si>
    <t>TEXT</t>
  </si>
  <si>
    <t>TEXTJOIN</t>
  </si>
  <si>
    <t>TRIM</t>
  </si>
  <si>
    <t>UNICHAR</t>
  </si>
  <si>
    <t>UNICODE</t>
  </si>
  <si>
    <t>UPPER</t>
  </si>
  <si>
    <t>VALUE</t>
  </si>
  <si>
    <t>ADDRESS</t>
  </si>
  <si>
    <t>AREAS</t>
  </si>
  <si>
    <t>CHOOSE</t>
  </si>
  <si>
    <t>COLUMN</t>
  </si>
  <si>
    <t>COLUMNS</t>
  </si>
  <si>
    <t>FORMULATEXT</t>
  </si>
  <si>
    <t>GETPIVOTDATA</t>
  </si>
  <si>
    <t>HLOOKUP</t>
  </si>
  <si>
    <t>HYPERLINK</t>
  </si>
  <si>
    <t>INDEX</t>
  </si>
  <si>
    <t>INDIRECT</t>
  </si>
  <si>
    <t>LOOKUP</t>
  </si>
  <si>
    <t>OFFSET</t>
  </si>
  <si>
    <t>ROW</t>
  </si>
  <si>
    <t>ROWS</t>
  </si>
  <si>
    <t>RTD</t>
  </si>
  <si>
    <t>TRANSPOSE</t>
  </si>
  <si>
    <t>VLOOKUP</t>
  </si>
  <si>
    <t>b</t>
  </si>
  <si>
    <t>*b?u*</t>
  </si>
  <si>
    <t>OPERATOR</t>
  </si>
  <si>
    <t>+</t>
  </si>
  <si>
    <t>-</t>
  </si>
  <si>
    <t>U-</t>
  </si>
  <si>
    <t>U+</t>
  </si>
  <si>
    <t>*</t>
  </si>
  <si>
    <t>/</t>
  </si>
  <si>
    <t>^</t>
  </si>
  <si>
    <t>&lt;</t>
  </si>
  <si>
    <t>&lt;=</t>
  </si>
  <si>
    <t>&gt;</t>
  </si>
  <si>
    <t>&gt;=</t>
  </si>
  <si>
    <t>=</t>
  </si>
  <si>
    <t>&lt;&gt;</t>
  </si>
  <si>
    <t>&amp;</t>
  </si>
  <si>
    <t>%</t>
  </si>
  <si>
    <t>BESSELI</t>
  </si>
  <si>
    <t>BESSELJ</t>
  </si>
  <si>
    <t>BESSELK</t>
  </si>
  <si>
    <t>BESSELY</t>
  </si>
  <si>
    <t>BIN2DEC</t>
  </si>
  <si>
    <t>BIN2HEX</t>
  </si>
  <si>
    <t>BIN2OCT</t>
  </si>
  <si>
    <t>BITAND</t>
  </si>
  <si>
    <t>BITLSHIFT</t>
  </si>
  <si>
    <t>BITOR</t>
  </si>
  <si>
    <t>BITRSHIFT</t>
  </si>
  <si>
    <t>BITXOR</t>
  </si>
  <si>
    <t>COMPLEX</t>
  </si>
  <si>
    <t>CONVERT</t>
  </si>
  <si>
    <t>DEC2BIN</t>
  </si>
  <si>
    <t>DEC2HEX</t>
  </si>
  <si>
    <t>DEC2OCT</t>
  </si>
  <si>
    <t>DELTA</t>
  </si>
  <si>
    <t>ERF</t>
  </si>
  <si>
    <t>ERF.PRECISE</t>
  </si>
  <si>
    <t>ERFC</t>
  </si>
  <si>
    <t>ERFC.PRECISE</t>
  </si>
  <si>
    <t>GESTEP</t>
  </si>
  <si>
    <t>HEX2BIN</t>
  </si>
  <si>
    <t>HEX2DEC</t>
  </si>
  <si>
    <t>HEX2OCT</t>
  </si>
  <si>
    <t>IMABS</t>
  </si>
  <si>
    <t>IMAGINARY</t>
  </si>
  <si>
    <t>IMARGUMENT</t>
  </si>
  <si>
    <t>IMCONJUGATE</t>
  </si>
  <si>
    <t>IMCOS</t>
  </si>
  <si>
    <t>IMCOSH</t>
  </si>
  <si>
    <t>IMCOT</t>
  </si>
  <si>
    <t>IMCSC</t>
  </si>
  <si>
    <t>IMCSCH</t>
  </si>
  <si>
    <t>IMDIV</t>
  </si>
  <si>
    <t>IMEXP</t>
  </si>
  <si>
    <t>IMLN</t>
  </si>
  <si>
    <t>IMLOG10</t>
  </si>
  <si>
    <t>IMLOG2</t>
  </si>
  <si>
    <t>IMPOWER</t>
  </si>
  <si>
    <t>IMPRODUCT</t>
  </si>
  <si>
    <t>IMREAL</t>
  </si>
  <si>
    <t>IMSEC</t>
  </si>
  <si>
    <t>IMSECH</t>
  </si>
  <si>
    <t>IMSIN</t>
  </si>
  <si>
    <t>IMSINH</t>
  </si>
  <si>
    <t>IMSQRT</t>
  </si>
  <si>
    <t>IMSUB</t>
  </si>
  <si>
    <t>IMSUM</t>
  </si>
  <si>
    <t>IMTAN</t>
  </si>
  <si>
    <t>OCT2BIN</t>
  </si>
  <si>
    <t>OCT2DEC</t>
  </si>
  <si>
    <t>OCT2HEX</t>
  </si>
  <si>
    <t>fffffffffe</t>
  </si>
  <si>
    <t>a</t>
  </si>
  <si>
    <t>f000000000</t>
  </si>
  <si>
    <t>c</t>
  </si>
  <si>
    <t>0</t>
  </si>
  <si>
    <t>DATE</t>
  </si>
  <si>
    <t>DATEDIF</t>
  </si>
  <si>
    <t>DATEVALUE</t>
  </si>
  <si>
    <t>DAY</t>
  </si>
  <si>
    <t>DAYS</t>
  </si>
  <si>
    <t>DAYS360</t>
  </si>
  <si>
    <t>EDATE</t>
  </si>
  <si>
    <t>EOMONTH</t>
  </si>
  <si>
    <t>HOUR</t>
  </si>
  <si>
    <t>ISOWEEKNUM</t>
  </si>
  <si>
    <t>MINUTE</t>
  </si>
  <si>
    <t>MONTH</t>
  </si>
  <si>
    <t>NETWORKDAYS</t>
  </si>
  <si>
    <t>NETWORKDAYS.INTL</t>
  </si>
  <si>
    <t>NOW</t>
  </si>
  <si>
    <t>SECOND</t>
  </si>
  <si>
    <t>TIME</t>
  </si>
  <si>
    <t>TIMEVALUE</t>
  </si>
  <si>
    <t>TODAY</t>
  </si>
  <si>
    <t>WEEKDAY</t>
  </si>
  <si>
    <t>WEEKNUM</t>
  </si>
  <si>
    <t>WORKDAY</t>
  </si>
  <si>
    <t>WORKDAY.INTL</t>
  </si>
  <si>
    <t>YEAR</t>
  </si>
  <si>
    <t>YEARFRAC</t>
  </si>
  <si>
    <t>-1</t>
  </si>
  <si>
    <t>60</t>
  </si>
  <si>
    <t>600</t>
  </si>
  <si>
    <t>3</t>
  </si>
  <si>
    <t>29/02/1900</t>
  </si>
  <si>
    <t>1</t>
  </si>
  <si>
    <t/>
  </si>
  <si>
    <t>01/01/1900</t>
  </si>
  <si>
    <t>1/01/1900</t>
  </si>
  <si>
    <t>BETADIST</t>
  </si>
  <si>
    <t>BETAINV</t>
  </si>
  <si>
    <t>BINOMDIST</t>
  </si>
  <si>
    <t>CHIDIST</t>
  </si>
  <si>
    <t>CHIINV</t>
  </si>
  <si>
    <t>CHITEST</t>
  </si>
  <si>
    <t>CONFIDENCE</t>
  </si>
  <si>
    <t>COVAR</t>
  </si>
  <si>
    <t>CRITBINOM</t>
  </si>
  <si>
    <t>EXPONDIST</t>
  </si>
  <si>
    <t>FDIST</t>
  </si>
  <si>
    <t>FINV</t>
  </si>
  <si>
    <t>FTEST</t>
  </si>
  <si>
    <t>GAMMADIST</t>
  </si>
  <si>
    <t>GAMMAINV</t>
  </si>
  <si>
    <t>HYPGEOMDIST</t>
  </si>
  <si>
    <t>LOGINV</t>
  </si>
  <si>
    <t>LOGNORMDIST</t>
  </si>
  <si>
    <t>MODE</t>
  </si>
  <si>
    <t>NEGBINOMDIST</t>
  </si>
  <si>
    <t>NORMDIST</t>
  </si>
  <si>
    <t>NORMINV</t>
  </si>
  <si>
    <t>NORMSDIST</t>
  </si>
  <si>
    <t>NORMSINV</t>
  </si>
  <si>
    <t>PERCENTILE</t>
  </si>
  <si>
    <t>PERCENTRANK</t>
  </si>
  <si>
    <t>POISSON</t>
  </si>
  <si>
    <t>QUARTILE</t>
  </si>
  <si>
    <t>RANK</t>
  </si>
  <si>
    <t>STDEV</t>
  </si>
  <si>
    <t>STDEVP</t>
  </si>
  <si>
    <t>TDIST</t>
  </si>
  <si>
    <t>TINV</t>
  </si>
  <si>
    <t>TTEST</t>
  </si>
  <si>
    <t>VAR</t>
  </si>
  <si>
    <t>VARP</t>
  </si>
  <si>
    <t>WEIBULL</t>
  </si>
  <si>
    <t>ZTEST</t>
  </si>
  <si>
    <t>=SUM(D2:D5)</t>
  </si>
  <si>
    <t>= text</t>
  </si>
  <si>
    <t>1/1/1900</t>
  </si>
  <si>
    <t>26/08/1987</t>
  </si>
  <si>
    <t>_x0001_</t>
  </si>
  <si>
    <t>_x0002_</t>
  </si>
  <si>
    <t>_x0003_</t>
  </si>
  <si>
    <t>_x005F_x0001_</t>
  </si>
  <si>
    <t>FILTER</t>
  </si>
  <si>
    <t>A</t>
  </si>
  <si>
    <t>B</t>
  </si>
  <si>
    <t>f</t>
  </si>
  <si>
    <t>0, 1.9,2.3,10,-1,ciao, TRUE</t>
  </si>
  <si>
    <t>0, 1.9,2.3,10</t>
  </si>
  <si>
    <t>0, 1-1,ciao, TRUE</t>
  </si>
  <si>
    <t>0,</t>
  </si>
  <si>
    <t>"1"</t>
  </si>
  <si>
    <t>ARRAYTOTEXT</t>
  </si>
  <si>
    <t>LET</t>
  </si>
  <si>
    <t>RANDARRAY</t>
  </si>
  <si>
    <t>SEQUENCE</t>
  </si>
  <si>
    <t>SORT</t>
  </si>
  <si>
    <t>SORTBY</t>
  </si>
  <si>
    <t>UNIQUE</t>
  </si>
  <si>
    <t>VALUETOTEXT</t>
  </si>
  <si>
    <t>XLOOKUP</t>
  </si>
  <si>
    <t>XMATCH</t>
  </si>
  <si>
    <t>BYCOL</t>
  </si>
  <si>
    <t>BYROW</t>
  </si>
  <si>
    <t>CHOOSECOLS</t>
  </si>
  <si>
    <t>CHOOSEROWS</t>
  </si>
  <si>
    <t>DROP</t>
  </si>
  <si>
    <t>EXPAND</t>
  </si>
  <si>
    <t>HSTACK</t>
  </si>
  <si>
    <t>IMAGE</t>
  </si>
  <si>
    <t>ISOMITTED</t>
  </si>
  <si>
    <t>LAMBDA</t>
  </si>
  <si>
    <t>MAKEARRAY</t>
  </si>
  <si>
    <t>MAP</t>
  </si>
  <si>
    <t>REDUCE</t>
  </si>
  <si>
    <t>SCAN</t>
  </si>
  <si>
    <t>TAKE</t>
  </si>
  <si>
    <t>TEXTAFTER</t>
  </si>
  <si>
    <t>TEXTBEFORE</t>
  </si>
  <si>
    <t>TEXTSPLIT</t>
  </si>
  <si>
    <t>TOCOL</t>
  </si>
  <si>
    <t>TOROW</t>
  </si>
  <si>
    <t>VSTACK</t>
  </si>
  <si>
    <t>WRAPCOLS</t>
  </si>
  <si>
    <t>WRAPROWS</t>
  </si>
  <si>
    <t>1987-08-26</t>
  </si>
  <si>
    <t>1/1/1987 02:00 AM</t>
  </si>
  <si>
    <t>1/1/1987 05:00 AM</t>
  </si>
  <si>
    <t>STATUS</t>
  </si>
  <si>
    <t>DONE</t>
  </si>
  <si>
    <t>COVERAGE</t>
  </si>
  <si>
    <t>MATH &amp; TRIG</t>
  </si>
  <si>
    <t>FUNCTIONS</t>
  </si>
  <si>
    <t>IMPLEMENTED</t>
  </si>
  <si>
    <t>TOTAL</t>
  </si>
  <si>
    <t>FINANCIAL</t>
  </si>
  <si>
    <t>STATISTICAL</t>
  </si>
  <si>
    <t>DATE &amp; TIME</t>
  </si>
  <si>
    <t>MATCH</t>
  </si>
  <si>
    <t>INFORMATION</t>
  </si>
  <si>
    <t>LOGICAL</t>
  </si>
  <si>
    <t>COMPATIBILITY</t>
  </si>
  <si>
    <t>OPERATORS</t>
  </si>
  <si>
    <t>ENGINEERING</t>
  </si>
  <si>
    <t>DETECTLANGUAGE</t>
  </si>
  <si>
    <t>GROUPBY</t>
  </si>
  <si>
    <t>PERCENTOF</t>
  </si>
  <si>
    <t>PIVOTBY</t>
  </si>
  <si>
    <t>REGEXEXTRACT</t>
  </si>
  <si>
    <t>REGEXREPLACE</t>
  </si>
  <si>
    <t>REGEXTEST</t>
  </si>
  <si>
    <t>STOCKHISTORY</t>
  </si>
  <si>
    <t>TRANSLATE</t>
  </si>
  <si>
    <t>TRIMRANGE</t>
  </si>
  <si>
    <t>AND</t>
  </si>
  <si>
    <t>CALL</t>
  </si>
  <si>
    <t>CUBEKPIMEMBER</t>
  </si>
  <si>
    <t>CUBEMEMBER</t>
  </si>
  <si>
    <t>CUBEMEMBERPROPERTY</t>
  </si>
  <si>
    <t>CUBERANKEDMEMBER</t>
  </si>
  <si>
    <t>CUBESET</t>
  </si>
  <si>
    <t>CUBESETCOUNT</t>
  </si>
  <si>
    <t>CUBEVALUE</t>
  </si>
  <si>
    <t>DAVERAGE</t>
  </si>
  <si>
    <t>DCOUNT</t>
  </si>
  <si>
    <t>DCOUNTA</t>
  </si>
  <si>
    <t>DGET</t>
  </si>
  <si>
    <t>DMAX</t>
  </si>
  <si>
    <t>DMIN</t>
  </si>
  <si>
    <t>DPRODUCT</t>
  </si>
  <si>
    <t>DSTDEV</t>
  </si>
  <si>
    <t>DSTDEVP</t>
  </si>
  <si>
    <t>DSUM</t>
  </si>
  <si>
    <t>DVAR</t>
  </si>
  <si>
    <t>DVARP</t>
  </si>
  <si>
    <t>ENCODEURL</t>
  </si>
  <si>
    <t>EUROCONVERT</t>
  </si>
  <si>
    <t>FILTERXML</t>
  </si>
  <si>
    <t>IF</t>
  </si>
  <si>
    <t>IFERROR</t>
  </si>
  <si>
    <t>IFNA</t>
  </si>
  <si>
    <t>IFS</t>
  </si>
  <si>
    <t>JIS</t>
  </si>
  <si>
    <t>NOT</t>
  </si>
  <si>
    <t>OR</t>
  </si>
  <si>
    <t>REGISTER.ID</t>
  </si>
  <si>
    <t>SWITCH</t>
  </si>
  <si>
    <t>WEBSERVICE</t>
  </si>
  <si>
    <t>XOR</t>
  </si>
  <si>
    <t>FALSE</t>
  </si>
  <si>
    <t>TRUE</t>
  </si>
  <si>
    <t>AUTOMATION</t>
  </si>
  <si>
    <t>CUBE</t>
  </si>
  <si>
    <t>DATABASE</t>
  </si>
  <si>
    <t>WEB</t>
  </si>
  <si>
    <t>AREA</t>
  </si>
  <si>
    <t>3.2</t>
  </si>
  <si>
    <t>3.3</t>
  </si>
  <si>
    <t>3.4</t>
  </si>
  <si>
    <t>3.5</t>
  </si>
  <si>
    <t>d</t>
  </si>
  <si>
    <t>3.6</t>
  </si>
  <si>
    <t>C</t>
  </si>
  <si>
    <t>F</t>
  </si>
  <si>
    <t>g</t>
  </si>
  <si>
    <t>sg</t>
  </si>
  <si>
    <t>lbm</t>
  </si>
  <si>
    <t>u</t>
  </si>
  <si>
    <t>ozm</t>
  </si>
  <si>
    <t>grain</t>
  </si>
  <si>
    <t>cwt</t>
  </si>
  <si>
    <t>shweight</t>
  </si>
  <si>
    <t>uk_cwt</t>
  </si>
  <si>
    <t>lcwt</t>
  </si>
  <si>
    <t>hweight</t>
  </si>
  <si>
    <t>stone</t>
  </si>
  <si>
    <t>ton</t>
  </si>
  <si>
    <t>uk_ton</t>
  </si>
  <si>
    <t>LTON</t>
  </si>
  <si>
    <t>brton</t>
  </si>
  <si>
    <t>m</t>
  </si>
  <si>
    <t>mi</t>
  </si>
  <si>
    <t>Nmi</t>
  </si>
  <si>
    <t>in</t>
  </si>
  <si>
    <t>ft</t>
  </si>
  <si>
    <t>yd</t>
  </si>
  <si>
    <t>ang</t>
  </si>
  <si>
    <t>ell</t>
  </si>
  <si>
    <t>ly</t>
  </si>
  <si>
    <t>parsec</t>
  </si>
  <si>
    <t>pc</t>
  </si>
  <si>
    <t>Picapt</t>
  </si>
  <si>
    <t>Pica</t>
  </si>
  <si>
    <t>pica</t>
  </si>
  <si>
    <t>survey_mi</t>
  </si>
  <si>
    <t>yr</t>
  </si>
  <si>
    <t>day</t>
  </si>
  <si>
    <t>hr</t>
  </si>
  <si>
    <t>mn</t>
  </si>
  <si>
    <t>min</t>
  </si>
  <si>
    <t>sec</t>
  </si>
  <si>
    <t>s</t>
  </si>
  <si>
    <t>Pa</t>
  </si>
  <si>
    <t>p</t>
  </si>
  <si>
    <t>atm</t>
  </si>
  <si>
    <t>at</t>
  </si>
  <si>
    <t>mmHg</t>
  </si>
  <si>
    <t>psi</t>
  </si>
  <si>
    <t>Torr</t>
  </si>
  <si>
    <t>dyn</t>
  </si>
  <si>
    <t>dy</t>
  </si>
  <si>
    <t>lbf</t>
  </si>
  <si>
    <t>J</t>
  </si>
  <si>
    <t>e</t>
  </si>
  <si>
    <t>cal</t>
  </si>
  <si>
    <t>eV</t>
  </si>
  <si>
    <t>ev</t>
  </si>
  <si>
    <t>HPh</t>
  </si>
  <si>
    <t>hh</t>
  </si>
  <si>
    <t>Wh</t>
  </si>
  <si>
    <t>wh</t>
  </si>
  <si>
    <t>flb</t>
  </si>
  <si>
    <t>BTU</t>
  </si>
  <si>
    <t>btu</t>
  </si>
  <si>
    <t>HP</t>
  </si>
  <si>
    <t>h</t>
  </si>
  <si>
    <t>PS</t>
  </si>
  <si>
    <t>W</t>
  </si>
  <si>
    <t>w</t>
  </si>
  <si>
    <t>ga</t>
  </si>
  <si>
    <t>cel</t>
  </si>
  <si>
    <t>fah</t>
  </si>
  <si>
    <t>K</t>
  </si>
  <si>
    <t>kel</t>
  </si>
  <si>
    <t>Rank</t>
  </si>
  <si>
    <t>Reau</t>
  </si>
  <si>
    <t>tsp</t>
  </si>
  <si>
    <t>tspm</t>
  </si>
  <si>
    <t>tbs</t>
  </si>
  <si>
    <t>oz</t>
  </si>
  <si>
    <t>cup</t>
  </si>
  <si>
    <t>pt</t>
  </si>
  <si>
    <t>us_pt</t>
  </si>
  <si>
    <t>uk_pt</t>
  </si>
  <si>
    <t>qt</t>
  </si>
  <si>
    <t>uk_qt</t>
  </si>
  <si>
    <t>gal</t>
  </si>
  <si>
    <t>uk_gal</t>
  </si>
  <si>
    <t>l</t>
  </si>
  <si>
    <t>L</t>
  </si>
  <si>
    <t>lt</t>
  </si>
  <si>
    <t>ang3</t>
  </si>
  <si>
    <t>barrel</t>
  </si>
  <si>
    <t>bushel</t>
  </si>
  <si>
    <t>ft3</t>
  </si>
  <si>
    <t>in3</t>
  </si>
  <si>
    <t>ly3</t>
  </si>
  <si>
    <t>m3</t>
  </si>
  <si>
    <t>mi3</t>
  </si>
  <si>
    <t>yd3</t>
  </si>
  <si>
    <t>Nmi3</t>
  </si>
  <si>
    <t>Picapt3</t>
  </si>
  <si>
    <t>Pica3</t>
  </si>
  <si>
    <t>regton</t>
  </si>
  <si>
    <t>MTON</t>
  </si>
  <si>
    <t>ang^3</t>
  </si>
  <si>
    <t>ft^3</t>
  </si>
  <si>
    <r>
      <t>in</t>
    </r>
    <r>
      <rPr>
        <sz val="11.3"/>
        <color theme="1"/>
        <rFont val="Menlo"/>
        <family val="3"/>
        <charset val="128"/>
      </rPr>
      <t>^3</t>
    </r>
  </si>
  <si>
    <t>ly^3</t>
  </si>
  <si>
    <t>m^3</t>
  </si>
  <si>
    <t>mi^3</t>
  </si>
  <si>
    <t>yd^3</t>
  </si>
  <si>
    <t>Nmi^3</t>
  </si>
  <si>
    <t>Picapt^3</t>
  </si>
  <si>
    <t>Pica^3</t>
  </si>
  <si>
    <t>uk_acre</t>
  </si>
  <si>
    <t>us_acre</t>
  </si>
  <si>
    <t>ang2</t>
  </si>
  <si>
    <t>ar</t>
  </si>
  <si>
    <t>ft2</t>
  </si>
  <si>
    <t>ha</t>
  </si>
  <si>
    <t>in2</t>
  </si>
  <si>
    <t>ly2</t>
  </si>
  <si>
    <t>m2</t>
  </si>
  <si>
    <t>Morgen</t>
  </si>
  <si>
    <t>mi2</t>
  </si>
  <si>
    <t>Nmi2</t>
  </si>
  <si>
    <t>Picapt2</t>
  </si>
  <si>
    <t>Pica2</t>
  </si>
  <si>
    <t>yd2</t>
  </si>
  <si>
    <t>ang^2</t>
  </si>
  <si>
    <t>ft^2</t>
  </si>
  <si>
    <r>
      <t>in</t>
    </r>
    <r>
      <rPr>
        <sz val="11.3"/>
        <color theme="1"/>
        <rFont val="Menlo"/>
        <family val="3"/>
        <charset val="128"/>
      </rPr>
      <t>^2</t>
    </r>
  </si>
  <si>
    <t>ly^2</t>
  </si>
  <si>
    <t>m^2</t>
  </si>
  <si>
    <t>mi^2</t>
  </si>
  <si>
    <t>Nmi^2</t>
  </si>
  <si>
    <t>Pica^2</t>
  </si>
  <si>
    <t>Picapt^2</t>
  </si>
  <si>
    <t>yd^2</t>
  </si>
  <si>
    <t>bit</t>
  </si>
  <si>
    <t>byte</t>
  </si>
  <si>
    <t>admkn</t>
  </si>
  <si>
    <t>kn</t>
  </si>
  <si>
    <t>mph</t>
  </si>
  <si>
    <t>m/h</t>
  </si>
  <si>
    <t>m/hr</t>
  </si>
  <si>
    <t>m/s</t>
  </si>
  <si>
    <t>m/sec</t>
  </si>
  <si>
    <t>P</t>
  </si>
  <si>
    <t>k</t>
  </si>
  <si>
    <t>y</t>
  </si>
  <si>
    <t>da</t>
  </si>
  <si>
    <t>Y</t>
  </si>
  <si>
    <t>Z</t>
  </si>
  <si>
    <t>E</t>
  </si>
  <si>
    <t>G</t>
  </si>
  <si>
    <t>M</t>
  </si>
  <si>
    <t>n</t>
  </si>
  <si>
    <t>z</t>
  </si>
  <si>
    <t>-13+25j</t>
  </si>
  <si>
    <t>7+25j</t>
  </si>
  <si>
    <t>13+5j</t>
  </si>
  <si>
    <t>3.1+2j</t>
  </si>
  <si>
    <t>-3+2i</t>
  </si>
  <si>
    <t>yvj</t>
  </si>
  <si>
    <t>-1.2</t>
  </si>
  <si>
    <t>山田太郎ciao</t>
  </si>
  <si>
    <t>_x0001__x0002__x0003__x0004__x0005__x0006__x0007__x0008_	
_x000B__x000C__x000D__x000E__x000F__x0010__x0011__x0012__x0013__x0014__x0015__x0016__x0017__x0018__x0019__x001A__x001B__x001C__x001D__x001E__x001F_ !Åçèêù</t>
  </si>
  <si>
    <t>Sonia Rees    (378) 555-4195
Angel Brown    (878) 555-8622
Blake Martin    (437) 555-8987
William Kirby    (619) 555-4212
Avery Smith    (579) 555-5658
Parker Jones    (346) 555-0925
Liam Small    (405) 555-0887
Hollie Rees    (666) 555-1872</t>
  </si>
  <si>
    <t>Sonia Rees    (378) 555-4197</t>
  </si>
  <si>
    <t>26/08TRUE19|87</t>
  </si>
  <si>
    <t>1987-08-27</t>
  </si>
  <si>
    <t>13/01/1900</t>
  </si>
  <si>
    <t>1/01/1901</t>
  </si>
  <si>
    <t>MISSING</t>
  </si>
  <si>
    <t>MISSING RESPECT TOT</t>
  </si>
  <si>
    <t>row-1</t>
  </si>
  <si>
    <t>row-2</t>
  </si>
  <si>
    <t>row-3</t>
  </si>
  <si>
    <t>col-1</t>
  </si>
  <si>
    <t>col-2</t>
  </si>
  <si>
    <t>r2</t>
  </si>
  <si>
    <t>r2-1</t>
  </si>
  <si>
    <t>r2-1-1</t>
  </si>
  <si>
    <t>r2-2</t>
  </si>
  <si>
    <t>r2-2-2</t>
  </si>
  <si>
    <t>r1-1</t>
  </si>
  <si>
    <t>r1-1-2</t>
  </si>
  <si>
    <t>r2-2-1</t>
  </si>
  <si>
    <t>r1-2</t>
  </si>
  <si>
    <t>r1-2-2</t>
  </si>
  <si>
    <t>r2-1-2</t>
  </si>
  <si>
    <t>r1-2-1</t>
  </si>
  <si>
    <t>val1</t>
  </si>
  <si>
    <t>val2</t>
  </si>
  <si>
    <t>col-3</t>
  </si>
  <si>
    <t>filter</t>
  </si>
  <si>
    <t>c1-2-1</t>
  </si>
  <si>
    <t>c1-1-2</t>
  </si>
  <si>
    <t>c1-2-2</t>
  </si>
  <si>
    <t>c2-1-2</t>
  </si>
  <si>
    <t>c2-2-2</t>
  </si>
  <si>
    <t>c1-1-1</t>
  </si>
  <si>
    <t>c2-1-1</t>
  </si>
  <si>
    <t>c2-2-1</t>
  </si>
  <si>
    <t>r3</t>
  </si>
  <si>
    <t>1.1</t>
  </si>
  <si>
    <t>26/8/1989</t>
  </si>
  <si>
    <t>30/11/2000</t>
  </si>
  <si>
    <t>31/12/2000</t>
  </si>
  <si>
    <t>31/10/2000</t>
  </si>
  <si>
    <t>30/9/2000</t>
  </si>
  <si>
    <t>31/8/2000</t>
  </si>
  <si>
    <t>31/7/2000</t>
  </si>
  <si>
    <t>30/6/2000</t>
  </si>
  <si>
    <t>31/5/2000</t>
  </si>
  <si>
    <t>30/4/2000</t>
  </si>
  <si>
    <t>31/3/2000</t>
  </si>
  <si>
    <t>29/2/2000</t>
  </si>
  <si>
    <t>31/1/2000</t>
  </si>
  <si>
    <t>26/1/1900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</si>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</sst>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€&quot;#,##0.00_);[Red]\(&quot;€&quot;#,##0.00\)"/>
    <numFmt numFmtId="164" formatCode="0.0"/>
    <numFmt numFmtId="165" formatCode="[$-F800]dddd\,\ mmmm\ dd\,\ yyyy"/>
    <numFmt numFmtId="166" formatCode="0.000"/>
    <numFmt numFmtId="167" formatCode="[$-F400]h:mm:ss\ AM/PM"/>
    <numFmt numFmtId="168" formatCode="0.00000000"/>
    <numFmt numFmtId="169" formatCode="0.0000000000"/>
    <numFmt numFmtId="170" formatCode="0.0000000000000000"/>
    <numFmt numFmtId="171" formatCode="0.00000000000000000000000000000000000000000000000"/>
    <numFmt numFmtId="172" formatCode="0.00000E+00"/>
    <numFmt numFmtId="173" formatCode="0.0%"/>
    <numFmt numFmtId="174" formatCode="0.000000"/>
    <numFmt numFmtId="176" formatCode="0.000000000"/>
    <numFmt numFmtId="177" formatCode="&quot;€&quot;#,##0.00000000_);[Red]\(&quot;€&quot;#,##0.00000000\)"/>
    <numFmt numFmtId="178" formatCode="&quot;€&quot;#,##0.00000000000000_);[Red]\(&quot;€&quot;#,##0.00000000000000\)"/>
    <numFmt numFmtId="179" formatCode="0.0000000000000"/>
    <numFmt numFmtId="180" formatCode="0.000000000000000"/>
    <numFmt numFmtId="181" formatCode="0.000000000000"/>
    <numFmt numFmtId="183" formatCode="0.0000000"/>
  </numFmts>
  <fonts count="17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8"/>
      <color theme="1"/>
      <name val="Calibri"/>
      <family val="2"/>
      <scheme val="minor"/>
    </font>
    <font>
      <sz val="8"/>
      <color rgb="FF2A2A2A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9"/>
      <color indexed="0"/>
      <name val="Arial"/>
      <family val="2"/>
    </font>
    <font>
      <sz val="14"/>
      <color rgb="FF24292E"/>
      <name val="Helvetica"/>
      <family val="2"/>
    </font>
    <font>
      <sz val="11.3"/>
      <color rgb="FFE6DB74"/>
      <name val="Menlo"/>
      <family val="3"/>
    </font>
    <font>
      <sz val="11.3"/>
      <color rgb="FFE6DB74"/>
      <name val="Menlo"/>
      <family val="3"/>
      <charset val="128"/>
    </font>
    <font>
      <sz val="11.3"/>
      <color rgb="FFF92672"/>
      <name val="Menlo"/>
      <family val="3"/>
      <charset val="128"/>
    </font>
    <font>
      <sz val="12"/>
      <color rgb="FF1F232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9.2"/>
      <color rgb="FF393939"/>
      <name val="Segoe UI"/>
      <family val="2"/>
    </font>
    <font>
      <sz val="11.3"/>
      <color theme="1"/>
      <name val="Menlo"/>
      <family val="3"/>
      <charset val="128"/>
    </font>
    <font>
      <i/>
      <sz val="11.3"/>
      <color theme="1"/>
      <name val="Menl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2" fillId="0" borderId="0" xfId="0" applyNumberFormat="1" applyFont="1"/>
    <xf numFmtId="164" fontId="3" fillId="0" borderId="0" xfId="0" applyNumberFormat="1" applyFont="1"/>
    <xf numFmtId="164" fontId="2" fillId="2" borderId="0" xfId="0" applyNumberFormat="1" applyFont="1" applyFill="1"/>
    <xf numFmtId="164" fontId="3" fillId="2" borderId="0" xfId="0" applyNumberFormat="1" applyFont="1" applyFill="1"/>
    <xf numFmtId="164" fontId="4" fillId="0" borderId="0" xfId="0" applyNumberFormat="1" applyFont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2" fillId="0" borderId="0" xfId="0" quotePrefix="1" applyNumberFormat="1" applyFont="1"/>
    <xf numFmtId="14" fontId="2" fillId="0" borderId="0" xfId="0" applyNumberFormat="1" applyFont="1"/>
    <xf numFmtId="2" fontId="2" fillId="0" borderId="0" xfId="0" applyNumberFormat="1" applyFont="1"/>
    <xf numFmtId="0" fontId="2" fillId="0" borderId="0" xfId="0" quotePrefix="1" applyFont="1"/>
    <xf numFmtId="14" fontId="0" fillId="0" borderId="0" xfId="0" applyNumberFormat="1"/>
    <xf numFmtId="0" fontId="4" fillId="0" borderId="0" xfId="0" applyFont="1"/>
    <xf numFmtId="0" fontId="7" fillId="0" borderId="0" xfId="0" quotePrefix="1" applyFont="1"/>
    <xf numFmtId="17" fontId="2" fillId="0" borderId="0" xfId="0" applyNumberFormat="1" applyFont="1"/>
    <xf numFmtId="14" fontId="2" fillId="0" borderId="0" xfId="0" quotePrefix="1" applyNumberFormat="1" applyFont="1"/>
    <xf numFmtId="0" fontId="8" fillId="0" borderId="0" xfId="0" applyFont="1"/>
    <xf numFmtId="166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4" fontId="5" fillId="0" borderId="0" xfId="0" applyNumberFormat="1" applyFont="1"/>
    <xf numFmtId="164" fontId="5" fillId="0" borderId="0" xfId="0" quotePrefix="1" applyNumberFormat="1" applyFont="1"/>
    <xf numFmtId="164" fontId="9" fillId="0" borderId="0" xfId="0" applyNumberFormat="1" applyFont="1"/>
    <xf numFmtId="0" fontId="10" fillId="0" borderId="0" xfId="0" applyFont="1"/>
    <xf numFmtId="0" fontId="11" fillId="0" borderId="0" xfId="0" applyFont="1"/>
    <xf numFmtId="167" fontId="2" fillId="0" borderId="0" xfId="0" applyNumberFormat="1" applyFont="1"/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quotePrefix="1" applyFont="1" applyFill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13" fillId="0" borderId="0" xfId="2"/>
    <xf numFmtId="0" fontId="14" fillId="0" borderId="0" xfId="0" applyFont="1"/>
    <xf numFmtId="0" fontId="5" fillId="3" borderId="0" xfId="0" quotePrefix="1" applyFont="1" applyFill="1" applyAlignment="1">
      <alignment horizontal="left" vertical="center"/>
    </xf>
    <xf numFmtId="0" fontId="0" fillId="0" borderId="1" xfId="0" applyBorder="1"/>
    <xf numFmtId="9" fontId="0" fillId="0" borderId="1" xfId="1" applyFont="1" applyBorder="1"/>
    <xf numFmtId="0" fontId="0" fillId="0" borderId="3" xfId="0" applyBorder="1"/>
    <xf numFmtId="9" fontId="0" fillId="0" borderId="3" xfId="1" applyFont="1" applyBorder="1"/>
    <xf numFmtId="0" fontId="0" fillId="0" borderId="4" xfId="0" applyBorder="1"/>
    <xf numFmtId="9" fontId="0" fillId="0" borderId="4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9" fontId="0" fillId="0" borderId="0" xfId="1" applyFont="1"/>
    <xf numFmtId="11" fontId="0" fillId="0" borderId="0" xfId="0" applyNumberFormat="1"/>
    <xf numFmtId="0" fontId="15" fillId="0" borderId="0" xfId="0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16" fillId="0" borderId="0" xfId="0" applyFont="1"/>
    <xf numFmtId="0" fontId="15" fillId="3" borderId="0" xfId="0" applyFont="1" applyFill="1"/>
    <xf numFmtId="172" fontId="0" fillId="0" borderId="0" xfId="0" applyNumberFormat="1"/>
    <xf numFmtId="173" fontId="0" fillId="0" borderId="3" xfId="1" applyNumberFormat="1" applyFont="1" applyBorder="1"/>
    <xf numFmtId="174" fontId="2" fillId="0" borderId="0" xfId="0" applyNumberFormat="1" applyFont="1"/>
    <xf numFmtId="0" fontId="9" fillId="0" borderId="0" xfId="0" applyFont="1"/>
    <xf numFmtId="169" fontId="2" fillId="0" borderId="0" xfId="0" applyNumberFormat="1" applyFont="1"/>
    <xf numFmtId="1" fontId="2" fillId="0" borderId="0" xfId="0" applyNumberFormat="1" applyFont="1"/>
    <xf numFmtId="169" fontId="2" fillId="0" borderId="0" xfId="0" applyNumberFormat="1" applyFont="1" applyAlignment="1">
      <alignment horizontal="left" vertical="center"/>
    </xf>
    <xf numFmtId="169" fontId="2" fillId="0" borderId="0" xfId="0" applyNumberFormat="1" applyFont="1" applyAlignment="1">
      <alignment horizontal="center" vertical="center"/>
    </xf>
    <xf numFmtId="9" fontId="0" fillId="0" borderId="1" xfId="1" applyFont="1" applyFill="1" applyBorder="1"/>
    <xf numFmtId="0" fontId="0" fillId="0" borderId="16" xfId="0" applyBorder="1"/>
    <xf numFmtId="9" fontId="0" fillId="0" borderId="15" xfId="1" applyFont="1" applyBorder="1"/>
    <xf numFmtId="9" fontId="2" fillId="0" borderId="16" xfId="1" applyFont="1" applyBorder="1" applyAlignment="1">
      <alignment horizontal="center" vertical="center"/>
    </xf>
    <xf numFmtId="164" fontId="2" fillId="0" borderId="0" xfId="0" quotePrefix="1" applyNumberFormat="1" applyFont="1" applyAlignment="1">
      <alignment vertical="center"/>
    </xf>
    <xf numFmtId="173" fontId="0" fillId="0" borderId="16" xfId="1" applyNumberFormat="1" applyFont="1" applyBorder="1"/>
    <xf numFmtId="166" fontId="3" fillId="0" borderId="0" xfId="0" applyNumberFormat="1" applyFont="1" applyAlignment="1">
      <alignment vertical="center"/>
    </xf>
    <xf numFmtId="9" fontId="2" fillId="0" borderId="0" xfId="0" applyNumberFormat="1" applyFont="1"/>
    <xf numFmtId="176" fontId="2" fillId="0" borderId="0" xfId="0" applyNumberFormat="1" applyFont="1"/>
    <xf numFmtId="8" fontId="2" fillId="0" borderId="0" xfId="0" applyNumberFormat="1" applyFont="1"/>
    <xf numFmtId="173" fontId="2" fillId="0" borderId="0" xfId="1" applyNumberFormat="1" applyFont="1"/>
    <xf numFmtId="2" fontId="2" fillId="0" borderId="0" xfId="1" applyNumberFormat="1" applyFont="1"/>
    <xf numFmtId="176" fontId="9" fillId="0" borderId="0" xfId="0" applyNumberFormat="1" applyFont="1"/>
    <xf numFmtId="177" fontId="2" fillId="0" borderId="0" xfId="0" applyNumberFormat="1" applyFont="1"/>
    <xf numFmtId="178" fontId="2" fillId="0" borderId="0" xfId="0" applyNumberFormat="1" applyFont="1"/>
    <xf numFmtId="179" fontId="2" fillId="0" borderId="0" xfId="0" applyNumberFormat="1" applyFont="1"/>
    <xf numFmtId="180" fontId="2" fillId="0" borderId="0" xfId="0" applyNumberFormat="1" applyFon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center" vertical="center"/>
    </xf>
    <xf numFmtId="0" fontId="6" fillId="4" borderId="2" xfId="0" applyFont="1" applyFill="1" applyBorder="1" applyAlignment="1" applyProtection="1">
      <alignment vertical="center"/>
      <protection locked="0"/>
    </xf>
    <xf numFmtId="181" fontId="2" fillId="0" borderId="0" xfId="0" applyNumberFormat="1" applyFont="1"/>
    <xf numFmtId="168" fontId="2" fillId="0" borderId="0" xfId="0" applyNumberFormat="1" applyFont="1"/>
    <xf numFmtId="183" fontId="2" fillId="0" borderId="0" xfId="0" applyNumberFormat="1" applyFont="1"/>
    <xf numFmtId="0" fontId="2" fillId="0" borderId="0" xfId="1" applyNumberFormat="1" applyFont="1"/>
    <xf numFmtId="0" fontId="2" fillId="0" borderId="0" xfId="0" applyNumberFormat="1" applyFont="1"/>
    <xf numFmtId="177" fontId="9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microsoft.com/office/2017/06/relationships/rdRichValue" Target="richData/rdrichvalue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_lin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vincenzoarcidiacono/PycharmProjects/formulas/test/test_files/MISS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>
            <v>2</v>
          </cell>
        </row>
        <row r="2">
          <cell r="A2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SING"/>
    </sheetNames>
    <definedNames>
      <definedName name="A"/>
    </definedNames>
    <sheetDataSet>
      <sheetData sheetId="0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6">
  <rv s="0">
    <v>ciao</v>
    <v>2</v>
    <v>288</v>
    <v>5</v>
  </rv>
  <rv s="0">
    <v>TRUE</v>
    <v>2</v>
    <v>277</v>
    <v>5</v>
  </rv>
  <rv s="0">
    <v>ciao</v>
    <v>2</v>
    <v>285</v>
    <v>5</v>
  </rv>
  <rv s="0">
    <v/>
    <v>2</v>
    <v>12</v>
    <v>5</v>
  </rv>
  <rv s="0">
    <v/>
    <v>2</v>
    <v>193</v>
    <v>5</v>
  </rv>
  <rv s="0">
    <v/>
    <v>2</v>
    <v>46</v>
    <v>5</v>
  </rv>
  <rv s="0">
    <v/>
    <v>2</v>
    <v>194</v>
    <v>5</v>
  </rv>
  <rv s="0">
    <v>ciao</v>
    <v>2</v>
    <v>57</v>
    <v>5</v>
  </rv>
  <rv s="1">
    <v>ciao</v>
    <v>2</v>
    <v>167</v>
    <v>6</v>
    <v>5</v>
  </rv>
  <rv s="0">
    <v>ciao</v>
    <v>2</v>
    <v>62</v>
    <v>5</v>
  </rv>
  <rv s="0">
    <v>ciao</v>
    <v>2</v>
    <v>61</v>
    <v>5</v>
  </rv>
  <rv s="0">
    <v>ciao</v>
    <v>2</v>
    <v>58</v>
    <v>5</v>
  </rv>
  <rv s="1">
    <v>ciao</v>
    <v>2</v>
    <v>58</v>
    <v>6</v>
    <v>5</v>
  </rv>
  <rv s="0">
    <v>ciao</v>
    <v>2</v>
    <v>11</v>
    <v>5</v>
  </rv>
  <rv s="0">
    <v>ciao</v>
    <v>2</v>
    <v>570</v>
    <v>5</v>
  </rv>
  <rv s="0">
    <v>ciao</v>
    <v>2</v>
    <v>59</v>
    <v>5</v>
  </rv>
  <rv s="1">
    <v>ciao</v>
    <v>2</v>
    <v>59</v>
    <v>6</v>
    <v>5</v>
  </rv>
  <rv s="0">
    <v>ciao</v>
    <v>2</v>
    <v>168</v>
    <v>5</v>
  </rv>
  <rv s="0">
    <v>ciao</v>
    <v>2</v>
    <v>56</v>
    <v>5</v>
  </rv>
  <rv s="0">
    <v>ciao</v>
    <v>2</v>
    <v>60</v>
    <v>5</v>
  </rv>
  <rv s="0">
    <v>ciao</v>
    <v>2</v>
    <v>579</v>
    <v>5</v>
  </rv>
  <rv s="0">
    <v>ciao</v>
    <v>2</v>
    <v>142</v>
    <v>5</v>
  </rv>
  <rv s="0">
    <v>ciao</v>
    <v>2</v>
    <v>1</v>
    <v>6</v>
  </rv>
  <rv s="2">
    <v>ciao</v>
    <v>2</v>
    <v>6</v>
  </rv>
  <rv s="2">
    <v>2</v>
    <v>2</v>
    <v>19</v>
  </rv>
  <rv s="3">
    <v>ciao</v>
    <v>2</v>
    <v>3</v>
    <v>5</v>
  </rv>
  <rv s="0">
    <v>0</v>
    <v>2</v>
    <v>38</v>
    <v>6</v>
  </rv>
  <rv s="0">
    <v>*b?u*</v>
    <v>2</v>
    <v>219</v>
    <v>6</v>
  </rv>
  <rv s="0">
    <v>*b?u*</v>
    <v>2</v>
    <v>219</v>
    <v>5</v>
  </rv>
  <rv s="2">
    <v>*b?u*</v>
    <v>2</v>
    <v>5</v>
  </rv>
  <rv s="4">
    <v>13</v>
    <v>3</v>
  </rv>
  <rv s="4">
    <v>2</v>
    <v>32</v>
  </rv>
  <rv s="0">
    <v>b</v>
    <v>2</v>
    <v>616</v>
    <v>6</v>
  </rv>
  <rv s="0">
    <v>b</v>
    <v>2</v>
    <v>634</v>
    <v>5</v>
  </rv>
  <rv s="0">
    <v>ciao</v>
    <v>2</v>
    <v>24</v>
    <v>5</v>
  </rv>
  <rv s="0">
    <v>ciao</v>
    <v>2</v>
    <v>99</v>
    <v>5</v>
  </rv>
  <rv s="0">
    <v>ciao</v>
    <v>2</v>
    <v>233</v>
    <v>5</v>
  </rv>
  <rv s="0">
    <v>ciao</v>
    <v>2</v>
    <v>548</v>
    <v>5</v>
  </rv>
  <rv s="0">
    <v>ciao</v>
    <v>2</v>
    <v>549</v>
    <v>5</v>
  </rv>
  <rv s="0">
    <v>ciao</v>
    <v>2</v>
    <v>98</v>
    <v>5</v>
  </rv>
  <rv s="0">
    <v>ciao</v>
    <v>2</v>
    <v>232</v>
    <v>5</v>
  </rv>
  <rv s="0">
    <v>ciao</v>
    <v>2</v>
    <v>18</v>
    <v>5</v>
  </rv>
  <rv s="0">
    <v>ciao</v>
    <v>2</v>
    <v>97</v>
    <v>5</v>
  </rv>
  <rv s="0">
    <v>ciao</v>
    <v>2</v>
    <v>234</v>
    <v>5</v>
  </rv>
  <rv s="0">
    <v>ciao</v>
    <v>2</v>
    <v>591</v>
    <v>5</v>
  </rv>
  <rv s="0">
    <v>ciao</v>
    <v>2</v>
    <v>546</v>
    <v>5</v>
  </rv>
  <rv s="0">
    <v>ciao</v>
    <v>2</v>
    <v>16</v>
    <v>5</v>
  </rv>
  <rv s="0">
    <v>ciao</v>
    <v>2</v>
    <v>230</v>
    <v>5</v>
  </rv>
  <rv s="0">
    <v>ciao</v>
    <v>2</v>
    <v>550</v>
    <v>5</v>
  </rv>
  <rv s="0">
    <v>ciao</v>
    <v>2</v>
    <v>551</v>
    <v>5</v>
  </rv>
  <rv s="0">
    <v>ciao</v>
    <v>2</v>
    <v>552</v>
    <v>5</v>
  </rv>
  <rv s="0">
    <v>ciao</v>
    <v>2</v>
    <v>553</v>
    <v>5</v>
  </rv>
  <rv s="0">
    <v>ciao</v>
    <v>2</v>
    <v>572</v>
    <v>5</v>
  </rv>
  <rv s="0">
    <v>ciao</v>
    <v>2</v>
    <v>343</v>
    <v>5</v>
  </rv>
  <rv s="0">
    <v>ciao</v>
    <v>2</v>
    <v>279</v>
    <v>5</v>
  </rv>
  <rv s="0">
    <v>ciao</v>
    <v>2</v>
    <v>21</v>
    <v>5</v>
  </rv>
  <rv s="0">
    <v>ciao</v>
    <v>2</v>
    <v>184</v>
    <v>5</v>
  </rv>
  <rv s="0">
    <v>ciao</v>
    <v>2</v>
    <v>592</v>
    <v>5</v>
  </rv>
  <rv s="0">
    <v>ciao</v>
    <v>2</v>
    <v>547</v>
    <v>5</v>
  </rv>
  <rv s="0">
    <v>ciao</v>
    <v>2</v>
    <v>25</v>
    <v>5</v>
  </rv>
  <rv s="0">
    <v>ciao</v>
    <v>2</v>
    <v>523</v>
    <v>5</v>
  </rv>
  <rv s="0">
    <v>ciao</v>
    <v>2</v>
    <v>22</v>
    <v>5</v>
  </rv>
  <rv s="0">
    <v>ciao</v>
    <v>2</v>
    <v>109</v>
    <v>5</v>
  </rv>
  <rv s="0">
    <v>ciao</v>
    <v>2</v>
    <v>23</v>
    <v>5</v>
  </rv>
  <rv s="0">
    <v>ciao</v>
    <v>2</v>
    <v>39</v>
    <v>5</v>
  </rv>
  <rv s="0">
    <v>ciao</v>
    <v>2</v>
    <v>582</v>
    <v>5</v>
  </rv>
  <rv s="0">
    <v>ciao</v>
    <v>2</v>
    <v>298</v>
    <v>5</v>
  </rv>
  <rv s="0">
    <v>ciao</v>
    <v>2</v>
    <v>337</v>
    <v>5</v>
  </rv>
  <rv s="0">
    <v>ciao</v>
    <v>2</v>
    <v>342</v>
    <v>5</v>
  </rv>
  <rv s="0">
    <v>ciao</v>
    <v>2</v>
    <v>354</v>
    <v>5</v>
  </rv>
  <rv s="0">
    <v>ciao</v>
    <v>2</v>
    <v>27</v>
    <v>5</v>
  </rv>
  <rv s="0">
    <v>ciao</v>
    <v>2</v>
    <v>213</v>
    <v>5</v>
  </rv>
  <rv s="0">
    <v>ciao</v>
    <v>2</v>
    <v>212</v>
    <v>5</v>
  </rv>
  <rv s="0">
    <v>ciao</v>
    <v>2</v>
    <v>554</v>
    <v>5</v>
  </rv>
  <rv s="0">
    <v>ciao</v>
    <v>2</v>
    <v>555</v>
    <v>5</v>
  </rv>
  <rv s="0">
    <v>ciao</v>
    <v>2</v>
    <v>26</v>
    <v>5</v>
  </rv>
  <rv s="0">
    <v>ciao</v>
    <v>2</v>
    <v>15</v>
    <v>5</v>
  </rv>
  <rv s="0">
    <v>ciao</v>
    <v>2</v>
    <v>229</v>
    <v>5</v>
  </rv>
  <rv s="0">
    <v>ciao</v>
    <v>2</v>
    <v>20</v>
    <v>5</v>
  </rv>
  <rv s="0">
    <v>ciao</v>
    <v>2</v>
    <v>17</v>
    <v>5</v>
  </rv>
  <rv s="0">
    <v>ciao</v>
    <v>2</v>
    <v>231</v>
    <v>5</v>
  </rv>
  <rv s="0">
    <v>ciao</v>
    <v>2</v>
    <v>197</v>
    <v>5</v>
  </rv>
  <rv s="0">
    <v/>
    <v>2</v>
    <v>269</v>
    <v>5</v>
  </rv>
  <rv s="0">
    <v/>
    <v>2</v>
    <v>5</v>
    <v>5</v>
  </rv>
  <rv s="0">
    <v/>
    <v>2</v>
    <v>361</v>
    <v>5</v>
  </rv>
  <rv s="0">
    <v>TRUE</v>
    <v>2</v>
    <v>574</v>
    <v>5</v>
  </rv>
  <rv s="0">
    <v>TRUE</v>
    <v>2</v>
    <v>488</v>
    <v>5</v>
  </rv>
  <rv s="0">
    <v>TRUE</v>
    <v>2</v>
    <v>489</v>
    <v>5</v>
  </rv>
  <rv s="0">
    <v/>
    <v>2</v>
    <v>318</v>
    <v>5</v>
  </rv>
  <rv s="0">
    <v/>
    <v>2</v>
    <v>319</v>
    <v>5</v>
  </rv>
  <rv s="0">
    <v/>
    <v>2</v>
    <v>320</v>
    <v>5</v>
  </rv>
  <rv s="0">
    <v/>
    <v>2</v>
    <v>322</v>
    <v>5</v>
  </rv>
  <rv s="0">
    <v>c</v>
    <v>2</v>
    <v>325</v>
    <v>5</v>
  </rv>
  <rv s="0">
    <v/>
    <v>2</v>
    <v>7</v>
    <v>5</v>
  </rv>
  <rv s="0">
    <v/>
    <v>2</v>
    <v>362</v>
    <v>5</v>
  </rv>
  <rv s="0">
    <v/>
    <v>2</v>
    <v>227</v>
    <v>5</v>
  </rv>
  <rv s="0">
    <v/>
    <v>2</v>
    <v>6</v>
    <v>5</v>
  </rv>
  <rv s="0">
    <v/>
    <v>2</v>
    <v>363</v>
    <v>5</v>
  </rv>
  <rv s="0">
    <v>1</v>
    <v>2</v>
    <v>539</v>
    <v>6</v>
  </rv>
  <rv s="0">
    <v>ciao</v>
    <v>2</v>
    <v>299</v>
    <v>5</v>
  </rv>
  <rv s="0">
    <v>ciao</v>
    <v>2</v>
    <v>567</v>
    <v>5</v>
  </rv>
  <rv s="0">
    <v>ciao</v>
    <v>2</v>
    <v>578</v>
    <v>5</v>
  </rv>
  <rv s="0">
    <v/>
    <v>2</v>
    <v>323</v>
    <v>5</v>
  </rv>
  <rv s="0">
    <v/>
    <v>2</v>
    <v>576</v>
    <v>5</v>
  </rv>
  <rv s="0">
    <v>c</v>
    <v>2</v>
    <v>326</v>
    <v>5</v>
  </rv>
  <rv s="0">
    <v/>
    <v>2</v>
    <v>511</v>
    <v>5</v>
  </rv>
  <rv s="0">
    <v/>
    <v>2</v>
    <v>510</v>
    <v>5</v>
  </rv>
  <rv s="0">
    <v/>
    <v>2</v>
    <v>366</v>
    <v>5</v>
  </rv>
  <rv s="0">
    <v/>
    <v>2</v>
    <v>364</v>
    <v>5</v>
  </rv>
  <rv s="0">
    <v/>
    <v>2</v>
    <v>518</v>
    <v>5</v>
  </rv>
  <rv s="0">
    <v/>
    <v>2</v>
    <v>517</v>
    <v>5</v>
  </rv>
  <rv s="0">
    <v/>
    <v>2</v>
    <v>367</v>
    <v>5</v>
  </rv>
  <rv s="0">
    <v/>
    <v>2</v>
    <v>365</v>
    <v>5</v>
  </rv>
  <rv s="0">
    <v>ciao</v>
    <v>2</v>
    <v>368</v>
    <v>5</v>
  </rv>
  <rv s="0">
    <v>ciao</v>
    <v>2</v>
    <v>111</v>
    <v>5</v>
  </rv>
  <rv s="0">
    <v>ciao</v>
    <v>2</v>
    <v>124</v>
    <v>5</v>
  </rv>
  <rv s="0">
    <v>ciao</v>
    <v>2</v>
    <v>205</v>
    <v>5</v>
  </rv>
  <rv s="0">
    <v>ciao</v>
    <v>2</v>
    <v>14</v>
    <v>5</v>
  </rv>
  <rv s="0">
    <v>1</v>
    <v>2</v>
    <v>14</v>
    <v>6</v>
  </rv>
  <rv s="0">
    <v>ciao</v>
    <v>2</v>
    <v>115</v>
    <v>5</v>
  </rv>
  <rv s="0">
    <v>ciao</v>
    <v>2</v>
    <v>208</v>
    <v>5</v>
  </rv>
  <rv s="0">
    <v>ciao</v>
    <v>2</v>
    <v>31</v>
    <v>5</v>
  </rv>
  <rv s="0">
    <v>ciao</v>
    <v>2</v>
    <v>210</v>
    <v>5</v>
  </rv>
  <rv s="4">
    <fb t="e">#N/A</fb>
    <v>6</v>
    <v>7</v>
  </rv>
  <rv s="4">
    <v>2</v>
    <v>0</v>
  </rv>
  <rv s="0">
    <v>ciao</v>
    <v>2</v>
    <v>119</v>
    <v>5</v>
  </rv>
  <rv s="0">
    <v>ciao</v>
    <v>2</v>
    <v>207</v>
    <v>5</v>
  </rv>
  <rv s="0">
    <v>ciao</v>
    <v>2</v>
    <v>116</v>
    <v>5</v>
  </rv>
  <rv s="0">
    <v>ciao</v>
    <v>2</v>
    <v>209</v>
    <v>5</v>
  </rv>
  <rv s="0">
    <v>ciao</v>
    <v>2</v>
    <v>82</v>
    <v>5</v>
  </rv>
  <rv s="0">
    <v>ciao</v>
    <v>2</v>
    <v>206</v>
    <v>5</v>
  </rv>
  <rv s="0">
    <v>ciao</v>
    <v>2</v>
    <v>580</v>
    <v>5</v>
  </rv>
  <rv s="0">
    <v>a</v>
    <v>2</v>
    <v>647</v>
    <v>5</v>
  </rv>
  <rv s="3">
    <v>ciao</v>
    <v>2</v>
    <v>4</v>
    <v>5</v>
  </rv>
  <rv s="2">
    <v>ciao</v>
    <v>2</v>
    <v>5</v>
  </rv>
  <rv s="3">
    <v>ciao</v>
    <v>2</v>
    <v>5</v>
    <v>5</v>
  </rv>
  <rv s="3">
    <v>ciao</v>
    <v>2</v>
    <v>6</v>
    <v>5</v>
  </rv>
  <rv s="3">
    <v>ciao</v>
    <v>2</v>
    <v>7</v>
    <v>5</v>
  </rv>
  <rv s="0">
    <v>a;b" "</v>
    <v>2</v>
    <v>4</v>
    <v>5</v>
  </rv>
  <rv s="0">
    <v>ciao</v>
    <v>2</v>
    <v>4</v>
    <v>5</v>
  </rv>
  <rv s="0">
    <v/>
    <v>2</v>
    <v>4</v>
    <v>5</v>
  </rv>
  <rv s="4">
    <v>2</v>
    <v>133</v>
  </rv>
  <rv s="4">
    <fb t="e">#N/A</fb>
    <v>6</v>
    <v>9</v>
  </rv>
  <rv s="0">
    <v>d</v>
    <v>2</v>
    <v>14</v>
    <v>6</v>
  </rv>
  <rv s="4">
    <v>2</v>
    <v>39</v>
  </rv>
  <rv s="0">
    <v>0</v>
    <v>2</v>
    <v>14</v>
    <v>6</v>
  </rv>
</rvData>
</file>

<file path=xl/richData/rdrichvaluestructure.xml><?xml version="1.0" encoding="utf-8"?>
<rvStructures xmlns="http://schemas.microsoft.com/office/spreadsheetml/2017/richdata" count="5">
  <s t="_error">
    <k n="argument" t="s"/>
    <k n="errorType" t="i"/>
    <k n="iftab" t="i"/>
    <k n="subType" t="i"/>
  </s>
  <s t="_error">
    <k n="argument" t="s"/>
    <k n="errorType" t="i"/>
    <k n="iftab" t="i"/>
    <k n="ptg" t="i"/>
    <k n="subType" t="i"/>
  </s>
  <s t="_error">
    <k n="argument" t="s"/>
    <k n="errorType" t="i"/>
    <k n="subType" t="i"/>
  </s>
  <s t="_error">
    <k n="argument" t="s"/>
    <k n="errorType" t="i"/>
    <k n="ptg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F701-DC5B-5947-9DEF-DA731F6D922F}">
  <sheetPr codeName="Sheet1"/>
  <dimension ref="A1:F27"/>
  <sheetViews>
    <sheetView tabSelected="1" zoomScaleNormal="100" workbookViewId="0">
      <selection activeCell="E18" sqref="E18"/>
    </sheetView>
  </sheetViews>
  <sheetFormatPr baseColWidth="10" defaultRowHeight="16" x14ac:dyDescent="0.2"/>
  <cols>
    <col min="1" max="1" width="13.83203125" bestFit="1" customWidth="1"/>
    <col min="2" max="2" width="13.33203125" bestFit="1" customWidth="1"/>
    <col min="3" max="3" width="8.5" bestFit="1" customWidth="1"/>
    <col min="4" max="4" width="6.5" bestFit="1" customWidth="1"/>
    <col min="5" max="5" width="10.33203125" bestFit="1" customWidth="1"/>
    <col min="6" max="6" width="20.1640625" bestFit="1" customWidth="1"/>
  </cols>
  <sheetData>
    <row r="1" spans="1:6" x14ac:dyDescent="0.2">
      <c r="A1" s="94" t="s">
        <v>607</v>
      </c>
      <c r="B1" s="96" t="s">
        <v>544</v>
      </c>
      <c r="C1" s="97"/>
      <c r="D1" s="97"/>
      <c r="E1" s="97"/>
      <c r="F1" s="97"/>
    </row>
    <row r="2" spans="1:6" ht="17" thickBot="1" x14ac:dyDescent="0.25">
      <c r="A2" s="95"/>
      <c r="B2" s="54" t="s">
        <v>545</v>
      </c>
      <c r="C2" s="52" t="s">
        <v>787</v>
      </c>
      <c r="D2" s="52" t="s">
        <v>546</v>
      </c>
      <c r="E2" s="52" t="s">
        <v>542</v>
      </c>
      <c r="F2" s="52" t="s">
        <v>788</v>
      </c>
    </row>
    <row r="3" spans="1:6" x14ac:dyDescent="0.2">
      <c r="A3" s="57" t="s">
        <v>603</v>
      </c>
      <c r="B3" s="55">
        <f>COUNTIF(AUTOMATION!B$3:B$245,"=DONE")</f>
        <v>0</v>
      </c>
      <c r="C3" s="78">
        <f t="shared" ref="C3:C17" si="0">D3-B3</f>
        <v>3</v>
      </c>
      <c r="D3" s="50">
        <f>COUNTA(AUTOMATION!A$3:A$245)</f>
        <v>3</v>
      </c>
      <c r="E3" s="51">
        <f t="shared" ref="E3:E18" si="1">B3/D3</f>
        <v>0</v>
      </c>
      <c r="F3" s="49">
        <f t="shared" ref="F3:F18" si="2">C3/D$18</f>
        <v>5.597014925373134E-3</v>
      </c>
    </row>
    <row r="4" spans="1:6" x14ac:dyDescent="0.2">
      <c r="A4" s="58" t="s">
        <v>553</v>
      </c>
      <c r="B4" s="56">
        <f>COUNTIF(COMPATIBILITY!B$3:B$97,"=DONE")</f>
        <v>40</v>
      </c>
      <c r="C4" s="48">
        <f t="shared" si="0"/>
        <v>0</v>
      </c>
      <c r="D4" s="48">
        <f>COUNTA(COMPATIBILITY!A$3:A$97)</f>
        <v>40</v>
      </c>
      <c r="E4" s="49">
        <f t="shared" si="1"/>
        <v>1</v>
      </c>
      <c r="F4" s="49">
        <f t="shared" si="2"/>
        <v>0</v>
      </c>
    </row>
    <row r="5" spans="1:6" x14ac:dyDescent="0.2">
      <c r="A5" s="58" t="s">
        <v>604</v>
      </c>
      <c r="B5" s="56">
        <f>COUNTIF(CUBE!B$3:B$92,"=DONE")</f>
        <v>0</v>
      </c>
      <c r="C5" s="48">
        <f t="shared" si="0"/>
        <v>7</v>
      </c>
      <c r="D5" s="48">
        <f>COUNTA(CUBE!A$3:A$92)</f>
        <v>7</v>
      </c>
      <c r="E5" s="49">
        <f t="shared" si="1"/>
        <v>0</v>
      </c>
      <c r="F5" s="49">
        <f t="shared" si="2"/>
        <v>1.3059701492537313E-2</v>
      </c>
    </row>
    <row r="6" spans="1:6" x14ac:dyDescent="0.2">
      <c r="A6" s="58" t="s">
        <v>605</v>
      </c>
      <c r="B6" s="56">
        <f>COUNTIF(DATABASE!B$3:B$92,"=DONE")</f>
        <v>0</v>
      </c>
      <c r="C6" s="48">
        <f t="shared" si="0"/>
        <v>12</v>
      </c>
      <c r="D6" s="48">
        <f>COUNTA(DATABASE!A$3:A$92)</f>
        <v>12</v>
      </c>
      <c r="E6" s="49">
        <f t="shared" si="1"/>
        <v>0</v>
      </c>
      <c r="F6" s="49">
        <f t="shared" si="2"/>
        <v>2.2388059701492536E-2</v>
      </c>
    </row>
    <row r="7" spans="1:6" x14ac:dyDescent="0.2">
      <c r="A7" s="58" t="s">
        <v>549</v>
      </c>
      <c r="B7" s="56">
        <f>COUNTIF('DATE &amp; TIME'!B$3:B$245,"=DONE")</f>
        <v>25</v>
      </c>
      <c r="C7" s="48">
        <f t="shared" si="0"/>
        <v>0</v>
      </c>
      <c r="D7" s="48">
        <f>COUNTA('DATE &amp; TIME'!A$3:A$245)</f>
        <v>25</v>
      </c>
      <c r="E7" s="49">
        <f t="shared" si="1"/>
        <v>1</v>
      </c>
      <c r="F7" s="77">
        <f t="shared" si="2"/>
        <v>0</v>
      </c>
    </row>
    <row r="8" spans="1:6" x14ac:dyDescent="0.2">
      <c r="A8" s="58" t="s">
        <v>555</v>
      </c>
      <c r="B8" s="56">
        <f>COUNTIF(ENGINEERING!B$3:B$66,"=DONE")</f>
        <v>54</v>
      </c>
      <c r="C8" s="48">
        <f t="shared" si="0"/>
        <v>0</v>
      </c>
      <c r="D8" s="48">
        <f>COUNTA(ENGINEERING!A$3:A$66)</f>
        <v>54</v>
      </c>
      <c r="E8" s="49">
        <f t="shared" si="1"/>
        <v>1</v>
      </c>
      <c r="F8" s="49">
        <f t="shared" si="2"/>
        <v>0</v>
      </c>
    </row>
    <row r="9" spans="1:6" x14ac:dyDescent="0.2">
      <c r="A9" s="58" t="s">
        <v>547</v>
      </c>
      <c r="B9" s="56">
        <f>COUNTIF(FINANCIAL!B$3:B$246,"=DONE")</f>
        <v>55</v>
      </c>
      <c r="C9" s="48">
        <f t="shared" si="0"/>
        <v>0</v>
      </c>
      <c r="D9" s="48">
        <f>COUNTA(FINANCIAL!A$3:A$246)</f>
        <v>55</v>
      </c>
      <c r="E9" s="49">
        <f t="shared" si="1"/>
        <v>1</v>
      </c>
      <c r="F9" s="49">
        <f t="shared" si="2"/>
        <v>0</v>
      </c>
    </row>
    <row r="10" spans="1:6" x14ac:dyDescent="0.2">
      <c r="A10" s="58" t="s">
        <v>551</v>
      </c>
      <c r="B10" s="56">
        <f>COUNTIF(INFORMATION!B$3:B$278,"=DONE")</f>
        <v>16</v>
      </c>
      <c r="C10" s="48">
        <f t="shared" si="0"/>
        <v>6</v>
      </c>
      <c r="D10" s="48">
        <f>COUNTA(INFORMATION!A$3:A$278)</f>
        <v>22</v>
      </c>
      <c r="E10" s="49">
        <f t="shared" si="1"/>
        <v>0.72727272727272729</v>
      </c>
      <c r="F10" s="49">
        <f t="shared" si="2"/>
        <v>1.1194029850746268E-2</v>
      </c>
    </row>
    <row r="11" spans="1:6" x14ac:dyDescent="0.2">
      <c r="A11" s="58" t="s">
        <v>552</v>
      </c>
      <c r="B11" s="56">
        <f>COUNTIF(LOGICAL!B$3:B$282,"=DONE")</f>
        <v>19</v>
      </c>
      <c r="C11" s="48">
        <f t="shared" si="0"/>
        <v>0</v>
      </c>
      <c r="D11" s="48">
        <f>COUNTA(LOGICAL!A$3:A$282)</f>
        <v>19</v>
      </c>
      <c r="E11" s="49">
        <f t="shared" si="1"/>
        <v>1</v>
      </c>
      <c r="F11" s="49">
        <f t="shared" si="2"/>
        <v>0</v>
      </c>
    </row>
    <row r="12" spans="1:6" x14ac:dyDescent="0.2">
      <c r="A12" s="58" t="s">
        <v>331</v>
      </c>
      <c r="B12" s="56">
        <f>COUNTIF(LOOKUP!B$3:B$353,"=DONE")</f>
        <v>33</v>
      </c>
      <c r="C12" s="48">
        <f t="shared" si="0"/>
        <v>7</v>
      </c>
      <c r="D12" s="48">
        <f>COUNTA(LOOKUP!A$3:A$353)</f>
        <v>40</v>
      </c>
      <c r="E12" s="49">
        <f t="shared" si="1"/>
        <v>0.82499999999999996</v>
      </c>
      <c r="F12" s="49">
        <f t="shared" si="2"/>
        <v>1.3059701492537313E-2</v>
      </c>
    </row>
    <row r="13" spans="1:6" x14ac:dyDescent="0.2">
      <c r="A13" s="58" t="s">
        <v>543</v>
      </c>
      <c r="B13" s="56">
        <f>COUNTIF('MATH &amp; TRIG'!B$3:B$219,"=DONE")</f>
        <v>71</v>
      </c>
      <c r="C13" s="48">
        <f t="shared" si="0"/>
        <v>9</v>
      </c>
      <c r="D13" s="48">
        <f>COUNTA('MATH &amp; TRIG'!A$3:A$219)</f>
        <v>80</v>
      </c>
      <c r="E13" s="49">
        <f t="shared" si="1"/>
        <v>0.88749999999999996</v>
      </c>
      <c r="F13" s="49">
        <f t="shared" si="2"/>
        <v>1.6791044776119403E-2</v>
      </c>
    </row>
    <row r="14" spans="1:6" x14ac:dyDescent="0.2">
      <c r="A14" s="58" t="s">
        <v>548</v>
      </c>
      <c r="B14" s="56">
        <f>COUNTIF(STATISTICAL!B$3:B$197,"=DONE")</f>
        <v>111</v>
      </c>
      <c r="C14" s="48">
        <f t="shared" si="0"/>
        <v>0</v>
      </c>
      <c r="D14" s="48">
        <f>COUNTA(STATISTICAL!A$3:A$197)</f>
        <v>111</v>
      </c>
      <c r="E14" s="49">
        <f t="shared" si="1"/>
        <v>1</v>
      </c>
      <c r="F14" s="49">
        <f t="shared" si="2"/>
        <v>0</v>
      </c>
    </row>
    <row r="15" spans="1:6" x14ac:dyDescent="0.2">
      <c r="A15" s="58" t="s">
        <v>313</v>
      </c>
      <c r="B15" s="56">
        <f>COUNTIF(TEXT!B$3:B$265,"=DONE")</f>
        <v>44</v>
      </c>
      <c r="C15" s="48">
        <f t="shared" si="0"/>
        <v>6</v>
      </c>
      <c r="D15" s="48">
        <f>COUNTA(TEXT!A$3:A$265)</f>
        <v>50</v>
      </c>
      <c r="E15" s="49">
        <f t="shared" si="1"/>
        <v>0.88</v>
      </c>
      <c r="F15" s="49">
        <f t="shared" si="2"/>
        <v>1.1194029850746268E-2</v>
      </c>
    </row>
    <row r="16" spans="1:6" x14ac:dyDescent="0.2">
      <c r="A16" s="58" t="s">
        <v>606</v>
      </c>
      <c r="B16" s="56">
        <f>COUNTIF(WEB!B$3:B$263,"=DONE")</f>
        <v>0</v>
      </c>
      <c r="C16" s="48">
        <f t="shared" si="0"/>
        <v>3</v>
      </c>
      <c r="D16" s="48">
        <f>COUNTA(WEB!A$3:A$263)</f>
        <v>3</v>
      </c>
      <c r="E16" s="49">
        <f t="shared" si="1"/>
        <v>0</v>
      </c>
      <c r="F16" s="49">
        <f t="shared" si="2"/>
        <v>5.597014925373134E-3</v>
      </c>
    </row>
    <row r="17" spans="1:6" ht="17" thickBot="1" x14ac:dyDescent="0.25">
      <c r="A17" s="59" t="s">
        <v>554</v>
      </c>
      <c r="B17" s="54">
        <f>COUNTIF(OPERATORS!B$3:B$300,"=DONE")</f>
        <v>15</v>
      </c>
      <c r="C17" s="52">
        <f t="shared" si="0"/>
        <v>0</v>
      </c>
      <c r="D17" s="52">
        <f>COUNTA(OPERATORS!A$3:A$300)</f>
        <v>15</v>
      </c>
      <c r="E17" s="53">
        <f t="shared" si="1"/>
        <v>1</v>
      </c>
      <c r="F17" s="79">
        <f t="shared" si="2"/>
        <v>0</v>
      </c>
    </row>
    <row r="18" spans="1:6" x14ac:dyDescent="0.2">
      <c r="A18" s="57" t="s">
        <v>546</v>
      </c>
      <c r="B18" s="55">
        <f>SUM(B3:B17)</f>
        <v>483</v>
      </c>
      <c r="C18" s="50">
        <f>SUM(C3:C17)</f>
        <v>53</v>
      </c>
      <c r="D18" s="50">
        <f>SUM(D3:D17)</f>
        <v>536</v>
      </c>
      <c r="E18" s="70">
        <f t="shared" si="1"/>
        <v>0.90111940298507465</v>
      </c>
      <c r="F18" s="82">
        <f t="shared" si="2"/>
        <v>9.8880597014925367E-2</v>
      </c>
    </row>
    <row r="19" spans="1:6" x14ac:dyDescent="0.2">
      <c r="F19" s="60"/>
    </row>
    <row r="27" spans="1:6" ht="28" x14ac:dyDescent="0.4">
      <c r="A27" s="46"/>
      <c r="B27" s="46"/>
    </row>
  </sheetData>
  <mergeCells count="2">
    <mergeCell ref="A1:A2"/>
    <mergeCell ref="B1:F1"/>
  </mergeCells>
  <conditionalFormatting sqref="E3:E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8">
    <cfRule type="colorScale" priority="1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89E3-5E47-744A-A207-744C4379A77C}">
  <sheetPr codeName="Sheet2"/>
  <dimension ref="A1:AW5"/>
  <sheetViews>
    <sheetView workbookViewId="0">
      <selection activeCell="A5" sqref="A5"/>
    </sheetView>
  </sheetViews>
  <sheetFormatPr baseColWidth="10" defaultColWidth="10.83203125" defaultRowHeight="11" x14ac:dyDescent="0.15"/>
  <cols>
    <col min="1" max="1" width="14.5" style="42" bestFit="1" customWidth="1"/>
    <col min="2" max="2" width="5.1640625" style="41" bestFit="1" customWidth="1"/>
    <col min="3" max="3" width="1.5" style="4" bestFit="1" customWidth="1"/>
    <col min="4" max="4" width="2.5" style="4" bestFit="1" customWidth="1"/>
    <col min="5" max="6" width="2.83203125" style="4" bestFit="1" customWidth="1"/>
    <col min="7" max="7" width="3.1640625" style="4" bestFit="1" customWidth="1"/>
    <col min="8" max="8" width="4.6640625" style="4" bestFit="1" customWidth="1"/>
    <col min="9" max="9" width="6.6640625" style="4" bestFit="1" customWidth="1"/>
    <col min="10" max="10" width="3.6640625" style="4" bestFit="1" customWidth="1"/>
    <col min="11" max="11" width="5.6640625" style="4" bestFit="1" customWidth="1"/>
    <col min="12" max="12" width="3.6640625" style="4" bestFit="1" customWidth="1"/>
    <col min="13" max="13" width="5.1640625" style="4" bestFit="1" customWidth="1"/>
    <col min="14" max="14" width="5.6640625" style="4" bestFit="1" customWidth="1"/>
    <col min="15" max="15" width="4.6640625" style="4" bestFit="1" customWidth="1"/>
    <col min="16" max="16" width="4.83203125" style="4" bestFit="1" customWidth="1"/>
    <col min="17" max="17" width="4" style="4" bestFit="1" customWidth="1"/>
    <col min="18" max="18" width="4.83203125" style="4" bestFit="1" customWidth="1"/>
    <col min="19" max="19" width="5.6640625" style="4" bestFit="1" customWidth="1"/>
    <col min="20" max="20" width="4.83203125" style="4" bestFit="1" customWidth="1"/>
    <col min="21" max="21" width="5.1640625" style="4" bestFit="1" customWidth="1"/>
    <col min="22" max="22" width="4.83203125" style="4" bestFit="1" customWidth="1"/>
    <col min="23" max="23" width="5.83203125" style="4" bestFit="1" customWidth="1"/>
    <col min="24" max="26" width="5.6640625" style="4" bestFit="1" customWidth="1"/>
    <col min="27" max="27" width="3.6640625" style="4" bestFit="1" customWidth="1"/>
    <col min="28" max="29" width="5.6640625" style="4" bestFit="1" customWidth="1"/>
    <col min="30" max="30" width="4.6640625" style="4" bestFit="1" customWidth="1"/>
    <col min="31" max="31" width="4.83203125" style="4" bestFit="1" customWidth="1"/>
    <col min="32" max="32" width="4" style="4" bestFit="1" customWidth="1"/>
    <col min="33" max="33" width="9.83203125" style="4" bestFit="1" customWidth="1"/>
    <col min="34" max="34" width="4.83203125" style="4" bestFit="1" customWidth="1"/>
    <col min="35" max="35" width="5" style="4" bestFit="1" customWidth="1"/>
    <col min="36" max="36" width="3.83203125" style="4" bestFit="1" customWidth="1"/>
    <col min="37" max="37" width="3.5" style="4" bestFit="1" customWidth="1"/>
    <col min="38" max="38" width="5" style="4" bestFit="1" customWidth="1"/>
    <col min="39" max="39" width="4.83203125" style="4" bestFit="1" customWidth="1"/>
    <col min="40" max="40" width="6.1640625" style="4" bestFit="1" customWidth="1"/>
    <col min="41" max="49" width="6" style="4" bestFit="1" customWidth="1"/>
    <col min="50" max="16384" width="10.83203125" style="4"/>
  </cols>
  <sheetData>
    <row r="1" spans="1:49" x14ac:dyDescent="0.15">
      <c r="A1" s="42" t="s">
        <v>542</v>
      </c>
      <c r="B1" s="80">
        <f>COUNTIF(B3:B52,"=DONE")/COUNTA(A3:A52)</f>
        <v>0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49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49" x14ac:dyDescent="0.15">
      <c r="A3" s="40" t="s">
        <v>567</v>
      </c>
      <c r="H3" s="6"/>
      <c r="I3" s="16"/>
      <c r="J3" s="6"/>
      <c r="K3" s="6"/>
      <c r="L3" s="6"/>
      <c r="M3" s="7"/>
      <c r="N3" s="7"/>
      <c r="O3" s="7"/>
      <c r="P3" s="7"/>
      <c r="Q3" s="7"/>
    </row>
    <row r="4" spans="1:49" x14ac:dyDescent="0.15">
      <c r="A4" s="40" t="s">
        <v>588</v>
      </c>
      <c r="J4" s="6"/>
    </row>
    <row r="5" spans="1:49" x14ac:dyDescent="0.15">
      <c r="A5" s="40" t="s">
        <v>597</v>
      </c>
      <c r="H5" s="6"/>
      <c r="I5" s="6"/>
      <c r="J5" s="6"/>
      <c r="K5" s="6"/>
      <c r="L5" s="6"/>
      <c r="M5" s="7"/>
      <c r="N5" s="7"/>
      <c r="O5" s="7"/>
      <c r="P5" s="7"/>
      <c r="Q5" s="7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</sheetData>
  <mergeCells count="7">
    <mergeCell ref="C1:Q1"/>
    <mergeCell ref="R1:AW1"/>
    <mergeCell ref="C2:G2"/>
    <mergeCell ref="K2:Q2"/>
    <mergeCell ref="R2:V2"/>
    <mergeCell ref="Z2:AF2"/>
    <mergeCell ref="AH2:AW2"/>
  </mergeCells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5504-69CA-E540-89E9-50659E4CE027}">
  <sheetPr codeName="Sheet3">
    <tabColor rgb="FF00B050"/>
  </sheetPr>
  <dimension ref="A1:BK47"/>
  <sheetViews>
    <sheetView topLeftCell="O15" zoomScale="255" workbookViewId="0">
      <selection activeCell="V25" sqref="V25"/>
    </sheetView>
  </sheetViews>
  <sheetFormatPr baseColWidth="10" defaultColWidth="10.83203125" defaultRowHeight="11" x14ac:dyDescent="0.15"/>
  <cols>
    <col min="1" max="1" width="14.5" style="42" bestFit="1" customWidth="1"/>
    <col min="2" max="2" width="5.1640625" style="41" bestFit="1" customWidth="1"/>
    <col min="3" max="3" width="1.83203125" style="4" bestFit="1" customWidth="1"/>
    <col min="4" max="6" width="3" style="4" bestFit="1" customWidth="1"/>
    <col min="7" max="7" width="3.33203125" style="4" bestFit="1" customWidth="1"/>
    <col min="8" max="8" width="4.6640625" style="4" bestFit="1" customWidth="1"/>
    <col min="9" max="9" width="6.6640625" style="4" bestFit="1" customWidth="1"/>
    <col min="10" max="10" width="3.83203125" style="4" bestFit="1" customWidth="1"/>
    <col min="11" max="11" width="5.83203125" style="4" bestFit="1" customWidth="1"/>
    <col min="12" max="12" width="3.83203125" style="4" bestFit="1" customWidth="1"/>
    <col min="13" max="13" width="5.33203125" style="4" bestFit="1" customWidth="1"/>
    <col min="14" max="14" width="5.83203125" style="4" bestFit="1" customWidth="1"/>
    <col min="15" max="16" width="5" style="4" bestFit="1" customWidth="1"/>
    <col min="17" max="17" width="4.1640625" style="4" bestFit="1" customWidth="1"/>
    <col min="18" max="18" width="5" style="4" bestFit="1" customWidth="1"/>
    <col min="19" max="19" width="5.83203125" style="4" bestFit="1" customWidth="1"/>
    <col min="20" max="20" width="5" style="4" bestFit="1" customWidth="1"/>
    <col min="21" max="21" width="5.6640625" style="4" bestFit="1" customWidth="1"/>
    <col min="22" max="22" width="5" style="4" bestFit="1" customWidth="1"/>
    <col min="23" max="23" width="6" style="4" bestFit="1" customWidth="1"/>
    <col min="24" max="24" width="6.5" style="4" bestFit="1" customWidth="1"/>
    <col min="25" max="26" width="5.83203125" style="4" bestFit="1" customWidth="1"/>
    <col min="27" max="27" width="5.1640625" style="4" bestFit="1" customWidth="1"/>
    <col min="28" max="29" width="5.83203125" style="4" bestFit="1" customWidth="1"/>
    <col min="30" max="31" width="5" style="4" bestFit="1" customWidth="1"/>
    <col min="32" max="32" width="4.1640625" style="4" bestFit="1" customWidth="1"/>
    <col min="33" max="33" width="10" style="4" bestFit="1" customWidth="1"/>
    <col min="34" max="34" width="5.83203125" style="4" bestFit="1" customWidth="1"/>
    <col min="35" max="35" width="5.6640625" style="4" bestFit="1" customWidth="1"/>
    <col min="36" max="36" width="5" style="4" bestFit="1" customWidth="1"/>
    <col min="37" max="37" width="5.1640625" style="4" bestFit="1" customWidth="1"/>
    <col min="38" max="38" width="5.6640625" style="4" bestFit="1" customWidth="1"/>
    <col min="39" max="39" width="6.1640625" style="4" bestFit="1" customWidth="1"/>
    <col min="40" max="40" width="6.83203125" style="4" bestFit="1" customWidth="1"/>
    <col min="41" max="44" width="6.6640625" style="4" bestFit="1" customWidth="1"/>
    <col min="45" max="49" width="6.5" style="4" bestFit="1" customWidth="1"/>
    <col min="50" max="16384" width="10.83203125" style="4"/>
  </cols>
  <sheetData>
    <row r="1" spans="1:63" x14ac:dyDescent="0.15">
      <c r="A1" s="42" t="s">
        <v>542</v>
      </c>
      <c r="B1" s="80">
        <f>COUNTIF(B3:B97,"=DONE")/COUNTA(A3:A97)</f>
        <v>1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63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63" x14ac:dyDescent="0.15">
      <c r="A3" s="35" t="s">
        <v>449</v>
      </c>
      <c r="B3" s="36" t="s">
        <v>541</v>
      </c>
      <c r="C3" s="4">
        <v>0</v>
      </c>
      <c r="D3" s="4">
        <v>5</v>
      </c>
      <c r="E3" s="4">
        <v>0.7</v>
      </c>
      <c r="F3" s="4">
        <v>3</v>
      </c>
      <c r="G3" s="4">
        <v>4</v>
      </c>
      <c r="H3" s="6"/>
      <c r="I3" s="16" t="s">
        <v>444</v>
      </c>
      <c r="J3" s="6" t="b">
        <v>1</v>
      </c>
      <c r="K3" s="6" t="e">
        <v>#VALUE!</v>
      </c>
      <c r="L3" s="6" t="e">
        <v>#N/A</v>
      </c>
      <c r="M3" s="7" t="e">
        <v>#DIV/0!</v>
      </c>
      <c r="N3" s="7" t="e">
        <v>#NAME?</v>
      </c>
      <c r="O3" s="7" t="e">
        <v>#NULL!</v>
      </c>
      <c r="P3" s="7" t="e">
        <v>#NUM!</v>
      </c>
      <c r="Q3" s="7" t="e">
        <v>#REF!</v>
      </c>
      <c r="R3" s="6" t="e">
        <f>BETADIST(C3,,,)</f>
        <v>#NUM!</v>
      </c>
      <c r="S3" s="6" t="e">
        <f>BETADIST(D3,1,2)</f>
        <v>#NUM!</v>
      </c>
      <c r="T3" s="6">
        <f>BETADIST(E3,"1","3", 0.5, 5)</f>
        <v>0.12749519890260627</v>
      </c>
      <c r="U3" s="6" t="e">
        <f>BETADIST(F3,-1,2)</f>
        <v>#NUM!</v>
      </c>
      <c r="V3" s="6" t="e">
        <f>BETADIST(G3, 0,0)</f>
        <v>#NUM!</v>
      </c>
      <c r="W3" s="6" t="e">
        <f>BETADIST(H3,H3,G3)</f>
        <v>#NUM!</v>
      </c>
      <c r="X3" s="6" t="e">
        <f>BETADIST(I3,,I3)</f>
        <v>#NUM!</v>
      </c>
      <c r="Y3" s="6">
        <f>BETADIST(J3,I3,E3)</f>
        <v>1</v>
      </c>
      <c r="Z3" s="6" t="e">
        <f>BETADIST(K3,I3,G3)</f>
        <v>#VALUE!</v>
      </c>
      <c r="AA3" s="6" t="e">
        <f t="shared" ref="AA3:AF3" si="0">BETADIST(L3,J3,H3)</f>
        <v>#N/A</v>
      </c>
      <c r="AB3" s="6" t="e">
        <f t="shared" si="0"/>
        <v>#DIV/0!</v>
      </c>
      <c r="AC3" s="6" t="e">
        <f t="shared" si="0"/>
        <v>#NAME?</v>
      </c>
      <c r="AD3" s="6" t="e">
        <f t="shared" si="0"/>
        <v>#NULL!</v>
      </c>
      <c r="AE3" s="6" t="e">
        <f t="shared" si="0"/>
        <v>#NUM!</v>
      </c>
      <c r="AF3" s="6" t="e">
        <f t="shared" si="0"/>
        <v>#REF!</v>
      </c>
      <c r="AG3" s="6">
        <f t="array" ref="AG3">BETADIST(C3:Q3,3,3)</f>
        <v>0</v>
      </c>
      <c r="AH3" s="6">
        <f t="array" ref="AH3:AW3">BETADIST(C3:Q3,3,4)</f>
        <v>0</v>
      </c>
      <c r="AI3" s="6" t="e">
        <v>#NUM!</v>
      </c>
      <c r="AJ3" s="6">
        <v>0.92952999999999997</v>
      </c>
      <c r="AK3" s="6" t="e">
        <v>#NUM!</v>
      </c>
      <c r="AL3" s="6" t="e">
        <v>#NUM!</v>
      </c>
      <c r="AM3" s="6">
        <v>0</v>
      </c>
      <c r="AN3" s="6" t="e">
        <v>#NUM!</v>
      </c>
      <c r="AO3" s="6">
        <v>1</v>
      </c>
      <c r="AP3" s="6" t="e">
        <v>#VALUE!</v>
      </c>
      <c r="AQ3" s="6" t="e">
        <v>#N/A</v>
      </c>
      <c r="AR3" s="6" t="e">
        <v>#DIV/0!</v>
      </c>
      <c r="AS3" s="6" t="e">
        <v>#NAME?</v>
      </c>
      <c r="AT3" s="6" t="e">
        <v>#NULL!</v>
      </c>
      <c r="AU3" s="6" t="e">
        <v>#NUM!</v>
      </c>
      <c r="AV3" s="6" t="e">
        <v>#REF!</v>
      </c>
      <c r="AW3" s="4" t="e">
        <v>#N/A</v>
      </c>
    </row>
    <row r="4" spans="1:63" x14ac:dyDescent="0.15">
      <c r="A4" s="35" t="s">
        <v>450</v>
      </c>
      <c r="B4" s="36" t="s">
        <v>541</v>
      </c>
      <c r="C4" s="4">
        <v>0</v>
      </c>
      <c r="D4" s="4">
        <v>0.1</v>
      </c>
      <c r="E4" s="4">
        <v>0.7</v>
      </c>
      <c r="F4" s="4">
        <v>2E-3</v>
      </c>
      <c r="G4" s="4">
        <v>4</v>
      </c>
      <c r="H4" s="6"/>
      <c r="I4" s="16" t="s">
        <v>785</v>
      </c>
      <c r="J4" s="6" t="b">
        <v>1</v>
      </c>
      <c r="K4" s="6" t="e">
        <v>#VALUE!</v>
      </c>
      <c r="L4" s="6" t="e">
        <v>#N/A</v>
      </c>
      <c r="M4" s="7" t="e">
        <v>#DIV/0!</v>
      </c>
      <c r="N4" s="7" t="e">
        <v>#NAME?</v>
      </c>
      <c r="O4" s="7" t="e">
        <v>#NULL!</v>
      </c>
      <c r="P4" s="7" t="e">
        <v>#NUM!</v>
      </c>
      <c r="Q4" s="7" t="e">
        <v>#REF!</v>
      </c>
      <c r="R4" s="6" t="e">
        <f>BETAINV(C4,4,4)</f>
        <v>#NUM!</v>
      </c>
      <c r="S4" s="6">
        <f>BETAINV(D4,2,2)</f>
        <v>0.19580010565909176</v>
      </c>
      <c r="T4" s="6">
        <f>BETAINV(0.4,2,E4)</f>
        <v>0.73329229214669267</v>
      </c>
      <c r="U4" s="6">
        <f>BETAINV(F4,4,3)</f>
        <v>0.11264101251174523</v>
      </c>
      <c r="V4" s="6" t="e">
        <f>BETAINV(G4,D4,E4)</f>
        <v>#NUM!</v>
      </c>
      <c r="W4" s="6" t="e">
        <f>BETAINV(H4,3,2)</f>
        <v>#NUM!</v>
      </c>
      <c r="X4" s="6">
        <f>BETAINV(0.9,I4, 1)</f>
        <v>0.99192809911932889</v>
      </c>
      <c r="Y4" s="6">
        <f>BETAINV(0.3,J4,2)</f>
        <v>0.16333997346592444</v>
      </c>
      <c r="Z4" s="6" t="e">
        <f>BETAINV(K4,C4,E4)</f>
        <v>#VALUE!</v>
      </c>
      <c r="AA4" s="6" t="e">
        <f t="shared" ref="AA4:AF4" si="1">BETAINV(L4,D4,F4)</f>
        <v>#N/A</v>
      </c>
      <c r="AB4" s="6" t="e">
        <f t="shared" si="1"/>
        <v>#DIV/0!</v>
      </c>
      <c r="AC4" s="6" t="e">
        <f t="shared" si="1"/>
        <v>#NAME?</v>
      </c>
      <c r="AD4" s="6" t="e">
        <f t="shared" si="1"/>
        <v>#NULL!</v>
      </c>
      <c r="AE4" s="6" t="e">
        <f t="shared" si="1"/>
        <v>#NUM!</v>
      </c>
      <c r="AF4" s="6" t="e">
        <f t="shared" si="1"/>
        <v>#REF!</v>
      </c>
      <c r="AG4" s="6" t="e">
        <f t="array" ref="AG4">BETAINV(C4:Q4,3,3)</f>
        <v>#NUM!</v>
      </c>
      <c r="AH4" s="6" t="e">
        <f t="array" ref="AH4:AW4">BETAINV(C4:Q4, 3,2)</f>
        <v>#NUM!</v>
      </c>
      <c r="AI4" s="6">
        <v>0.32046058372181835</v>
      </c>
      <c r="AJ4" s="6">
        <v>0.72761605792489459</v>
      </c>
      <c r="AK4" s="6">
        <v>8.1046635604677369E-2</v>
      </c>
      <c r="AL4" s="6" t="e">
        <v>#NUM!</v>
      </c>
      <c r="AM4" s="6" t="e">
        <v>#NUM!</v>
      </c>
      <c r="AN4" s="6" t="e">
        <v>#NUM!</v>
      </c>
      <c r="AO4" s="6" t="e">
        <v>#NUM!</v>
      </c>
      <c r="AP4" s="6" t="e">
        <v>#VALUE!</v>
      </c>
      <c r="AQ4" s="6" t="e">
        <v>#N/A</v>
      </c>
      <c r="AR4" s="6" t="e">
        <v>#DIV/0!</v>
      </c>
      <c r="AS4" s="6" t="e">
        <v>#NAME?</v>
      </c>
      <c r="AT4" s="6" t="e">
        <v>#NULL!</v>
      </c>
      <c r="AU4" s="6" t="e">
        <v>#NUM!</v>
      </c>
      <c r="AV4" s="6" t="e">
        <v>#REF!</v>
      </c>
      <c r="AW4" s="4" t="e">
        <v>#N/A</v>
      </c>
    </row>
    <row r="5" spans="1:63" x14ac:dyDescent="0.15">
      <c r="A5" s="35" t="s">
        <v>451</v>
      </c>
      <c r="B5" s="36" t="s">
        <v>541</v>
      </c>
      <c r="C5" s="4">
        <v>0</v>
      </c>
      <c r="D5" s="4">
        <v>5</v>
      </c>
      <c r="E5" s="4">
        <v>0.7</v>
      </c>
      <c r="F5" s="4">
        <v>3</v>
      </c>
      <c r="G5" s="4">
        <v>4</v>
      </c>
      <c r="H5" s="6"/>
      <c r="I5" s="16" t="s">
        <v>444</v>
      </c>
      <c r="J5" s="6" t="b">
        <v>1</v>
      </c>
      <c r="K5" s="6" t="e">
        <v>#VALUE!</v>
      </c>
      <c r="L5" s="6" t="e">
        <v>#N/A</v>
      </c>
      <c r="M5" s="7" t="e">
        <v>#DIV/0!</v>
      </c>
      <c r="N5" s="7" t="e">
        <v>#NAME?</v>
      </c>
      <c r="O5" s="7" t="e">
        <v>#NULL!</v>
      </c>
      <c r="P5" s="7" t="e">
        <v>#NUM!</v>
      </c>
      <c r="Q5" s="7" t="e">
        <v>#REF!</v>
      </c>
      <c r="R5" s="6">
        <f>BINOMDIST(C5,,,)</f>
        <v>1</v>
      </c>
      <c r="S5" s="6">
        <f>BINOMDIST(D5,10,0.2,FALSE)</f>
        <v>2.6424115200000015E-2</v>
      </c>
      <c r="T5" s="6">
        <f>BINOMDIST(E5,"1",".3",5)</f>
        <v>0.7</v>
      </c>
      <c r="U5" s="6" t="e">
        <f>BINOMDIST(F5,-1,0.2,"TRUE")</f>
        <v>#NUM!</v>
      </c>
      <c r="V5" s="6">
        <f>BINOMDIST(G5, 7,0.4,1)</f>
        <v>0.90374399999999999</v>
      </c>
      <c r="W5" s="6">
        <f>BINOMDIST(H5,H5,G5/7,1)</f>
        <v>1</v>
      </c>
      <c r="X5" s="6">
        <f>BINOMDIST(I5,I5,,1)</f>
        <v>1</v>
      </c>
      <c r="Y5" s="6">
        <f>BINOMDIST(J5,I5,E5,1)</f>
        <v>5.9771533168054754E-30</v>
      </c>
      <c r="Z5" s="6" t="e">
        <f>BINOMDIST(K5,I5,G5,1)</f>
        <v>#VALUE!</v>
      </c>
      <c r="AA5" s="6" t="e">
        <f>BINOMDIST(L5,J5,H5,1)</f>
        <v>#N/A</v>
      </c>
      <c r="AB5" s="6" t="e">
        <f t="shared" ref="AB5:AF5" si="2">BINOMDIST(M5,K5,I5,1)</f>
        <v>#DIV/0!</v>
      </c>
      <c r="AC5" s="6" t="e">
        <f t="shared" si="2"/>
        <v>#NAME?</v>
      </c>
      <c r="AD5" s="6" t="e">
        <f t="shared" si="2"/>
        <v>#NULL!</v>
      </c>
      <c r="AE5" s="6" t="e">
        <f t="shared" si="2"/>
        <v>#NUM!</v>
      </c>
      <c r="AF5" s="6" t="e">
        <f t="shared" si="2"/>
        <v>#REF!</v>
      </c>
      <c r="AG5" s="6">
        <f t="array" ref="AG5">BINOMDIST(C5:Q5,3,0.3,1)</f>
        <v>0.34300000000000003</v>
      </c>
      <c r="AH5" s="6">
        <f t="array" ref="AH5:AW5">BINOMDIST(C5:Q5,3,0.4,1)</f>
        <v>0.21599999999999997</v>
      </c>
      <c r="AI5" s="6" t="e">
        <v>#NUM!</v>
      </c>
      <c r="AJ5" s="6">
        <v>0.21599999999999997</v>
      </c>
      <c r="AK5" s="6">
        <v>1</v>
      </c>
      <c r="AL5" s="6" t="e">
        <v>#NUM!</v>
      </c>
      <c r="AM5" s="6">
        <v>0.21599999999999997</v>
      </c>
      <c r="AN5" s="6" t="e">
        <v>#NUM!</v>
      </c>
      <c r="AO5" s="6">
        <v>0.64800000000000002</v>
      </c>
      <c r="AP5" s="6" t="e">
        <v>#VALUE!</v>
      </c>
      <c r="AQ5" s="6" t="e">
        <v>#N/A</v>
      </c>
      <c r="AR5" s="6" t="e">
        <v>#DIV/0!</v>
      </c>
      <c r="AS5" s="6" t="e">
        <v>#NAME?</v>
      </c>
      <c r="AT5" s="6" t="e">
        <v>#NULL!</v>
      </c>
      <c r="AU5" s="6" t="e">
        <v>#NUM!</v>
      </c>
      <c r="AV5" s="6" t="e">
        <v>#REF!</v>
      </c>
      <c r="AW5" s="4" t="e">
        <v>#N/A</v>
      </c>
    </row>
    <row r="6" spans="1:63" x14ac:dyDescent="0.15">
      <c r="A6" s="37" t="s">
        <v>45</v>
      </c>
      <c r="B6" s="36" t="s">
        <v>541</v>
      </c>
      <c r="C6" s="4">
        <v>2.5</v>
      </c>
      <c r="D6" s="4">
        <v>-255.5</v>
      </c>
      <c r="E6" s="4">
        <v>-2.5</v>
      </c>
      <c r="F6" s="4">
        <v>5</v>
      </c>
      <c r="G6" s="4">
        <v>0.23400000000000001</v>
      </c>
      <c r="H6" s="6"/>
      <c r="I6" s="6" t="s">
        <v>32</v>
      </c>
      <c r="J6" s="6" t="b">
        <v>1</v>
      </c>
      <c r="K6" s="6" t="e">
        <v>#VALUE!</v>
      </c>
      <c r="L6" s="6" t="e">
        <v>#N/A</v>
      </c>
      <c r="M6" s="7" t="e">
        <v>#DIV/0!</v>
      </c>
      <c r="N6" s="7" t="e">
        <v>#NAME?</v>
      </c>
      <c r="O6" s="7" t="e">
        <v>#NULL!</v>
      </c>
      <c r="P6" s="7" t="e">
        <v>#NUM!</v>
      </c>
      <c r="Q6" s="7" t="e">
        <v>#REF!</v>
      </c>
      <c r="R6" s="6">
        <f>CEILING(C6,1)</f>
        <v>3</v>
      </c>
      <c r="S6" s="6">
        <f>CEILING(D6,-2)</f>
        <v>-256</v>
      </c>
      <c r="T6" s="6">
        <f>CEILING(E6,2)</f>
        <v>-2</v>
      </c>
      <c r="U6" s="6">
        <f>CEILING(F6,0)</f>
        <v>0</v>
      </c>
      <c r="V6" s="6">
        <f>CEILING(G6,0.01)</f>
        <v>0.24</v>
      </c>
      <c r="W6" s="6">
        <f>CEILING(H6,-2)</f>
        <v>0</v>
      </c>
      <c r="X6" s="6" t="e" vm="1">
        <f>CEILING(I6,0)</f>
        <v>#VALUE!</v>
      </c>
      <c r="Y6" s="6">
        <f>CEILING(J6,0)</f>
        <v>0</v>
      </c>
      <c r="Z6" s="6" t="e">
        <f>CEILING(2.3,K6)</f>
        <v>#VALUE!</v>
      </c>
      <c r="AA6" s="6" t="e">
        <f t="shared" ref="AA6:AF6" si="3">CEILING(2.3,L6)</f>
        <v>#N/A</v>
      </c>
      <c r="AB6" s="6" t="e">
        <f t="shared" si="3"/>
        <v>#DIV/0!</v>
      </c>
      <c r="AC6" s="6" t="e">
        <f t="shared" si="3"/>
        <v>#NAME?</v>
      </c>
      <c r="AD6" s="6" t="e">
        <f t="shared" si="3"/>
        <v>#NULL!</v>
      </c>
      <c r="AE6" s="6" t="e">
        <f t="shared" si="3"/>
        <v>#NUM!</v>
      </c>
      <c r="AF6" s="6" t="e">
        <f t="shared" si="3"/>
        <v>#REF!</v>
      </c>
      <c r="AG6" s="8"/>
      <c r="AH6" s="6" t="e">
        <f t="array" ref="AH6:AW6">CEILING(C6:P6,D6:Q6)</f>
        <v>#NUM!</v>
      </c>
      <c r="AI6" s="6">
        <v>-257.5</v>
      </c>
      <c r="AJ6" s="6">
        <v>0</v>
      </c>
      <c r="AK6" s="6">
        <v>5.1480000000000006</v>
      </c>
      <c r="AL6" s="6">
        <v>0</v>
      </c>
      <c r="AM6" s="6" t="e" vm="1">
        <v>#VALUE!</v>
      </c>
      <c r="AN6" s="6" t="e" vm="1">
        <v>#VALUE!</v>
      </c>
      <c r="AO6" s="6" t="e">
        <v>#VALUE!</v>
      </c>
      <c r="AP6" s="6" t="e">
        <v>#VALUE!</v>
      </c>
      <c r="AQ6" s="6" t="e">
        <v>#N/A</v>
      </c>
      <c r="AR6" s="6" t="e">
        <v>#DIV/0!</v>
      </c>
      <c r="AS6" s="6" t="e">
        <v>#NAME?</v>
      </c>
      <c r="AT6" s="6" t="e">
        <v>#NULL!</v>
      </c>
      <c r="AU6" s="6" t="e">
        <v>#NUM!</v>
      </c>
      <c r="AV6" s="6" t="e">
        <v>#N/A</v>
      </c>
      <c r="AW6" s="4" t="e">
        <v>#N/A</v>
      </c>
    </row>
    <row r="7" spans="1:63" x14ac:dyDescent="0.15">
      <c r="A7" s="35" t="s">
        <v>452</v>
      </c>
      <c r="B7" s="36" t="s">
        <v>541</v>
      </c>
      <c r="C7" s="4">
        <v>0</v>
      </c>
      <c r="D7" s="4">
        <v>5</v>
      </c>
      <c r="E7" s="4">
        <v>0.7</v>
      </c>
      <c r="F7" s="4">
        <v>3</v>
      </c>
      <c r="G7" s="4">
        <v>4</v>
      </c>
      <c r="H7" s="6"/>
      <c r="I7" s="16" t="s">
        <v>444</v>
      </c>
      <c r="J7" s="6" t="b">
        <v>1</v>
      </c>
      <c r="K7" s="6" t="e">
        <v>#VALUE!</v>
      </c>
      <c r="L7" s="6" t="e">
        <v>#N/A</v>
      </c>
      <c r="M7" s="7" t="e">
        <v>#DIV/0!</v>
      </c>
      <c r="N7" s="7" t="e">
        <v>#NAME?</v>
      </c>
      <c r="O7" s="7" t="e">
        <v>#NULL!</v>
      </c>
      <c r="P7" s="7" t="e">
        <v>#NUM!</v>
      </c>
      <c r="Q7" s="7" t="e">
        <v>#REF!</v>
      </c>
      <c r="R7" s="6" t="e">
        <f>CHIDIST(C7,)</f>
        <v>#NUM!</v>
      </c>
      <c r="S7" s="6">
        <f>CHIDIST(D7,10)</f>
        <v>0.89117801891415127</v>
      </c>
      <c r="T7" s="6">
        <f>CHIDIST(E7,"1")</f>
        <v>0.4027836942464757</v>
      </c>
      <c r="U7" s="6" t="e">
        <f>CHIDIST(F7,-1)</f>
        <v>#NUM!</v>
      </c>
      <c r="V7" s="6">
        <f>CHIDIST(G7, 7)</f>
        <v>0.77977740847571586</v>
      </c>
      <c r="W7" s="6" t="e">
        <f>CHIDIST(H7,H7)</f>
        <v>#NUM!</v>
      </c>
      <c r="X7" s="6">
        <f t="shared" ref="X7:AF7" si="4">CHIDIST(I7,I7)</f>
        <v>0.47571698610631996</v>
      </c>
      <c r="Y7" s="6">
        <f t="shared" si="4"/>
        <v>0.31731050786291398</v>
      </c>
      <c r="Z7" s="6" t="e">
        <f t="shared" si="4"/>
        <v>#VALUE!</v>
      </c>
      <c r="AA7" s="6" t="e">
        <f t="shared" si="4"/>
        <v>#N/A</v>
      </c>
      <c r="AB7" s="6" t="e">
        <f t="shared" si="4"/>
        <v>#DIV/0!</v>
      </c>
      <c r="AC7" s="6" t="e">
        <f t="shared" si="4"/>
        <v>#NAME?</v>
      </c>
      <c r="AD7" s="6" t="e">
        <f t="shared" si="4"/>
        <v>#NULL!</v>
      </c>
      <c r="AE7" s="6" t="e">
        <f t="shared" si="4"/>
        <v>#NUM!</v>
      </c>
      <c r="AF7" s="6" t="e">
        <f t="shared" si="4"/>
        <v>#REF!</v>
      </c>
      <c r="AG7" s="6">
        <f t="array" ref="AG7">CHIDIST(C7:Q7,3)</f>
        <v>1</v>
      </c>
      <c r="AH7" s="6">
        <f t="array" ref="AH7:AW7">CHIDIST(C7:Q7,3)</f>
        <v>1</v>
      </c>
      <c r="AI7" s="6">
        <v>0.1717971442967331</v>
      </c>
      <c r="AJ7" s="6">
        <v>0.87320394906395415</v>
      </c>
      <c r="AK7" s="6">
        <v>0.39162517627108884</v>
      </c>
      <c r="AL7" s="6">
        <v>0.26146412994911056</v>
      </c>
      <c r="AM7" s="6">
        <v>1</v>
      </c>
      <c r="AN7" s="6">
        <v>5.8782307279069062E-13</v>
      </c>
      <c r="AO7" s="6">
        <v>0.80125195690120088</v>
      </c>
      <c r="AP7" s="6" t="e">
        <v>#VALUE!</v>
      </c>
      <c r="AQ7" s="6" t="e">
        <v>#N/A</v>
      </c>
      <c r="AR7" s="6" t="e">
        <v>#DIV/0!</v>
      </c>
      <c r="AS7" s="6" t="e">
        <v>#NAME?</v>
      </c>
      <c r="AT7" s="6" t="e">
        <v>#NULL!</v>
      </c>
      <c r="AU7" s="6" t="e">
        <v>#NUM!</v>
      </c>
      <c r="AV7" s="6" t="e">
        <v>#REF!</v>
      </c>
      <c r="AW7" s="4" t="e">
        <v>#N/A</v>
      </c>
    </row>
    <row r="8" spans="1:63" x14ac:dyDescent="0.15">
      <c r="A8" s="35" t="s">
        <v>453</v>
      </c>
      <c r="B8" s="36" t="s">
        <v>541</v>
      </c>
      <c r="C8" s="4">
        <v>10</v>
      </c>
      <c r="D8" s="4">
        <v>0.1</v>
      </c>
      <c r="E8" s="4">
        <v>0.7</v>
      </c>
      <c r="F8" s="4">
        <v>100</v>
      </c>
      <c r="G8" s="4">
        <v>4</v>
      </c>
      <c r="H8" s="6"/>
      <c r="I8" s="16" t="s">
        <v>785</v>
      </c>
      <c r="J8" s="6" t="b">
        <v>1</v>
      </c>
      <c r="K8" s="6" t="e">
        <v>#VALUE!</v>
      </c>
      <c r="L8" s="6" t="e">
        <v>#N/A</v>
      </c>
      <c r="M8" s="7" t="e">
        <v>#DIV/0!</v>
      </c>
      <c r="N8" s="7" t="e">
        <v>#NAME?</v>
      </c>
      <c r="O8" s="7" t="e">
        <v>#NULL!</v>
      </c>
      <c r="P8" s="7" t="e">
        <v>#NUM!</v>
      </c>
      <c r="Q8" s="7" t="e">
        <v>#REF!</v>
      </c>
      <c r="R8" s="6" t="e">
        <f>CHIINV(C8,0.4)</f>
        <v>#NUM!</v>
      </c>
      <c r="S8" s="6">
        <f>CHIINV(D8,9)</f>
        <v>14.683656573259835</v>
      </c>
      <c r="T8" s="6" t="e">
        <f>CHIINV(0.4,E8)</f>
        <v>#NUM!</v>
      </c>
      <c r="U8" s="6">
        <f>CHIINV(0.01, F8)</f>
        <v>135.80672317102679</v>
      </c>
      <c r="V8" s="6">
        <f>CHIINV(D8,G8)</f>
        <v>7.7794403397348582</v>
      </c>
      <c r="W8" s="6" t="e">
        <f>CHIINV(H8,3)</f>
        <v>#NUM!</v>
      </c>
      <c r="X8" s="6">
        <f>CHIINV(0.9,I8)</f>
        <v>7.0415045800954621</v>
      </c>
      <c r="Y8" s="6">
        <f>CHIINV(0.3,J8)</f>
        <v>1.0741941708575857</v>
      </c>
      <c r="Z8" s="6" t="e">
        <f>CHIINV(K8,C8)</f>
        <v>#VALUE!</v>
      </c>
      <c r="AA8" s="6" t="e">
        <f t="shared" ref="AA8:AF8" si="5">CHIINV(L8,D8)</f>
        <v>#N/A</v>
      </c>
      <c r="AB8" s="6" t="e">
        <f t="shared" si="5"/>
        <v>#DIV/0!</v>
      </c>
      <c r="AC8" s="6" t="e">
        <f t="shared" si="5"/>
        <v>#NAME?</v>
      </c>
      <c r="AD8" s="6" t="e">
        <f t="shared" si="5"/>
        <v>#NULL!</v>
      </c>
      <c r="AE8" s="6" t="e">
        <f t="shared" si="5"/>
        <v>#NUM!</v>
      </c>
      <c r="AF8" s="6" t="e">
        <f t="shared" si="5"/>
        <v>#REF!</v>
      </c>
      <c r="AG8" s="6">
        <f t="array" ref="AG8">CHIINV(0.6, C8:Q8)</f>
        <v>8.2954717609410853</v>
      </c>
      <c r="AH8" s="6">
        <f t="array" ref="AH8:AW8">CHIINV(0.5, C8:Q8)</f>
        <v>9.3418177655919656</v>
      </c>
      <c r="AI8" s="6" t="e">
        <v>#NUM!</v>
      </c>
      <c r="AJ8" s="6" t="e">
        <v>#NUM!</v>
      </c>
      <c r="AK8" s="6">
        <v>99.334129235988456</v>
      </c>
      <c r="AL8" s="6">
        <v>3.3566939800333211</v>
      </c>
      <c r="AM8" s="6" t="e">
        <v>#NUM!</v>
      </c>
      <c r="AN8" s="6">
        <v>12.3397558825639</v>
      </c>
      <c r="AO8" s="6">
        <v>0.45493642311957289</v>
      </c>
      <c r="AP8" s="6" t="e">
        <v>#VALUE!</v>
      </c>
      <c r="AQ8" s="6" t="e">
        <v>#N/A</v>
      </c>
      <c r="AR8" s="6" t="e">
        <v>#DIV/0!</v>
      </c>
      <c r="AS8" s="6" t="e">
        <v>#NAME?</v>
      </c>
      <c r="AT8" s="6" t="e">
        <v>#NULL!</v>
      </c>
      <c r="AU8" s="6" t="e">
        <v>#NUM!</v>
      </c>
      <c r="AV8" s="6" t="e">
        <v>#REF!</v>
      </c>
      <c r="AW8" s="4" t="e">
        <v>#N/A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</row>
    <row r="9" spans="1:63" x14ac:dyDescent="0.15">
      <c r="A9" s="35" t="s">
        <v>454</v>
      </c>
      <c r="B9" s="36" t="s">
        <v>541</v>
      </c>
      <c r="C9" s="4">
        <v>10</v>
      </c>
      <c r="D9" s="4">
        <v>3.2</v>
      </c>
      <c r="E9" s="4">
        <v>0.7</v>
      </c>
      <c r="F9" s="4">
        <v>2</v>
      </c>
      <c r="G9" s="4">
        <v>4</v>
      </c>
      <c r="H9" s="6"/>
      <c r="I9" s="16" t="s">
        <v>785</v>
      </c>
      <c r="J9" s="6" t="b">
        <v>1</v>
      </c>
      <c r="K9" s="6" t="e">
        <v>#VALUE!</v>
      </c>
      <c r="L9" s="6" t="e">
        <v>#N/A</v>
      </c>
      <c r="M9" s="7" t="e">
        <v>#DIV/0!</v>
      </c>
      <c r="N9" s="7" t="e">
        <v>#NAME?</v>
      </c>
      <c r="O9" s="7" t="e">
        <v>#NULL!</v>
      </c>
      <c r="P9" s="7" t="e">
        <v>#NUM!</v>
      </c>
      <c r="Q9" s="7" t="e">
        <v>#REF!</v>
      </c>
      <c r="R9" s="18">
        <f>CHITEST(C8:D9,E6:E9)</f>
        <v>4.6026647921927154E-17</v>
      </c>
      <c r="S9" s="6" t="e">
        <f>CHITEST(D9:E9,E9:G9)</f>
        <v>#N/A</v>
      </c>
      <c r="T9" s="6">
        <f>CHITEST(E9:F9,G9:H9)</f>
        <v>9.8942936067296192E-2</v>
      </c>
      <c r="U9" s="6" t="e">
        <f>CHITEST(D9,F9)</f>
        <v>#N/A</v>
      </c>
      <c r="V9" s="6" t="e">
        <f>CHITEST(G9:I9,H9:J9)</f>
        <v>#DIV/0!</v>
      </c>
      <c r="W9" s="6" t="e">
        <f>CHITEST(H9:I9,J9:K9)</f>
        <v>#VALUE!</v>
      </c>
      <c r="X9" s="6" t="e">
        <f t="shared" ref="X9:AE9" si="6">CHITEST(I9:J9,K9:L9)</f>
        <v>#VALUE!</v>
      </c>
      <c r="Y9" s="6" t="e">
        <f t="shared" si="6"/>
        <v>#VALUE!</v>
      </c>
      <c r="Z9" s="6" t="e">
        <f t="shared" si="6"/>
        <v>#VALUE!</v>
      </c>
      <c r="AA9" s="6" t="e">
        <f t="shared" si="6"/>
        <v>#N/A</v>
      </c>
      <c r="AB9" s="6" t="e">
        <f t="shared" si="6"/>
        <v>#DIV/0!</v>
      </c>
      <c r="AC9" s="6" t="e">
        <f t="shared" si="6"/>
        <v>#NAME?</v>
      </c>
      <c r="AD9" s="6" t="e">
        <f t="shared" si="6"/>
        <v>#NUM!</v>
      </c>
      <c r="AE9" s="6" t="e">
        <f t="shared" si="6"/>
        <v>#NUM!</v>
      </c>
      <c r="AF9" s="6" t="e">
        <f>CHITEST(Q9:R9,S9:T9)</f>
        <v>#REF!</v>
      </c>
      <c r="AG9" s="6">
        <f t="array" ref="AG9">CHITEST(C8:D9, F8:G9)</f>
        <v>2.9254701390647169E-27</v>
      </c>
      <c r="AH9" s="71">
        <f t="array" ref="AH9:AW9">CHITEST(D9:E9, E9:F9)</f>
        <v>1.7703822336132488E-3</v>
      </c>
      <c r="AI9" s="6">
        <v>1.7703822336132488E-3</v>
      </c>
      <c r="AJ9" s="6">
        <v>1.7703822336132488E-3</v>
      </c>
      <c r="AK9" s="6">
        <v>1.7703822336132488E-3</v>
      </c>
      <c r="AL9" s="6">
        <v>1.7703822336132488E-3</v>
      </c>
      <c r="AM9" s="6">
        <v>1.7703822336132488E-3</v>
      </c>
      <c r="AN9" s="6">
        <v>1.7703822336132488E-3</v>
      </c>
      <c r="AO9" s="6">
        <v>1.7703822336132488E-3</v>
      </c>
      <c r="AP9" s="6">
        <v>1.7703822336132488E-3</v>
      </c>
      <c r="AQ9" s="6">
        <v>1.7703822336132488E-3</v>
      </c>
      <c r="AR9" s="6">
        <v>1.7703822336132488E-3</v>
      </c>
      <c r="AS9" s="6">
        <v>1.7703822336132488E-3</v>
      </c>
      <c r="AT9" s="6">
        <v>1.7703822336132488E-3</v>
      </c>
      <c r="AU9" s="6">
        <v>1.7703822336132488E-3</v>
      </c>
      <c r="AV9" s="6">
        <v>1.7703822336132488E-3</v>
      </c>
      <c r="AW9" s="4">
        <v>1.7703822336132488E-3</v>
      </c>
    </row>
    <row r="10" spans="1:63" x14ac:dyDescent="0.15">
      <c r="A10" s="35" t="s">
        <v>455</v>
      </c>
      <c r="B10" s="36" t="s">
        <v>541</v>
      </c>
      <c r="C10" s="4">
        <v>0.1</v>
      </c>
      <c r="D10" s="4">
        <v>0.32</v>
      </c>
      <c r="E10" s="4">
        <v>0.7</v>
      </c>
      <c r="F10" s="4">
        <v>0.4</v>
      </c>
      <c r="G10" s="4">
        <v>0.9</v>
      </c>
      <c r="H10" s="6"/>
      <c r="I10" s="16" t="s">
        <v>785</v>
      </c>
      <c r="J10" s="6" t="b">
        <v>1</v>
      </c>
      <c r="K10" s="6" t="e">
        <v>#VALUE!</v>
      </c>
      <c r="L10" s="6" t="e">
        <v>#N/A</v>
      </c>
      <c r="M10" s="7" t="e">
        <v>#DIV/0!</v>
      </c>
      <c r="N10" s="7" t="e">
        <v>#NAME?</v>
      </c>
      <c r="O10" s="7" t="e">
        <v>#NULL!</v>
      </c>
      <c r="P10" s="7" t="e">
        <v>#NUM!</v>
      </c>
      <c r="Q10" s="7" t="e">
        <v>#REF!</v>
      </c>
      <c r="R10" s="6" t="e">
        <f>CONFIDENCE(C10,,)</f>
        <v>#NUM!</v>
      </c>
      <c r="S10" s="6" t="e">
        <f>CONFIDENCE(D10,10,FALSE)</f>
        <v>#NUM!</v>
      </c>
      <c r="T10" s="6">
        <f>CONFIDENCE(E10,"1",5)</f>
        <v>0.17232055120184916</v>
      </c>
      <c r="U10" s="6" t="e" vm="2">
        <f>CONFIDENCE(F10,-1,"TRUE")</f>
        <v>#VALUE!</v>
      </c>
      <c r="V10" s="6">
        <f>CONFIDENCE(G10, 7,1)</f>
        <v>0.87962942798551913</v>
      </c>
      <c r="W10" s="6" t="e">
        <f>CONFIDENCE(H10,H10,1)</f>
        <v>#NUM!</v>
      </c>
      <c r="X10" s="6" t="e">
        <f>CONFIDENCE(I10,I10,1)</f>
        <v>#NUM!</v>
      </c>
      <c r="Y10" s="6" t="e">
        <f t="shared" ref="Y10:AF10" si="7">CONFIDENCE(J10,J10,1)</f>
        <v>#NUM!</v>
      </c>
      <c r="Z10" s="6" t="e">
        <f t="shared" si="7"/>
        <v>#VALUE!</v>
      </c>
      <c r="AA10" s="6" t="e">
        <f t="shared" si="7"/>
        <v>#N/A</v>
      </c>
      <c r="AB10" s="6" t="e">
        <f t="shared" si="7"/>
        <v>#DIV/0!</v>
      </c>
      <c r="AC10" s="6" t="e">
        <f t="shared" si="7"/>
        <v>#NAME?</v>
      </c>
      <c r="AD10" s="6" t="e">
        <f t="shared" si="7"/>
        <v>#NULL!</v>
      </c>
      <c r="AE10" s="6" t="e">
        <f t="shared" si="7"/>
        <v>#NUM!</v>
      </c>
      <c r="AF10" s="6" t="e">
        <f t="shared" si="7"/>
        <v>#REF!</v>
      </c>
      <c r="AG10" s="6">
        <f t="array" ref="AG10">CONFIDENCE(C10:Q10,3,1)</f>
        <v>4.9345608808544146</v>
      </c>
      <c r="AH10" s="6">
        <f t="array" ref="AH10:AW10">CONFIDENCE(C10:Q10,3,1)</f>
        <v>4.9345608808544146</v>
      </c>
      <c r="AI10" s="6">
        <v>2.9833736496292493</v>
      </c>
      <c r="AJ10" s="6">
        <v>1.1559613992227036</v>
      </c>
      <c r="AK10" s="6">
        <v>2.5248637007187442</v>
      </c>
      <c r="AL10" s="6">
        <v>0.3769840405652225</v>
      </c>
      <c r="AM10" s="6" t="e">
        <v>#NUM!</v>
      </c>
      <c r="AN10" s="6" t="e">
        <v>#NUM!</v>
      </c>
      <c r="AO10" s="6" t="e">
        <v>#NUM!</v>
      </c>
      <c r="AP10" s="6" t="e">
        <v>#VALUE!</v>
      </c>
      <c r="AQ10" s="6" t="e">
        <v>#N/A</v>
      </c>
      <c r="AR10" s="6" t="e">
        <v>#DIV/0!</v>
      </c>
      <c r="AS10" s="6" t="e">
        <v>#NAME?</v>
      </c>
      <c r="AT10" s="6" t="e">
        <v>#NULL!</v>
      </c>
      <c r="AU10" s="6" t="e">
        <v>#NUM!</v>
      </c>
      <c r="AV10" s="6" t="e">
        <v>#REF!</v>
      </c>
      <c r="AW10" s="4" t="e">
        <v>#N/A</v>
      </c>
    </row>
    <row r="11" spans="1:63" x14ac:dyDescent="0.15">
      <c r="A11" s="35" t="s">
        <v>456</v>
      </c>
      <c r="B11" s="36" t="s">
        <v>541</v>
      </c>
      <c r="C11" s="4">
        <v>0</v>
      </c>
      <c r="D11" s="4">
        <v>0.1</v>
      </c>
      <c r="E11" s="4">
        <v>0.2</v>
      </c>
      <c r="F11" s="4">
        <v>0.3</v>
      </c>
      <c r="G11" s="4">
        <v>-0.1</v>
      </c>
      <c r="H11" s="6"/>
      <c r="I11" s="16" t="s">
        <v>444</v>
      </c>
      <c r="J11" s="6" t="b">
        <v>1</v>
      </c>
      <c r="K11" s="6" t="e">
        <v>#VALUE!</v>
      </c>
      <c r="L11" s="6" t="e">
        <v>#N/A</v>
      </c>
      <c r="M11" s="7" t="e">
        <v>#DIV/0!</v>
      </c>
      <c r="N11" s="7" t="e">
        <v>#NAME?</v>
      </c>
      <c r="O11" s="7" t="e">
        <v>#NULL!</v>
      </c>
      <c r="P11" s="7" t="e">
        <v>#NUM!</v>
      </c>
      <c r="Q11" s="7" t="e">
        <v>#REF!</v>
      </c>
      <c r="R11" s="4">
        <f>COVAR(C11:E11,E11:G11)</f>
        <v>-0.01</v>
      </c>
      <c r="S11" s="4">
        <f>COVAR(D11:F11,F11:H11)</f>
        <v>-1.0000000000000002E-2</v>
      </c>
      <c r="T11" s="4">
        <f>COVAR(E11:G11,G11:I11)</f>
        <v>0</v>
      </c>
      <c r="U11" s="4" t="e">
        <f>COVAR(F11:H11,H11:J11)</f>
        <v>#DIV/0!</v>
      </c>
      <c r="V11" s="4" t="e">
        <f t="shared" ref="V11:AF11" si="8">COVAR(G11:I11,I11:K11)</f>
        <v>#VALUE!</v>
      </c>
      <c r="W11" s="4" t="e">
        <f t="shared" si="8"/>
        <v>#VALUE!</v>
      </c>
      <c r="X11" s="4" t="e">
        <f t="shared" si="8"/>
        <v>#VALUE!</v>
      </c>
      <c r="Y11" s="4" t="e">
        <f t="shared" si="8"/>
        <v>#N/A</v>
      </c>
      <c r="Z11" s="4" t="e">
        <f t="shared" si="8"/>
        <v>#VALUE!</v>
      </c>
      <c r="AA11" s="4" t="e">
        <f t="shared" si="8"/>
        <v>#N/A</v>
      </c>
      <c r="AB11" s="4" t="e">
        <f t="shared" si="8"/>
        <v>#DIV/0!</v>
      </c>
      <c r="AC11" s="4" t="e">
        <f t="shared" si="8"/>
        <v>#NAME?</v>
      </c>
      <c r="AD11" s="4" t="e">
        <f t="shared" si="8"/>
        <v>#NUM!</v>
      </c>
      <c r="AE11" s="4" t="e">
        <f t="shared" si="8"/>
        <v>#NUM!</v>
      </c>
      <c r="AF11" s="4" t="e">
        <f t="shared" si="8"/>
        <v>#REF!</v>
      </c>
      <c r="AG11" s="4">
        <f t="array" ref="AG11">COVAR(C11:E11,E11:G11)</f>
        <v>-0.01</v>
      </c>
      <c r="AH11" s="4">
        <f t="array" ref="AH11:AW11">COVAR(C11:E11,E11:G11)</f>
        <v>-0.01</v>
      </c>
      <c r="AI11" s="4">
        <v>-0.01</v>
      </c>
      <c r="AJ11" s="4">
        <v>-0.01</v>
      </c>
      <c r="AK11" s="4">
        <v>-0.01</v>
      </c>
      <c r="AL11" s="4">
        <v>-0.01</v>
      </c>
      <c r="AM11" s="4">
        <v>-0.01</v>
      </c>
      <c r="AN11" s="4">
        <v>-0.01</v>
      </c>
      <c r="AO11" s="4">
        <v>-0.01</v>
      </c>
      <c r="AP11" s="4">
        <v>-0.01</v>
      </c>
      <c r="AQ11" s="4">
        <v>-0.01</v>
      </c>
      <c r="AR11" s="4">
        <v>-0.01</v>
      </c>
      <c r="AS11" s="4">
        <v>-0.01</v>
      </c>
      <c r="AT11" s="4">
        <v>-0.01</v>
      </c>
      <c r="AU11" s="4">
        <v>-0.01</v>
      </c>
      <c r="AV11" s="4">
        <v>-0.01</v>
      </c>
      <c r="AW11" s="4">
        <v>-0.01</v>
      </c>
    </row>
    <row r="12" spans="1:63" x14ac:dyDescent="0.15">
      <c r="A12" s="35" t="s">
        <v>457</v>
      </c>
      <c r="B12" s="36" t="s">
        <v>541</v>
      </c>
      <c r="C12" s="4">
        <v>10</v>
      </c>
      <c r="D12" s="4">
        <v>0.1</v>
      </c>
      <c r="E12" s="4">
        <v>0.7</v>
      </c>
      <c r="F12" s="4">
        <v>100</v>
      </c>
      <c r="G12" s="4">
        <v>4</v>
      </c>
      <c r="H12" s="6"/>
      <c r="I12" s="16" t="s">
        <v>785</v>
      </c>
      <c r="J12" s="6" t="b">
        <v>1</v>
      </c>
      <c r="K12" s="6" t="e">
        <v>#VALUE!</v>
      </c>
      <c r="L12" s="6" t="e">
        <v>#N/A</v>
      </c>
      <c r="M12" s="7" t="e">
        <v>#DIV/0!</v>
      </c>
      <c r="N12" s="7" t="e">
        <v>#NAME?</v>
      </c>
      <c r="O12" s="7" t="e">
        <v>#NULL!</v>
      </c>
      <c r="P12" s="7" t="e">
        <v>#NUM!</v>
      </c>
      <c r="Q12" s="7" t="e">
        <v>#REF!</v>
      </c>
      <c r="R12" s="6">
        <f>CRITBINOM(C12,0.4,0.4)</f>
        <v>4</v>
      </c>
      <c r="S12" s="6">
        <f>CRITBINOM(D12,0.9,0.9)</f>
        <v>0</v>
      </c>
      <c r="T12" s="6">
        <f>CRITBINOM(4,0.2,E12)</f>
        <v>1</v>
      </c>
      <c r="U12" s="6">
        <f>CRITBINOM(F12,0.4,0.3)</f>
        <v>37</v>
      </c>
      <c r="V12" s="6">
        <f>CRITBINOM(G12,D12,E12)</f>
        <v>1</v>
      </c>
      <c r="W12" s="6">
        <f>CRITBINOM(H12,0.3,0.2)</f>
        <v>0</v>
      </c>
      <c r="X12" s="6">
        <f>CRITBINOM(I12,0.9, 0.1)</f>
        <v>10</v>
      </c>
      <c r="Y12" s="6" t="e">
        <f>CRITBINOM(0.3,J12,2)</f>
        <v>#NUM!</v>
      </c>
      <c r="Z12" s="6" t="e">
        <f>CRITBINOM(K12,C12,E12)</f>
        <v>#VALUE!</v>
      </c>
      <c r="AA12" s="6" t="e">
        <f t="shared" ref="AA12:AF12" si="9">CRITBINOM(L12,D12,F12)</f>
        <v>#N/A</v>
      </c>
      <c r="AB12" s="6" t="e">
        <f t="shared" si="9"/>
        <v>#DIV/0!</v>
      </c>
      <c r="AC12" s="6" t="e">
        <f t="shared" si="9"/>
        <v>#NAME?</v>
      </c>
      <c r="AD12" s="6" t="e">
        <f t="shared" si="9"/>
        <v>#NULL!</v>
      </c>
      <c r="AE12" s="6" t="e">
        <f t="shared" si="9"/>
        <v>#NUM!</v>
      </c>
      <c r="AF12" s="6" t="e">
        <f t="shared" si="9"/>
        <v>#REF!</v>
      </c>
      <c r="AG12" s="6">
        <f t="array" ref="AG12">CRITBINOM(C12:Q12,0.3,0.3)</f>
        <v>2</v>
      </c>
      <c r="AH12" s="6">
        <f t="array" ref="AH12:AW12">CRITBINOM(C12:Q12, 0.3,0.2)</f>
        <v>2</v>
      </c>
      <c r="AI12" s="6">
        <v>0</v>
      </c>
      <c r="AJ12" s="6">
        <v>0</v>
      </c>
      <c r="AK12" s="6">
        <v>26</v>
      </c>
      <c r="AL12" s="6">
        <v>0</v>
      </c>
      <c r="AM12" s="6">
        <v>0</v>
      </c>
      <c r="AN12" s="6">
        <v>2</v>
      </c>
      <c r="AO12" s="6">
        <v>0</v>
      </c>
      <c r="AP12" s="6" t="e">
        <v>#VALUE!</v>
      </c>
      <c r="AQ12" s="6" t="e">
        <v>#N/A</v>
      </c>
      <c r="AR12" s="6" t="e">
        <v>#DIV/0!</v>
      </c>
      <c r="AS12" s="6" t="e">
        <v>#NAME?</v>
      </c>
      <c r="AT12" s="6" t="e">
        <v>#NULL!</v>
      </c>
      <c r="AU12" s="6" t="e">
        <v>#NUM!</v>
      </c>
      <c r="AV12" s="6" t="e">
        <v>#REF!</v>
      </c>
      <c r="AW12" s="4" t="e">
        <v>#N/A</v>
      </c>
    </row>
    <row r="13" spans="1:63" x14ac:dyDescent="0.15">
      <c r="A13" s="35" t="s">
        <v>458</v>
      </c>
      <c r="B13" s="36" t="s">
        <v>541</v>
      </c>
      <c r="C13" s="4">
        <v>0</v>
      </c>
      <c r="D13" s="4">
        <v>5</v>
      </c>
      <c r="E13" s="4">
        <v>0.7</v>
      </c>
      <c r="F13" s="4">
        <v>3</v>
      </c>
      <c r="G13" s="4">
        <v>4</v>
      </c>
      <c r="H13" s="6"/>
      <c r="I13" s="16" t="s">
        <v>444</v>
      </c>
      <c r="J13" s="6" t="b">
        <v>1</v>
      </c>
      <c r="K13" s="6" t="e">
        <v>#VALUE!</v>
      </c>
      <c r="L13" s="6" t="e">
        <v>#N/A</v>
      </c>
      <c r="M13" s="7" t="e">
        <v>#DIV/0!</v>
      </c>
      <c r="N13" s="7" t="e">
        <v>#NAME?</v>
      </c>
      <c r="O13" s="7" t="e">
        <v>#NULL!</v>
      </c>
      <c r="P13" s="7" t="e">
        <v>#NUM!</v>
      </c>
      <c r="Q13" s="7" t="e">
        <v>#REF!</v>
      </c>
      <c r="R13" s="6" t="e">
        <f>EXPONDIST(C13,,)</f>
        <v>#NUM!</v>
      </c>
      <c r="S13" s="6">
        <f>EXPONDIST(D13,10,FALSE)</f>
        <v>1.9287498479639177E-21</v>
      </c>
      <c r="T13" s="6">
        <f>EXPONDIST(E13,"1",5)</f>
        <v>0.50341469620859047</v>
      </c>
      <c r="U13" s="6" t="e">
        <f>EXPONDIST(F13,-1,"TRUE")</f>
        <v>#NUM!</v>
      </c>
      <c r="V13" s="6">
        <f>EXPONDIST(G13, 7,1)</f>
        <v>0.99999999999930855</v>
      </c>
      <c r="W13" s="6" t="e">
        <f>EXPONDIST(H13,H13,1)</f>
        <v>#NUM!</v>
      </c>
      <c r="X13" s="6">
        <f>EXPONDIST(I13,I13,1)</f>
        <v>1</v>
      </c>
      <c r="Y13" s="6">
        <f>EXPONDIST(J13,I13,1)</f>
        <v>1</v>
      </c>
      <c r="Z13" s="6" t="e">
        <f>EXPONDIST(K13,I13,1)</f>
        <v>#VALUE!</v>
      </c>
      <c r="AA13" s="6" t="e">
        <f>EXPONDIST(L13,J13,1)</f>
        <v>#N/A</v>
      </c>
      <c r="AB13" s="6" t="e">
        <f t="shared" ref="AB13:AF13" si="10">EXPONDIST(M13,K13,1)</f>
        <v>#DIV/0!</v>
      </c>
      <c r="AC13" s="6" t="e">
        <f t="shared" si="10"/>
        <v>#NAME?</v>
      </c>
      <c r="AD13" s="6" t="e">
        <f t="shared" si="10"/>
        <v>#NULL!</v>
      </c>
      <c r="AE13" s="6" t="e">
        <f t="shared" si="10"/>
        <v>#NUM!</v>
      </c>
      <c r="AF13" s="6" t="e">
        <f t="shared" si="10"/>
        <v>#REF!</v>
      </c>
      <c r="AG13" s="6">
        <f t="array" ref="AG13">EXPONDIST(C13:Q13,3,1)</f>
        <v>0</v>
      </c>
      <c r="AH13" s="6">
        <f t="array" ref="AH13:AW13">EXPONDIST(C13:Q13,3,1)</f>
        <v>0</v>
      </c>
      <c r="AI13" s="6">
        <v>0.99999969409767953</v>
      </c>
      <c r="AJ13" s="6">
        <v>0.87754357174701803</v>
      </c>
      <c r="AK13" s="6">
        <v>0.99987659019591335</v>
      </c>
      <c r="AL13" s="6">
        <v>0.99999385578764666</v>
      </c>
      <c r="AM13" s="6">
        <v>0</v>
      </c>
      <c r="AN13" s="6">
        <v>1</v>
      </c>
      <c r="AO13" s="6">
        <v>0.95021293163213605</v>
      </c>
      <c r="AP13" s="6" t="e">
        <v>#VALUE!</v>
      </c>
      <c r="AQ13" s="6" t="e">
        <v>#N/A</v>
      </c>
      <c r="AR13" s="6" t="e">
        <v>#DIV/0!</v>
      </c>
      <c r="AS13" s="6" t="e">
        <v>#NAME?</v>
      </c>
      <c r="AT13" s="6" t="e">
        <v>#NULL!</v>
      </c>
      <c r="AU13" s="6" t="e">
        <v>#NUM!</v>
      </c>
      <c r="AV13" s="6" t="e">
        <v>#REF!</v>
      </c>
      <c r="AW13" s="4" t="e">
        <v>#N/A</v>
      </c>
    </row>
    <row r="14" spans="1:63" x14ac:dyDescent="0.15">
      <c r="A14" s="35" t="s">
        <v>459</v>
      </c>
      <c r="B14" s="36" t="s">
        <v>541</v>
      </c>
      <c r="C14" s="4">
        <v>0</v>
      </c>
      <c r="D14" s="4">
        <v>5</v>
      </c>
      <c r="E14" s="4">
        <v>0.7</v>
      </c>
      <c r="F14" s="4">
        <v>3</v>
      </c>
      <c r="G14" s="4">
        <v>4</v>
      </c>
      <c r="H14" s="6"/>
      <c r="I14" s="16" t="s">
        <v>444</v>
      </c>
      <c r="J14" s="6" t="b">
        <v>1</v>
      </c>
      <c r="K14" s="6" t="e">
        <v>#VALUE!</v>
      </c>
      <c r="L14" s="6" t="e">
        <v>#N/A</v>
      </c>
      <c r="M14" s="7" t="e">
        <v>#DIV/0!</v>
      </c>
      <c r="N14" s="7" t="e">
        <v>#NAME?</v>
      </c>
      <c r="O14" s="7" t="e">
        <v>#NULL!</v>
      </c>
      <c r="P14" s="7" t="e">
        <v>#NUM!</v>
      </c>
      <c r="Q14" s="7" t="e">
        <v>#REF!</v>
      </c>
      <c r="R14" s="6" t="e">
        <f>FDIST(C14,,)</f>
        <v>#NUM!</v>
      </c>
      <c r="S14" s="6">
        <f>FDIST(D14,10,65)</f>
        <v>2.3172483433474348E-5</v>
      </c>
      <c r="T14" s="6">
        <f>FDIST(E14,3,"1")</f>
        <v>0.68213245632798214</v>
      </c>
      <c r="U14" s="6" t="e">
        <f>FDIST(F14,-1,32)</f>
        <v>#NUM!</v>
      </c>
      <c r="V14" s="6">
        <f>FDIST(G14,32, 7)</f>
        <v>3.1519045038553836E-2</v>
      </c>
      <c r="W14" s="6" t="e">
        <f>FDIST(H14,H14,32)</f>
        <v>#NUM!</v>
      </c>
      <c r="X14" s="6">
        <f>FDIST(I14,I14,3)</f>
        <v>2.9635692284924148E-3</v>
      </c>
      <c r="Y14" s="6">
        <f>FDIST(J14,I14,3)</f>
        <v>0.60084238782053156</v>
      </c>
      <c r="Z14" s="6" t="e">
        <f>FDIST(K14,I14,89)</f>
        <v>#VALUE!</v>
      </c>
      <c r="AA14" s="6" t="e">
        <f>FDIST(L14,J14,89)</f>
        <v>#N/A</v>
      </c>
      <c r="AB14" s="6" t="e">
        <f t="shared" ref="AB14:AF14" si="11">FDIST(M14,K14,89)</f>
        <v>#DIV/0!</v>
      </c>
      <c r="AC14" s="6" t="e">
        <f t="shared" si="11"/>
        <v>#NAME?</v>
      </c>
      <c r="AD14" s="6" t="e">
        <f t="shared" si="11"/>
        <v>#NULL!</v>
      </c>
      <c r="AE14" s="6" t="e">
        <f t="shared" si="11"/>
        <v>#NUM!</v>
      </c>
      <c r="AF14" s="6" t="e">
        <f t="shared" si="11"/>
        <v>#REF!</v>
      </c>
      <c r="AG14" s="6">
        <f t="array" ref="AG14">FDIST(C14:Q14,3,20)</f>
        <v>1</v>
      </c>
      <c r="AH14" s="6">
        <f t="array" ref="AH14:AW14">FDIST(C14:Q14,3,7)</f>
        <v>1</v>
      </c>
      <c r="AI14" s="6">
        <v>3.667335421818646E-2</v>
      </c>
      <c r="AJ14" s="6">
        <v>0.58124967890558699</v>
      </c>
      <c r="AK14" s="6">
        <v>0.10457022123528917</v>
      </c>
      <c r="AL14" s="6">
        <v>5.9630822151202661E-2</v>
      </c>
      <c r="AM14" s="6">
        <v>1</v>
      </c>
      <c r="AN14" s="6">
        <v>2.3280966491805181E-5</v>
      </c>
      <c r="AO14" s="6">
        <v>0.44707961346848368</v>
      </c>
      <c r="AP14" s="6" t="e">
        <v>#VALUE!</v>
      </c>
      <c r="AQ14" s="6" t="e">
        <v>#N/A</v>
      </c>
      <c r="AR14" s="6" t="e">
        <v>#DIV/0!</v>
      </c>
      <c r="AS14" s="6" t="e">
        <v>#NAME?</v>
      </c>
      <c r="AT14" s="6" t="e">
        <v>#NULL!</v>
      </c>
      <c r="AU14" s="6" t="e">
        <v>#NUM!</v>
      </c>
      <c r="AV14" s="6" t="e">
        <v>#REF!</v>
      </c>
      <c r="AW14" s="4" t="e">
        <v>#N/A</v>
      </c>
    </row>
    <row r="15" spans="1:63" x14ac:dyDescent="0.15">
      <c r="A15" s="35" t="s">
        <v>460</v>
      </c>
      <c r="B15" s="36" t="s">
        <v>541</v>
      </c>
      <c r="C15" s="4">
        <v>10</v>
      </c>
      <c r="D15" s="4">
        <v>0.1</v>
      </c>
      <c r="E15" s="4">
        <v>0.7</v>
      </c>
      <c r="F15" s="4">
        <v>100</v>
      </c>
      <c r="G15" s="4">
        <v>4</v>
      </c>
      <c r="H15" s="6"/>
      <c r="I15" s="16" t="s">
        <v>785</v>
      </c>
      <c r="J15" s="6" t="b">
        <v>1</v>
      </c>
      <c r="K15" s="6" t="e">
        <v>#VALUE!</v>
      </c>
      <c r="L15" s="6" t="e">
        <v>#N/A</v>
      </c>
      <c r="M15" s="7" t="e">
        <v>#DIV/0!</v>
      </c>
      <c r="N15" s="7" t="e">
        <v>#NAME?</v>
      </c>
      <c r="O15" s="7" t="e">
        <v>#NULL!</v>
      </c>
      <c r="P15" s="7" t="e">
        <v>#NUM!</v>
      </c>
      <c r="Q15" s="7" t="e">
        <v>#REF!</v>
      </c>
      <c r="R15" s="6" t="e">
        <f>FINV(C15,0.4, 0.3)</f>
        <v>#NUM!</v>
      </c>
      <c r="S15" s="6">
        <f>FINV(D15,9,34)</f>
        <v>1.8224282565178647</v>
      </c>
      <c r="T15" s="6" t="e">
        <f>FINV(0.4,E15,32)</f>
        <v>#NUM!</v>
      </c>
      <c r="U15" s="6">
        <f>FINV(0.01, F15,2)</f>
        <v>99.489162808433377</v>
      </c>
      <c r="V15" s="6">
        <f>FINV(D15,G15,32)</f>
        <v>2.1292875704522456</v>
      </c>
      <c r="W15" s="6" t="e">
        <f>FINV(H15,3,33)</f>
        <v>#NUM!</v>
      </c>
      <c r="X15" s="6">
        <f>FINV(0.9,I15,33)</f>
        <v>0.51329505123245234</v>
      </c>
      <c r="Y15" s="6">
        <f>FINV(0.3,J15,12)</f>
        <v>1.1733469814074031</v>
      </c>
      <c r="Z15" s="6" t="e">
        <f>FINV(K15,C15,32)</f>
        <v>#VALUE!</v>
      </c>
      <c r="AA15" s="6" t="e">
        <f>FINV(L15,D15,32)</f>
        <v>#N/A</v>
      </c>
      <c r="AB15" s="6" t="e">
        <f t="shared" ref="AB15:AF15" si="12">FINV(M15,E15,32)</f>
        <v>#DIV/0!</v>
      </c>
      <c r="AC15" s="6" t="e">
        <f t="shared" si="12"/>
        <v>#NAME?</v>
      </c>
      <c r="AD15" s="6" t="e">
        <f t="shared" si="12"/>
        <v>#NULL!</v>
      </c>
      <c r="AE15" s="6" t="e">
        <f t="shared" si="12"/>
        <v>#NUM!</v>
      </c>
      <c r="AF15" s="6" t="e">
        <f t="shared" si="12"/>
        <v>#REF!</v>
      </c>
      <c r="AG15" s="6">
        <f t="array" ref="AG15">FINV(0.6, C15:Q15, 12)</f>
        <v>0.8445336875855578</v>
      </c>
      <c r="AH15" s="6">
        <f t="array" ref="AH15:AW15">FINV(0.5, C15:Q15, 120)</f>
        <v>0.93942398667190341</v>
      </c>
      <c r="AI15" s="6" t="e">
        <v>#NUM!</v>
      </c>
      <c r="AJ15" s="6" t="e">
        <v>#NUM!</v>
      </c>
      <c r="AK15" s="6">
        <v>0.99888544471546459</v>
      </c>
      <c r="AL15" s="6">
        <v>0.8439349115137853</v>
      </c>
      <c r="AM15" s="6" t="e">
        <v>#NUM!</v>
      </c>
      <c r="AN15" s="6">
        <v>0.95453041680675432</v>
      </c>
      <c r="AO15" s="6">
        <v>0.45770599938470274</v>
      </c>
      <c r="AP15" s="6" t="e">
        <v>#VALUE!</v>
      </c>
      <c r="AQ15" s="6" t="e">
        <v>#N/A</v>
      </c>
      <c r="AR15" s="6" t="e">
        <v>#DIV/0!</v>
      </c>
      <c r="AS15" s="6" t="e">
        <v>#NAME?</v>
      </c>
      <c r="AT15" s="6" t="e">
        <v>#NULL!</v>
      </c>
      <c r="AU15" s="6" t="e">
        <v>#NUM!</v>
      </c>
      <c r="AV15" s="6" t="e">
        <v>#REF!</v>
      </c>
      <c r="AW15" s="4" t="e">
        <v>#N/A</v>
      </c>
    </row>
    <row r="16" spans="1:63" x14ac:dyDescent="0.15">
      <c r="A16" s="37" t="s">
        <v>58</v>
      </c>
      <c r="B16" s="36" t="s">
        <v>541</v>
      </c>
      <c r="C16" s="4">
        <v>2.5</v>
      </c>
      <c r="D16" s="4">
        <v>-255.5</v>
      </c>
      <c r="E16" s="4">
        <v>-2.5</v>
      </c>
      <c r="F16" s="4">
        <v>1.5</v>
      </c>
      <c r="G16" s="4">
        <v>0.23400000000000001</v>
      </c>
      <c r="H16" s="6"/>
      <c r="I16" s="6" t="s">
        <v>32</v>
      </c>
      <c r="J16" s="6" t="b">
        <v>1</v>
      </c>
      <c r="K16" s="6" t="e">
        <v>#VALUE!</v>
      </c>
      <c r="L16" s="6" t="e">
        <v>#N/A</v>
      </c>
      <c r="M16" s="7" t="e">
        <v>#DIV/0!</v>
      </c>
      <c r="N16" s="7" t="e">
        <v>#NAME?</v>
      </c>
      <c r="O16" s="7" t="e">
        <v>#NULL!</v>
      </c>
      <c r="P16" s="7" t="e">
        <v>#NUM!</v>
      </c>
      <c r="Q16" s="7" t="e">
        <v>#REF!</v>
      </c>
      <c r="R16" s="6">
        <f>FLOOR(C16,1)</f>
        <v>2</v>
      </c>
      <c r="S16" s="6">
        <f>FLOOR(D16,-2)</f>
        <v>-254</v>
      </c>
      <c r="T16" s="6">
        <f>FLOOR(E16,2)</f>
        <v>-4</v>
      </c>
      <c r="U16" s="6" t="e">
        <f>FLOOR(F16,0)</f>
        <v>#DIV/0!</v>
      </c>
      <c r="V16" s="6">
        <f>FLOOR(G16,0.01)</f>
        <v>0.23</v>
      </c>
      <c r="W16" s="6">
        <f>FLOOR(H16,-2)</f>
        <v>0</v>
      </c>
      <c r="X16" s="6" t="e" vm="3">
        <f>FLOOR(I16,0)</f>
        <v>#VALUE!</v>
      </c>
      <c r="Y16" s="6" t="e">
        <f>FLOOR(J16,0)</f>
        <v>#DIV/0!</v>
      </c>
      <c r="Z16" s="6" t="e">
        <f t="shared" ref="Z16:AF16" si="13">FLOOR(2.3,K16)</f>
        <v>#VALUE!</v>
      </c>
      <c r="AA16" s="6" t="e">
        <f t="shared" si="13"/>
        <v>#N/A</v>
      </c>
      <c r="AB16" s="6" t="e">
        <f t="shared" si="13"/>
        <v>#DIV/0!</v>
      </c>
      <c r="AC16" s="6" t="e">
        <f t="shared" si="13"/>
        <v>#NAME?</v>
      </c>
      <c r="AD16" s="6" t="e">
        <f t="shared" si="13"/>
        <v>#NULL!</v>
      </c>
      <c r="AE16" s="6" t="e">
        <f t="shared" si="13"/>
        <v>#NUM!</v>
      </c>
      <c r="AF16" s="6" t="e">
        <f t="shared" si="13"/>
        <v>#REF!</v>
      </c>
      <c r="AG16" s="8"/>
      <c r="AH16" s="6" t="e">
        <f t="array" ref="AH16:AW16">FLOOR(C16:P16,D16:Q16)</f>
        <v>#NUM!</v>
      </c>
      <c r="AI16" s="6">
        <v>-255</v>
      </c>
      <c r="AJ16" s="6">
        <v>-3</v>
      </c>
      <c r="AK16" s="6">
        <v>1.4040000000000001</v>
      </c>
      <c r="AL16" s="6" t="e">
        <v>#DIV/0!</v>
      </c>
      <c r="AM16" s="6" t="e" vm="3">
        <v>#VALUE!</v>
      </c>
      <c r="AN16" s="6" t="e" vm="3">
        <v>#VALUE!</v>
      </c>
      <c r="AO16" s="6" t="e">
        <v>#VALUE!</v>
      </c>
      <c r="AP16" s="6" t="e">
        <v>#VALUE!</v>
      </c>
      <c r="AQ16" s="6" t="e">
        <v>#N/A</v>
      </c>
      <c r="AR16" s="6" t="e">
        <v>#DIV/0!</v>
      </c>
      <c r="AS16" s="6" t="e">
        <v>#NAME?</v>
      </c>
      <c r="AT16" s="6" t="e">
        <v>#NULL!</v>
      </c>
      <c r="AU16" s="6" t="e">
        <v>#NUM!</v>
      </c>
      <c r="AV16" s="6" t="e">
        <v>#N/A</v>
      </c>
      <c r="AW16" s="4" t="e">
        <v>#N/A</v>
      </c>
    </row>
    <row r="17" spans="1:49" x14ac:dyDescent="0.15">
      <c r="A17" s="35" t="s">
        <v>461</v>
      </c>
      <c r="B17" s="36" t="s">
        <v>541</v>
      </c>
      <c r="C17" s="4">
        <v>10</v>
      </c>
      <c r="D17" s="4">
        <v>3.2</v>
      </c>
      <c r="E17" s="4">
        <v>0.7</v>
      </c>
      <c r="F17" s="4">
        <v>2</v>
      </c>
      <c r="G17" s="4">
        <v>4</v>
      </c>
      <c r="H17" s="6"/>
      <c r="I17" s="16" t="s">
        <v>785</v>
      </c>
      <c r="J17" s="6" t="b">
        <v>1</v>
      </c>
      <c r="K17" s="6" t="e">
        <v>#VALUE!</v>
      </c>
      <c r="L17" s="6" t="e">
        <v>#N/A</v>
      </c>
      <c r="M17" s="7" t="e">
        <v>#DIV/0!</v>
      </c>
      <c r="N17" s="7" t="e">
        <v>#NAME?</v>
      </c>
      <c r="O17" s="7" t="e">
        <v>#NULL!</v>
      </c>
      <c r="P17" s="7" t="e">
        <v>#NUM!</v>
      </c>
      <c r="Q17" s="7" t="e">
        <v>#REF!</v>
      </c>
      <c r="R17" s="18">
        <f>FTEST(C16:D17,E14:E17)</f>
        <v>6.2687798240293688E-6</v>
      </c>
      <c r="S17" s="6">
        <f>FTEST(D17:E17,E17:G17)</f>
        <v>0.79799820212449957</v>
      </c>
      <c r="T17" s="6" t="e">
        <f>FTEST(E17:F17,G17:H17)</f>
        <v>#DIV/0!</v>
      </c>
      <c r="U17" s="6" t="e">
        <f>FTEST(D17,F17)</f>
        <v>#DIV/0!</v>
      </c>
      <c r="V17" s="6" t="e">
        <f>FTEST(G17:I17,H17:J17)</f>
        <v>#DIV/0!</v>
      </c>
      <c r="W17" s="6" t="e">
        <f>FTEST(H17:I17,J17:K17)</f>
        <v>#VALUE!</v>
      </c>
      <c r="X17" s="6" t="e">
        <f>FTEST(I17:J17,K17:L17)</f>
        <v>#VALUE!</v>
      </c>
      <c r="Y17" s="6" t="e">
        <f>FTEST(J17:K17,L17:M17)</f>
        <v>#VALUE!</v>
      </c>
      <c r="Z17" s="6" t="e">
        <f>FTEST(K17:L17,M17:N17)</f>
        <v>#VALUE!</v>
      </c>
      <c r="AA17" s="6" t="e">
        <f>FTEST(L17:M17,N17:O17)</f>
        <v>#N/A</v>
      </c>
      <c r="AB17" s="6" t="e">
        <f t="shared" ref="AB17:AF17" si="14">FTEST(M17:N17,O17:P17)</f>
        <v>#DIV/0!</v>
      </c>
      <c r="AC17" s="6" t="e">
        <f t="shared" si="14"/>
        <v>#NAME?</v>
      </c>
      <c r="AD17" s="6" t="e">
        <f t="shared" si="14"/>
        <v>#NUM!</v>
      </c>
      <c r="AE17" s="6" t="e">
        <f t="shared" si="14"/>
        <v>#NUM!</v>
      </c>
      <c r="AF17" s="6" t="e">
        <f t="shared" si="14"/>
        <v>#REF!</v>
      </c>
      <c r="AG17" s="6">
        <f t="array" ref="AG17">FTEST(C16:D17, F16:G17)</f>
        <v>5.8704554575883208E-6</v>
      </c>
      <c r="AH17" s="71">
        <f t="array" ref="AH17:AW17">FTEST(D17:E17, E17:F17)</f>
        <v>0.61054292502838059</v>
      </c>
      <c r="AI17" s="6">
        <v>0.61054292502838059</v>
      </c>
      <c r="AJ17" s="6">
        <v>0.61054292502838059</v>
      </c>
      <c r="AK17" s="6">
        <v>0.61054292502838059</v>
      </c>
      <c r="AL17" s="6">
        <v>0.61054292502838059</v>
      </c>
      <c r="AM17" s="6">
        <v>0.61054292502838059</v>
      </c>
      <c r="AN17" s="6">
        <v>0.61054292502838059</v>
      </c>
      <c r="AO17" s="6">
        <v>0.61054292502838059</v>
      </c>
      <c r="AP17" s="6">
        <v>0.61054292502838059</v>
      </c>
      <c r="AQ17" s="6">
        <v>0.61054292502838059</v>
      </c>
      <c r="AR17" s="6">
        <v>0.61054292502838059</v>
      </c>
      <c r="AS17" s="6">
        <v>0.61054292502838059</v>
      </c>
      <c r="AT17" s="6">
        <v>0.61054292502838059</v>
      </c>
      <c r="AU17" s="6">
        <v>0.61054292502838059</v>
      </c>
      <c r="AV17" s="6">
        <v>0.61054292502838059</v>
      </c>
      <c r="AW17" s="4">
        <v>0.61054292502838059</v>
      </c>
    </row>
    <row r="18" spans="1:49" x14ac:dyDescent="0.15">
      <c r="A18" s="35" t="s">
        <v>462</v>
      </c>
      <c r="B18" s="36" t="s">
        <v>541</v>
      </c>
      <c r="C18" s="4">
        <v>0</v>
      </c>
      <c r="D18" s="4">
        <v>5</v>
      </c>
      <c r="E18" s="4">
        <v>0.7</v>
      </c>
      <c r="F18" s="4">
        <v>3</v>
      </c>
      <c r="G18" s="4">
        <v>4</v>
      </c>
      <c r="H18" s="6"/>
      <c r="I18" s="16" t="s">
        <v>444</v>
      </c>
      <c r="J18" s="6" t="b">
        <v>1</v>
      </c>
      <c r="K18" s="6" t="e">
        <v>#VALUE!</v>
      </c>
      <c r="L18" s="6" t="e">
        <v>#N/A</v>
      </c>
      <c r="M18" s="7" t="e">
        <v>#DIV/0!</v>
      </c>
      <c r="N18" s="7" t="e">
        <v>#NAME?</v>
      </c>
      <c r="O18" s="7" t="e">
        <v>#NULL!</v>
      </c>
      <c r="P18" s="7" t="e">
        <v>#NUM!</v>
      </c>
      <c r="Q18" s="7" t="e">
        <v>#REF!</v>
      </c>
      <c r="R18" s="6" t="e">
        <f>GAMMADIST(C18,,,)</f>
        <v>#NUM!</v>
      </c>
      <c r="S18" s="6">
        <f>GAMMADIST(D18,10,30,FALSE)</f>
        <v>7.7156415878129366E-15</v>
      </c>
      <c r="T18" s="6">
        <f>GAMMADIST(E18,"1",5, 3)</f>
        <v>0.13064176460119417</v>
      </c>
      <c r="U18" s="6" t="e">
        <f>GAMMADIST(F18,-1,3,"TRUE")</f>
        <v>#NUM!</v>
      </c>
      <c r="V18" s="6">
        <f>GAMMADIST(G18, 7,4,1)</f>
        <v>8.3241149288023239E-5</v>
      </c>
      <c r="W18" s="6" t="e">
        <f>GAMMADIST(H18,H18,4,1)</f>
        <v>#NUM!</v>
      </c>
      <c r="X18" s="6">
        <f>GAMMADIST(I18,I18,4,1)</f>
        <v>1.7894865805575686E-18</v>
      </c>
      <c r="Y18" s="6">
        <f>GAMMADIST(J18,I18,32,1)</f>
        <v>5.7210703867027741E-173</v>
      </c>
      <c r="Z18" s="6" t="e">
        <f>GAMMADIST(K18,I18,3,1)</f>
        <v>#VALUE!</v>
      </c>
      <c r="AA18" s="6" t="e">
        <f t="shared" ref="AA18:AF18" si="15">GAMMADIST(L18,J18,3,1)</f>
        <v>#N/A</v>
      </c>
      <c r="AB18" s="6" t="e">
        <f t="shared" si="15"/>
        <v>#DIV/0!</v>
      </c>
      <c r="AC18" s="6" t="e">
        <f t="shared" si="15"/>
        <v>#NAME?</v>
      </c>
      <c r="AD18" s="6" t="e">
        <f t="shared" si="15"/>
        <v>#NULL!</v>
      </c>
      <c r="AE18" s="6" t="e">
        <f t="shared" si="15"/>
        <v>#NUM!</v>
      </c>
      <c r="AF18" s="6" t="e">
        <f t="shared" si="15"/>
        <v>#REF!</v>
      </c>
      <c r="AG18" s="6">
        <f t="array" ref="AG18">GAMMADIST(C18:Q18,3,3,1)</f>
        <v>0</v>
      </c>
      <c r="AH18" s="6">
        <f t="array" ref="AH18:AW18">GAMMADIST(C18:Q18,1,3,1)</f>
        <v>0</v>
      </c>
      <c r="AI18" s="6">
        <v>0.81112439716243823</v>
      </c>
      <c r="AJ18" s="6">
        <v>0.2081104336632183</v>
      </c>
      <c r="AK18" s="6">
        <v>0.63212055882855767</v>
      </c>
      <c r="AL18" s="6">
        <v>0.73640286188427329</v>
      </c>
      <c r="AM18" s="6">
        <v>0</v>
      </c>
      <c r="AN18" s="6">
        <v>0.99999999793884642</v>
      </c>
      <c r="AO18" s="6">
        <v>0.28346868942621073</v>
      </c>
      <c r="AP18" s="6" t="e">
        <v>#VALUE!</v>
      </c>
      <c r="AQ18" s="6" t="e">
        <v>#N/A</v>
      </c>
      <c r="AR18" s="6" t="e">
        <v>#DIV/0!</v>
      </c>
      <c r="AS18" s="6" t="e">
        <v>#NAME?</v>
      </c>
      <c r="AT18" s="6" t="e">
        <v>#NULL!</v>
      </c>
      <c r="AU18" s="6" t="e">
        <v>#NUM!</v>
      </c>
      <c r="AV18" s="6" t="e">
        <v>#REF!</v>
      </c>
      <c r="AW18" s="4" t="e">
        <v>#N/A</v>
      </c>
    </row>
    <row r="19" spans="1:49" x14ac:dyDescent="0.15">
      <c r="A19" s="35" t="s">
        <v>463</v>
      </c>
      <c r="B19" s="36" t="s">
        <v>541</v>
      </c>
      <c r="C19" s="4">
        <v>10</v>
      </c>
      <c r="D19" s="4">
        <v>0.1</v>
      </c>
      <c r="E19" s="4">
        <v>0.7</v>
      </c>
      <c r="F19" s="4">
        <v>100</v>
      </c>
      <c r="G19" s="4">
        <v>4</v>
      </c>
      <c r="H19" s="6"/>
      <c r="I19" s="16" t="s">
        <v>785</v>
      </c>
      <c r="J19" s="6" t="b">
        <v>1</v>
      </c>
      <c r="K19" s="6" t="e">
        <v>#VALUE!</v>
      </c>
      <c r="L19" s="6" t="e">
        <v>#N/A</v>
      </c>
      <c r="M19" s="7" t="e">
        <v>#DIV/0!</v>
      </c>
      <c r="N19" s="7" t="e">
        <v>#NAME?</v>
      </c>
      <c r="O19" s="7" t="e">
        <v>#NULL!</v>
      </c>
      <c r="P19" s="7" t="e">
        <v>#NUM!</v>
      </c>
      <c r="Q19" s="7" t="e">
        <v>#REF!</v>
      </c>
      <c r="R19" s="6" t="e">
        <f>GAMMAINV(C19,0.4,3)</f>
        <v>#NUM!</v>
      </c>
      <c r="S19" s="6">
        <f>GAMMAINV(D19,90,9)</f>
        <v>702.68681780365114</v>
      </c>
      <c r="T19" s="6">
        <f>GAMMAINV(0.4,E19, 32)</f>
        <v>8.8217623708520669</v>
      </c>
      <c r="U19" s="6">
        <f>GAMMAINV(0.01, F19,2)</f>
        <v>156.43196610759165</v>
      </c>
      <c r="V19" s="6">
        <f>GAMMAINV(D19,G19,32)</f>
        <v>55.832626010397171</v>
      </c>
      <c r="W19" s="6">
        <f>GAMMAINV(H19,3, 2.22)</f>
        <v>0</v>
      </c>
      <c r="X19" s="6">
        <f>GAMMAINV(0.9,I19,781)</f>
        <v>13887.418381686113</v>
      </c>
      <c r="Y19" s="6">
        <f>GAMMAINV(0.3,J19, 332)</f>
        <v>118.41608138765915</v>
      </c>
      <c r="Z19" s="6" t="e">
        <f>GAMMAINV(K19,C19, 21)</f>
        <v>#VALUE!</v>
      </c>
      <c r="AA19" s="6" t="e">
        <f t="shared" ref="AA19:AF19" si="16">GAMMAINV(L19,D19, 21)</f>
        <v>#N/A</v>
      </c>
      <c r="AB19" s="6" t="e">
        <f t="shared" si="16"/>
        <v>#DIV/0!</v>
      </c>
      <c r="AC19" s="6" t="e">
        <f t="shared" si="16"/>
        <v>#NAME?</v>
      </c>
      <c r="AD19" s="6" t="e">
        <f t="shared" si="16"/>
        <v>#NULL!</v>
      </c>
      <c r="AE19" s="6" t="e">
        <f t="shared" si="16"/>
        <v>#NUM!</v>
      </c>
      <c r="AF19" s="6" t="e">
        <f t="shared" si="16"/>
        <v>#REF!</v>
      </c>
      <c r="AG19" s="6">
        <f t="array" ref="AG19">GAMMAINV(0.6, C19:Q19,32)</f>
        <v>335.22189404421943</v>
      </c>
      <c r="AH19" s="6">
        <f t="array" ref="AH19:AW19">GAMMAINV(0.5, C19:Q19, 23)</f>
        <v>222.38043613842498</v>
      </c>
      <c r="AI19" s="6">
        <v>1.3647995402585194E-2</v>
      </c>
      <c r="AJ19" s="6">
        <v>9.3707462149581442</v>
      </c>
      <c r="AK19" s="6">
        <v>2292.3378931442562</v>
      </c>
      <c r="AL19" s="6">
        <v>84.457397223570624</v>
      </c>
      <c r="AM19" s="6" t="e">
        <v>#NUM!</v>
      </c>
      <c r="AN19" s="6">
        <v>291.36926835098859</v>
      </c>
      <c r="AO19" s="6">
        <v>15.942385152878742</v>
      </c>
      <c r="AP19" s="6" t="e">
        <v>#VALUE!</v>
      </c>
      <c r="AQ19" s="6" t="e">
        <v>#N/A</v>
      </c>
      <c r="AR19" s="6" t="e">
        <v>#DIV/0!</v>
      </c>
      <c r="AS19" s="6" t="e">
        <v>#NAME?</v>
      </c>
      <c r="AT19" s="6" t="e">
        <v>#NULL!</v>
      </c>
      <c r="AU19" s="6" t="e">
        <v>#NUM!</v>
      </c>
      <c r="AV19" s="6" t="e">
        <v>#REF!</v>
      </c>
      <c r="AW19" s="4" t="e">
        <v>#N/A</v>
      </c>
    </row>
    <row r="20" spans="1:49" x14ac:dyDescent="0.15">
      <c r="A20" s="35" t="s">
        <v>464</v>
      </c>
      <c r="B20" s="36" t="s">
        <v>541</v>
      </c>
      <c r="C20" s="4">
        <v>0</v>
      </c>
      <c r="D20" s="4">
        <v>5</v>
      </c>
      <c r="E20" s="4">
        <v>0.7</v>
      </c>
      <c r="F20" s="4">
        <v>3</v>
      </c>
      <c r="G20" s="4">
        <v>4</v>
      </c>
      <c r="H20" s="6"/>
      <c r="I20" s="16" t="s">
        <v>444</v>
      </c>
      <c r="J20" s="6" t="b">
        <v>1</v>
      </c>
      <c r="K20" s="6" t="e">
        <v>#VALUE!</v>
      </c>
      <c r="L20" s="6" t="e">
        <v>#N/A</v>
      </c>
      <c r="M20" s="7" t="e">
        <v>#DIV/0!</v>
      </c>
      <c r="N20" s="7" t="e">
        <v>#NAME?</v>
      </c>
      <c r="O20" s="7" t="e">
        <v>#NULL!</v>
      </c>
      <c r="P20" s="7" t="e">
        <v>#NUM!</v>
      </c>
      <c r="Q20" s="7" t="e">
        <v>#REF!</v>
      </c>
      <c r="R20" s="6">
        <f>HYPGEOMDIST(C20,,,)</f>
        <v>1</v>
      </c>
      <c r="S20" s="6" t="e">
        <f>HYPGEOMDIST(D20,10,30,7)</f>
        <v>#NUM!</v>
      </c>
      <c r="T20" s="6">
        <f>HYPGEOMDIST(E20,"1",5,8)</f>
        <v>0.37500000000000006</v>
      </c>
      <c r="U20" s="6" t="e">
        <f>HYPGEOMDIST(F20,-1,3,5)</f>
        <v>#NUM!</v>
      </c>
      <c r="V20" s="6" t="e">
        <f>HYPGEOMDIST(G20,3, 7,4)</f>
        <v>#NUM!</v>
      </c>
      <c r="W20" s="6">
        <f>HYPGEOMDIST(H20,H20,4,4)</f>
        <v>1</v>
      </c>
      <c r="X20" s="6" t="e">
        <f>HYPGEOMDIST(I20,I20,4,4)</f>
        <v>#NUM!</v>
      </c>
      <c r="Y20" s="6" t="e">
        <f>HYPGEOMDIST(J20,I20,45,32)</f>
        <v>#NUM!</v>
      </c>
      <c r="Z20" s="6" t="e">
        <f>HYPGEOMDIST(K20,I20,3,3)</f>
        <v>#VALUE!</v>
      </c>
      <c r="AA20" s="6" t="e">
        <f t="shared" ref="AA20:AF20" si="17">HYPGEOMDIST(L20,J20,3,3)</f>
        <v>#N/A</v>
      </c>
      <c r="AB20" s="6" t="e">
        <f t="shared" si="17"/>
        <v>#DIV/0!</v>
      </c>
      <c r="AC20" s="6" t="e">
        <f t="shared" si="17"/>
        <v>#NAME?</v>
      </c>
      <c r="AD20" s="6" t="e">
        <f t="shared" si="17"/>
        <v>#NULL!</v>
      </c>
      <c r="AE20" s="6" t="e">
        <f t="shared" si="17"/>
        <v>#NUM!</v>
      </c>
      <c r="AF20" s="6" t="e">
        <f t="shared" si="17"/>
        <v>#REF!</v>
      </c>
      <c r="AG20" s="6">
        <f t="array" ref="AG20">HYPGEOMDIST(C20:Q20,2,3,3)</f>
        <v>0</v>
      </c>
      <c r="AH20" s="6">
        <f t="array" ref="AH20:AW20">HYPGEOMDIST(C20:Q20, 3,2,30)</f>
        <v>0.80689655172413799</v>
      </c>
      <c r="AI20" s="6">
        <v>0</v>
      </c>
      <c r="AJ20" s="6">
        <v>0.80689655172413799</v>
      </c>
      <c r="AK20" s="6">
        <v>0</v>
      </c>
      <c r="AL20" s="6">
        <v>0</v>
      </c>
      <c r="AM20" s="6">
        <v>0.80689655172413799</v>
      </c>
      <c r="AN20" s="6">
        <v>0</v>
      </c>
      <c r="AO20" s="6">
        <v>0.18620689655172418</v>
      </c>
      <c r="AP20" s="6" t="e">
        <v>#VALUE!</v>
      </c>
      <c r="AQ20" s="6" t="e">
        <v>#N/A</v>
      </c>
      <c r="AR20" s="6" t="e">
        <v>#DIV/0!</v>
      </c>
      <c r="AS20" s="6" t="e">
        <v>#NAME?</v>
      </c>
      <c r="AT20" s="6" t="e">
        <v>#NULL!</v>
      </c>
      <c r="AU20" s="6" t="e">
        <v>#NUM!</v>
      </c>
      <c r="AV20" s="6" t="e">
        <v>#REF!</v>
      </c>
      <c r="AW20" s="4" t="e">
        <v>#N/A</v>
      </c>
    </row>
    <row r="21" spans="1:49" x14ac:dyDescent="0.15">
      <c r="A21" s="35" t="s">
        <v>465</v>
      </c>
      <c r="B21" s="36" t="s">
        <v>541</v>
      </c>
      <c r="C21" s="4">
        <v>0</v>
      </c>
      <c r="D21" s="4">
        <v>0.1</v>
      </c>
      <c r="E21" s="4">
        <v>0.7</v>
      </c>
      <c r="F21" s="4">
        <v>2E-3</v>
      </c>
      <c r="G21" s="4">
        <v>4</v>
      </c>
      <c r="H21" s="6"/>
      <c r="I21" s="16" t="s">
        <v>785</v>
      </c>
      <c r="J21" s="6" t="b">
        <v>1</v>
      </c>
      <c r="K21" s="6" t="e">
        <v>#VALUE!</v>
      </c>
      <c r="L21" s="6" t="e">
        <v>#N/A</v>
      </c>
      <c r="M21" s="7" t="e">
        <v>#DIV/0!</v>
      </c>
      <c r="N21" s="7" t="e">
        <v>#NAME?</v>
      </c>
      <c r="O21" s="7" t="e">
        <v>#NULL!</v>
      </c>
      <c r="P21" s="7" t="e">
        <v>#NUM!</v>
      </c>
      <c r="Q21" s="7" t="e">
        <v>#REF!</v>
      </c>
      <c r="R21" s="6" t="e">
        <f>LOGINV(C21,4,4)</f>
        <v>#NUM!</v>
      </c>
      <c r="S21" s="6">
        <f>LOGINV(D21,2,2)</f>
        <v>0.56943927460852906</v>
      </c>
      <c r="T21" s="6">
        <f>LOGINV(0.4,2,E21)</f>
        <v>6.1882790547343696</v>
      </c>
      <c r="U21" s="6">
        <f>LOGINV(F21,4,3)</f>
        <v>9.7111048607547417E-3</v>
      </c>
      <c r="V21" s="6" t="e">
        <f>LOGINV(G21,D21,E21)</f>
        <v>#NUM!</v>
      </c>
      <c r="W21" s="6" t="e">
        <f>LOGINV(H21,3,2)</f>
        <v>#NUM!</v>
      </c>
      <c r="X21" s="6">
        <f>LOGINV(0.9,I21, 1)</f>
        <v>1593672.3506554586</v>
      </c>
      <c r="Y21" s="6">
        <f>LOGINV(0.3,J21,2)</f>
        <v>0.95237060839269838</v>
      </c>
      <c r="Z21" s="6" t="e">
        <f>LOGINV(K21,C21,E21)</f>
        <v>#VALUE!</v>
      </c>
      <c r="AA21" s="6" t="e">
        <f t="shared" ref="AA21:AF21" si="18">LOGINV(L21,D21,F21)</f>
        <v>#N/A</v>
      </c>
      <c r="AB21" s="6" t="e">
        <f t="shared" si="18"/>
        <v>#DIV/0!</v>
      </c>
      <c r="AC21" s="6" t="e">
        <f t="shared" si="18"/>
        <v>#NAME?</v>
      </c>
      <c r="AD21" s="6" t="e">
        <f t="shared" si="18"/>
        <v>#NULL!</v>
      </c>
      <c r="AE21" s="6" t="e">
        <f t="shared" si="18"/>
        <v>#NUM!</v>
      </c>
      <c r="AF21" s="6" t="e">
        <f t="shared" si="18"/>
        <v>#REF!</v>
      </c>
      <c r="AG21" s="6" t="e">
        <f t="array" ref="AG21">LOGINV(C21:Q21,3,3)</f>
        <v>#NUM!</v>
      </c>
      <c r="AH21" s="6" t="e">
        <f t="array" ref="AH21:AW21">LOGINV(C21:Q21, 3,2)</f>
        <v>#NUM!</v>
      </c>
      <c r="AI21" s="6">
        <v>1.5478964325792646</v>
      </c>
      <c r="AJ21" s="6">
        <v>57.328680192355705</v>
      </c>
      <c r="AK21" s="6">
        <v>6.3524890202528467E-2</v>
      </c>
      <c r="AL21" s="6" t="e">
        <v>#NUM!</v>
      </c>
      <c r="AM21" s="6" t="e">
        <v>#NUM!</v>
      </c>
      <c r="AN21" s="6" t="e">
        <v>#NUM!</v>
      </c>
      <c r="AO21" s="6" t="e">
        <v>#NUM!</v>
      </c>
      <c r="AP21" s="6" t="e">
        <v>#VALUE!</v>
      </c>
      <c r="AQ21" s="6" t="e">
        <v>#N/A</v>
      </c>
      <c r="AR21" s="6" t="e">
        <v>#DIV/0!</v>
      </c>
      <c r="AS21" s="6" t="e">
        <v>#NAME?</v>
      </c>
      <c r="AT21" s="6" t="e">
        <v>#NULL!</v>
      </c>
      <c r="AU21" s="6" t="e">
        <v>#NUM!</v>
      </c>
      <c r="AV21" s="6" t="e">
        <v>#REF!</v>
      </c>
      <c r="AW21" s="4" t="e">
        <v>#N/A</v>
      </c>
    </row>
    <row r="22" spans="1:49" x14ac:dyDescent="0.15">
      <c r="A22" s="37" t="s">
        <v>466</v>
      </c>
      <c r="B22" s="36" t="s">
        <v>541</v>
      </c>
      <c r="C22" s="4">
        <v>0</v>
      </c>
      <c r="D22" s="4">
        <v>5</v>
      </c>
      <c r="E22" s="4">
        <v>0.7</v>
      </c>
      <c r="F22" s="4">
        <v>3</v>
      </c>
      <c r="G22" s="4">
        <v>4</v>
      </c>
      <c r="H22" s="6"/>
      <c r="I22" s="16" t="s">
        <v>444</v>
      </c>
      <c r="J22" s="6" t="b">
        <v>1</v>
      </c>
      <c r="K22" s="6" t="e">
        <v>#VALUE!</v>
      </c>
      <c r="L22" s="6" t="e">
        <v>#N/A</v>
      </c>
      <c r="M22" s="7" t="e">
        <v>#DIV/0!</v>
      </c>
      <c r="N22" s="7" t="e">
        <v>#NAME?</v>
      </c>
      <c r="O22" s="7" t="e">
        <v>#NULL!</v>
      </c>
      <c r="P22" s="7" t="e">
        <v>#NUM!</v>
      </c>
      <c r="Q22" s="7" t="e">
        <v>#REF!</v>
      </c>
      <c r="R22" s="6" t="e">
        <f>LOGNORMDIST(C22,,)</f>
        <v>#NUM!</v>
      </c>
      <c r="S22" s="6">
        <f>LOGNORMDIST(D22,1,2)</f>
        <v>0.61970989457732917</v>
      </c>
      <c r="T22" s="6">
        <f>LOGNORMDIST(E22,"1","3")</f>
        <v>0.32555345664186924</v>
      </c>
      <c r="U22" s="6">
        <f>LOGNORMDIST(F22,-1,2)</f>
        <v>0.85298138049341365</v>
      </c>
      <c r="V22" s="6" t="e">
        <f>LOGNORMDIST(G22, 0,0)</f>
        <v>#NUM!</v>
      </c>
      <c r="W22" s="6" t="e">
        <f>LOGNORMDIST(H22,H22,G22)</f>
        <v>#NUM!</v>
      </c>
      <c r="X22" s="6">
        <f>LOGNORMDIST(I22,,I22)</f>
        <v>0.52720233936387584</v>
      </c>
      <c r="Y22" s="6">
        <f>LOGNORMDIST(J22,I22,E22)</f>
        <v>0</v>
      </c>
      <c r="Z22" s="6" t="e">
        <f>LOGNORMDIST(K22,I22,G22)</f>
        <v>#VALUE!</v>
      </c>
      <c r="AA22" s="6" t="e">
        <f>LOGNORMDIST(L22,J22,H22)</f>
        <v>#N/A</v>
      </c>
      <c r="AB22" s="6" t="e">
        <f t="shared" ref="AB22:AF22" si="19">LOGNORMDIST(M22,K22,I22)</f>
        <v>#DIV/0!</v>
      </c>
      <c r="AC22" s="6" t="e">
        <f t="shared" si="19"/>
        <v>#NAME?</v>
      </c>
      <c r="AD22" s="6" t="e">
        <f t="shared" si="19"/>
        <v>#NULL!</v>
      </c>
      <c r="AE22" s="6" t="e">
        <f t="shared" si="19"/>
        <v>#NUM!</v>
      </c>
      <c r="AF22" s="6" t="e">
        <f t="shared" si="19"/>
        <v>#REF!</v>
      </c>
      <c r="AG22" s="6" t="e">
        <f t="array" ref="AG22">LOGNORMDIST(C22:Q22,3,3)</f>
        <v>#NUM!</v>
      </c>
      <c r="AH22" s="6" t="e">
        <f t="array" ref="AH22:AW22">LOGNORMDIST(C22:Q22,3,4)</f>
        <v>#NUM!</v>
      </c>
      <c r="AI22" s="6">
        <v>0.3640550850645351</v>
      </c>
      <c r="AJ22" s="6">
        <v>0.20068731433577011</v>
      </c>
      <c r="AK22" s="6">
        <v>0.31726985786486067</v>
      </c>
      <c r="AL22" s="6">
        <v>0.34331728079213197</v>
      </c>
      <c r="AM22" s="6" t="e">
        <v>#NUM!</v>
      </c>
      <c r="AN22" s="6">
        <v>0.60779865699501057</v>
      </c>
      <c r="AO22" s="6">
        <v>0.22662735237686821</v>
      </c>
      <c r="AP22" s="6" t="e">
        <v>#VALUE!</v>
      </c>
      <c r="AQ22" s="6" t="e">
        <v>#N/A</v>
      </c>
      <c r="AR22" s="6" t="e">
        <v>#DIV/0!</v>
      </c>
      <c r="AS22" s="6" t="e">
        <v>#NAME?</v>
      </c>
      <c r="AT22" s="6" t="e">
        <v>#NULL!</v>
      </c>
      <c r="AU22" s="6" t="e">
        <v>#NUM!</v>
      </c>
      <c r="AV22" s="6" t="e">
        <v>#REF!</v>
      </c>
      <c r="AW22" s="4" t="e">
        <v>#N/A</v>
      </c>
    </row>
    <row r="23" spans="1:49" x14ac:dyDescent="0.15">
      <c r="A23" s="37" t="s">
        <v>467</v>
      </c>
      <c r="B23" s="36" t="s">
        <v>541</v>
      </c>
      <c r="C23" s="4">
        <v>0</v>
      </c>
      <c r="D23" s="4">
        <v>0.1</v>
      </c>
      <c r="E23" s="4">
        <v>0.2</v>
      </c>
      <c r="F23" s="4">
        <v>0.3</v>
      </c>
      <c r="G23" s="4">
        <v>-0.1</v>
      </c>
      <c r="H23" s="6"/>
      <c r="I23" s="16" t="s">
        <v>444</v>
      </c>
      <c r="J23" s="6" t="b">
        <v>1</v>
      </c>
      <c r="K23" s="6" t="e">
        <v>#VALUE!</v>
      </c>
      <c r="L23" s="6" t="e">
        <v>#N/A</v>
      </c>
      <c r="M23" s="7" t="e">
        <v>#DIV/0!</v>
      </c>
      <c r="N23" s="7" t="e">
        <v>#NAME?</v>
      </c>
      <c r="O23" s="7" t="e">
        <v>#NULL!</v>
      </c>
      <c r="P23" s="7" t="e">
        <v>#NUM!</v>
      </c>
      <c r="Q23" s="7" t="e">
        <v>#REF!</v>
      </c>
      <c r="R23" s="6">
        <f>MODE(C23:D23,D23:E23,E23:F23)</f>
        <v>0.1</v>
      </c>
      <c r="S23" s="6">
        <f>MODE(D23:E23,E23:F23,F23:G23,"")</f>
        <v>0.2</v>
      </c>
      <c r="T23" s="6">
        <f>MODE(E23:F23,F23:G23,G23:H23,"29/02/1900")</f>
        <v>0.3</v>
      </c>
      <c r="U23" s="6">
        <f>MODE(F23:G23,G23:H23,H23:I23)</f>
        <v>-0.1</v>
      </c>
      <c r="V23" s="6" t="e">
        <f>MODE(G23:H23,H23:I23,I23:J23)</f>
        <v>#N/A</v>
      </c>
      <c r="W23" s="6" t="e">
        <f>MODE(G23:H23)</f>
        <v>#N/A</v>
      </c>
      <c r="X23" s="6" t="e">
        <f>MODE(I23,G23)</f>
        <v>#N/A</v>
      </c>
      <c r="Y23" s="6" t="e">
        <f>MODE(J23,G23)</f>
        <v>#N/A</v>
      </c>
      <c r="Z23" s="6" t="e">
        <f>MODE(K23:L23)</f>
        <v>#VALUE!</v>
      </c>
      <c r="AA23" s="6" t="e">
        <f t="shared" ref="AA23:AF23" si="20">MODE(L23:M23)</f>
        <v>#N/A</v>
      </c>
      <c r="AB23" s="6" t="e">
        <f t="shared" si="20"/>
        <v>#DIV/0!</v>
      </c>
      <c r="AC23" s="6" t="e">
        <f t="shared" si="20"/>
        <v>#NAME?</v>
      </c>
      <c r="AD23" s="6" t="e">
        <f t="shared" si="20"/>
        <v>#NULL!</v>
      </c>
      <c r="AE23" s="6" t="e">
        <f t="shared" si="20"/>
        <v>#NUM!</v>
      </c>
      <c r="AF23" s="6" t="e">
        <f t="shared" si="20"/>
        <v>#REF!</v>
      </c>
      <c r="AG23" s="6" t="e">
        <f t="array" ref="AG23">MODE(H23:J23)</f>
        <v>#N/A</v>
      </c>
      <c r="AH23" s="6">
        <f t="array" ref="AH23:AW23">MODE(C23:J23,D23:F23,E23:G23)</f>
        <v>0.2</v>
      </c>
      <c r="AI23" s="6">
        <v>0.2</v>
      </c>
      <c r="AJ23" s="6">
        <v>0.2</v>
      </c>
      <c r="AK23" s="6">
        <v>0.2</v>
      </c>
      <c r="AL23" s="6">
        <v>0.2</v>
      </c>
      <c r="AM23" s="6">
        <v>0.2</v>
      </c>
      <c r="AN23" s="6">
        <v>0.2</v>
      </c>
      <c r="AO23" s="6">
        <v>0.2</v>
      </c>
      <c r="AP23" s="6">
        <v>0.2</v>
      </c>
      <c r="AQ23" s="6">
        <v>0.2</v>
      </c>
      <c r="AR23" s="6">
        <v>0.2</v>
      </c>
      <c r="AS23" s="6">
        <v>0.2</v>
      </c>
      <c r="AT23" s="6">
        <v>0.2</v>
      </c>
      <c r="AU23" s="6">
        <v>0.2</v>
      </c>
      <c r="AV23" s="6">
        <v>0.2</v>
      </c>
      <c r="AW23" s="4">
        <v>0.2</v>
      </c>
    </row>
    <row r="24" spans="1:49" x14ac:dyDescent="0.15">
      <c r="A24" s="37" t="s">
        <v>468</v>
      </c>
      <c r="B24" s="36" t="s">
        <v>541</v>
      </c>
      <c r="C24" s="4">
        <v>0</v>
      </c>
      <c r="D24" s="4">
        <v>5</v>
      </c>
      <c r="E24" s="4">
        <v>0.7</v>
      </c>
      <c r="F24" s="4">
        <v>3</v>
      </c>
      <c r="G24" s="4">
        <v>4</v>
      </c>
      <c r="H24" s="6"/>
      <c r="I24" s="16" t="s">
        <v>444</v>
      </c>
      <c r="J24" s="6" t="b">
        <v>1</v>
      </c>
      <c r="K24" s="6" t="e">
        <v>#VALUE!</v>
      </c>
      <c r="L24" s="6" t="e">
        <v>#N/A</v>
      </c>
      <c r="M24" s="7" t="e">
        <v>#DIV/0!</v>
      </c>
      <c r="N24" s="7" t="e">
        <v>#NAME?</v>
      </c>
      <c r="O24" s="7" t="e">
        <v>#NULL!</v>
      </c>
      <c r="P24" s="7" t="e">
        <v>#NUM!</v>
      </c>
      <c r="Q24" s="7" t="e">
        <v>#REF!</v>
      </c>
      <c r="R24" s="6" t="e">
        <f>NEGBINOMDIST(C24,,)</f>
        <v>#NUM!</v>
      </c>
      <c r="S24" s="6">
        <f>NEGBINOMDIST(D24,10,0.2)</f>
        <v>6.7175972863999937E-5</v>
      </c>
      <c r="T24" s="6">
        <f>NEGBINOMDIST(E24,"1",".3")</f>
        <v>0.3</v>
      </c>
      <c r="U24" s="6" t="e">
        <f>NEGBINOMDIST(F24,-1,0.2)</f>
        <v>#NUM!</v>
      </c>
      <c r="V24" s="26">
        <f>NEGBINOMDIST(G24, 7,0.4)</f>
        <v>4.4590694400000033E-2</v>
      </c>
      <c r="W24" s="6" t="e">
        <f>NEGBINOMDIST(H24,H24,G24/7)</f>
        <v>#NUM!</v>
      </c>
      <c r="X24" s="6" t="e">
        <f>NEGBINOMDIST(I24,I24,)</f>
        <v>#NUM!</v>
      </c>
      <c r="Y24" s="6">
        <f>NEGBINOMDIST(J24,I24,E24)</f>
        <v>9.1443934933131699E-9</v>
      </c>
      <c r="Z24" s="6" t="e">
        <f>NEGBINOMDIST(K24,I24,G24)</f>
        <v>#VALUE!</v>
      </c>
      <c r="AA24" s="6" t="e">
        <f t="shared" ref="AA24:AF24" si="21">NEGBINOMDIST(L24,J24,H24)</f>
        <v>#N/A</v>
      </c>
      <c r="AB24" s="6" t="e">
        <f t="shared" si="21"/>
        <v>#DIV/0!</v>
      </c>
      <c r="AC24" s="6" t="e">
        <f t="shared" si="21"/>
        <v>#NAME?</v>
      </c>
      <c r="AD24" s="6" t="e">
        <f t="shared" si="21"/>
        <v>#NULL!</v>
      </c>
      <c r="AE24" s="6" t="e">
        <f t="shared" si="21"/>
        <v>#NUM!</v>
      </c>
      <c r="AF24" s="6" t="e">
        <f t="shared" si="21"/>
        <v>#REF!</v>
      </c>
      <c r="AG24" s="6">
        <f t="array" ref="AG24">NEGBINOMDIST(C24:Q24,3,0.3)</f>
        <v>2.6999999999999982E-2</v>
      </c>
      <c r="AH24" s="6">
        <f t="array" ref="AH24:AW24">NEGBINOMDIST(C24:Q24,3,0.4)</f>
        <v>6.4000000000000015E-2</v>
      </c>
      <c r="AI24" s="6">
        <v>0.10450943999999998</v>
      </c>
      <c r="AJ24" s="6">
        <v>6.4000000000000015E-2</v>
      </c>
      <c r="AK24" s="6">
        <v>0.13823999999999997</v>
      </c>
      <c r="AL24" s="6">
        <v>0.12441599999999998</v>
      </c>
      <c r="AM24" s="6">
        <v>6.4000000000000015E-2</v>
      </c>
      <c r="AN24" s="6">
        <v>5.91488800393491E-12</v>
      </c>
      <c r="AO24" s="6">
        <v>0.11520000000000002</v>
      </c>
      <c r="AP24" s="6" t="e">
        <v>#VALUE!</v>
      </c>
      <c r="AQ24" s="6" t="e">
        <v>#N/A</v>
      </c>
      <c r="AR24" s="6" t="e">
        <v>#DIV/0!</v>
      </c>
      <c r="AS24" s="6" t="e">
        <v>#NAME?</v>
      </c>
      <c r="AT24" s="6" t="e">
        <v>#NULL!</v>
      </c>
      <c r="AU24" s="6" t="e">
        <v>#NUM!</v>
      </c>
      <c r="AV24" s="6" t="e">
        <v>#REF!</v>
      </c>
      <c r="AW24" s="4" t="e">
        <v>#N/A</v>
      </c>
    </row>
    <row r="25" spans="1:49" x14ac:dyDescent="0.15">
      <c r="A25" s="35" t="s">
        <v>166</v>
      </c>
      <c r="B25" s="36" t="s">
        <v>541</v>
      </c>
      <c r="C25" s="4">
        <v>0</v>
      </c>
      <c r="D25" s="4">
        <v>-0.1</v>
      </c>
      <c r="E25" s="4">
        <v>0.7</v>
      </c>
      <c r="F25" s="4">
        <v>2E-3</v>
      </c>
      <c r="G25" s="4">
        <v>4</v>
      </c>
      <c r="H25" s="6"/>
      <c r="I25" s="16" t="s">
        <v>444</v>
      </c>
      <c r="J25" s="6" t="b">
        <v>1</v>
      </c>
      <c r="K25" s="6" t="e">
        <v>#VALUE!</v>
      </c>
      <c r="L25" s="6" t="e">
        <v>#N/A</v>
      </c>
      <c r="M25" s="7" t="e">
        <v>#DIV/0!</v>
      </c>
      <c r="N25" s="7" t="e">
        <v>#NAME?</v>
      </c>
      <c r="O25" s="7" t="e">
        <v>#NULL!</v>
      </c>
      <c r="P25" s="7" t="e">
        <v>#NUM!</v>
      </c>
      <c r="Q25" s="7" t="e">
        <v>#REF!</v>
      </c>
      <c r="R25" s="6" t="e">
        <f>_xlfn.NORM.INV(C25,4,4)</f>
        <v>#NUM!</v>
      </c>
      <c r="S25" s="6" t="e">
        <f>_xlfn.NORM.INV(D25,2,2)</f>
        <v>#NUM!</v>
      </c>
      <c r="T25" s="6">
        <f>_xlfn.NORM.INV(0.4,2,E25)</f>
        <v>1.8226570278049401</v>
      </c>
      <c r="U25" s="6">
        <f>_xlfn.NORM.INV(F25,4,3)</f>
        <v>-4.6344852172864481</v>
      </c>
      <c r="V25" s="6" t="e">
        <f>_xlfn.NORM.INV(G25,D25,E25)</f>
        <v>#NUM!</v>
      </c>
      <c r="W25" s="6" t="e">
        <f>_xlfn.NORM.INV(H25,3,2)</f>
        <v>#NUM!</v>
      </c>
      <c r="X25" s="6">
        <f>_xlfn.NORM.INV(0.3,I25,2)</f>
        <v>58.951198974583917</v>
      </c>
      <c r="Y25" s="6">
        <f>_xlfn.NORM.INV(0.3,J25,2)</f>
        <v>-4.8801025416081778E-2</v>
      </c>
      <c r="Z25" s="6" t="e">
        <f t="shared" ref="Z25:AF25" si="22">_xlfn.NORM.INV(K25,C25,E25)</f>
        <v>#VALUE!</v>
      </c>
      <c r="AA25" s="6" t="e">
        <f t="shared" si="22"/>
        <v>#N/A</v>
      </c>
      <c r="AB25" s="6" t="e">
        <f t="shared" si="22"/>
        <v>#DIV/0!</v>
      </c>
      <c r="AC25" s="6" t="e">
        <f t="shared" si="22"/>
        <v>#NAME?</v>
      </c>
      <c r="AD25" s="6" t="e">
        <f t="shared" si="22"/>
        <v>#NULL!</v>
      </c>
      <c r="AE25" s="6" t="e">
        <f t="shared" si="22"/>
        <v>#NUM!</v>
      </c>
      <c r="AF25" s="6" t="e">
        <f t="shared" si="22"/>
        <v>#REF!</v>
      </c>
      <c r="AG25" s="6" t="e">
        <f t="array" ref="AG25">_xlfn.NORM.INV(C25:Q25,3,3)</f>
        <v>#NUM!</v>
      </c>
      <c r="AH25" s="6" t="e">
        <f t="array" ref="AH25:AW25">_xlfn.NORM.INV(C25:Q25, 3,2)</f>
        <v>#NUM!</v>
      </c>
      <c r="AI25" s="6" t="e">
        <v>#NUM!</v>
      </c>
      <c r="AJ25" s="6">
        <v>4.0488010254160818</v>
      </c>
      <c r="AK25" s="6">
        <v>-2.7563234781909651</v>
      </c>
      <c r="AL25" s="6" t="e">
        <v>#NUM!</v>
      </c>
      <c r="AM25" s="6" t="e">
        <v>#NUM!</v>
      </c>
      <c r="AN25" s="6" t="e">
        <v>#NUM!</v>
      </c>
      <c r="AO25" s="6" t="e">
        <v>#NUM!</v>
      </c>
      <c r="AP25" s="6" t="e">
        <v>#VALUE!</v>
      </c>
      <c r="AQ25" s="6" t="e">
        <v>#N/A</v>
      </c>
      <c r="AR25" s="6" t="e">
        <v>#DIV/0!</v>
      </c>
      <c r="AS25" s="6" t="e">
        <v>#NAME?</v>
      </c>
      <c r="AT25" s="6" t="e">
        <v>#NULL!</v>
      </c>
      <c r="AU25" s="6" t="e">
        <v>#NUM!</v>
      </c>
      <c r="AV25" s="6" t="e">
        <v>#REF!</v>
      </c>
      <c r="AW25" s="4" t="e">
        <v>#N/A</v>
      </c>
    </row>
    <row r="26" spans="1:49" x14ac:dyDescent="0.15">
      <c r="A26" s="37" t="s">
        <v>469</v>
      </c>
      <c r="B26" s="36" t="s">
        <v>541</v>
      </c>
      <c r="C26" s="4">
        <v>0</v>
      </c>
      <c r="D26" s="4">
        <v>-0.1</v>
      </c>
      <c r="E26" s="4">
        <v>0.7</v>
      </c>
      <c r="F26" s="4">
        <v>3</v>
      </c>
      <c r="G26" s="4">
        <v>4</v>
      </c>
      <c r="H26" s="6"/>
      <c r="I26" s="16" t="s">
        <v>444</v>
      </c>
      <c r="J26" s="6" t="b">
        <v>1</v>
      </c>
      <c r="K26" s="6" t="e">
        <v>#VALUE!</v>
      </c>
      <c r="L26" s="6" t="e">
        <v>#N/A</v>
      </c>
      <c r="M26" s="7" t="e">
        <v>#DIV/0!</v>
      </c>
      <c r="N26" s="7" t="e">
        <v>#NAME?</v>
      </c>
      <c r="O26" s="7" t="e">
        <v>#NULL!</v>
      </c>
      <c r="P26" s="7" t="e">
        <v>#NUM!</v>
      </c>
      <c r="Q26" s="7" t="e">
        <v>#REF!</v>
      </c>
      <c r="R26" s="6" t="e">
        <f>NORMDIST(C26,,,)</f>
        <v>#NUM!</v>
      </c>
      <c r="S26" s="6">
        <f>NORMDIST(D26,1,2,FALSE)</f>
        <v>0.17147192750969195</v>
      </c>
      <c r="T26" s="6">
        <f>NORMDIST(E26,"1","3",5)</f>
        <v>0.46017216272297101</v>
      </c>
      <c r="U26" s="6">
        <f>NORMDIST(F26,-1,2,"TRUE")</f>
        <v>0.97724986805182079</v>
      </c>
      <c r="V26" s="6" t="e">
        <f>NORMDIST(G26, 0,0,1)</f>
        <v>#NUM!</v>
      </c>
      <c r="W26" s="6">
        <f>NORMDIST(H26,H26,G26,1)</f>
        <v>0.5</v>
      </c>
      <c r="X26" s="6">
        <f>NORMDIST(I26,,I26,1)</f>
        <v>0.84134474606854304</v>
      </c>
      <c r="Y26" s="6">
        <f>NORMDIST(J26,I26,E26,1)</f>
        <v>0</v>
      </c>
      <c r="Z26" s="6" t="e">
        <f t="shared" ref="Z26:AF26" si="23">NORMDIST(K26,I26,G26,1)</f>
        <v>#VALUE!</v>
      </c>
      <c r="AA26" s="6" t="e">
        <f t="shared" si="23"/>
        <v>#N/A</v>
      </c>
      <c r="AB26" s="6" t="e">
        <f t="shared" si="23"/>
        <v>#DIV/0!</v>
      </c>
      <c r="AC26" s="6" t="e">
        <f t="shared" si="23"/>
        <v>#NAME?</v>
      </c>
      <c r="AD26" s="6" t="e">
        <f t="shared" si="23"/>
        <v>#NULL!</v>
      </c>
      <c r="AE26" s="6" t="e">
        <f t="shared" si="23"/>
        <v>#NUM!</v>
      </c>
      <c r="AF26" s="6" t="e">
        <f t="shared" si="23"/>
        <v>#REF!</v>
      </c>
      <c r="AG26" s="6">
        <f t="array" ref="AG26">NORMDIST(C26:Q26,3,3,1)</f>
        <v>0.15865525393145699</v>
      </c>
      <c r="AH26" s="6">
        <f t="array" ref="AH26:AW26">NORMDIST(C26:Q26,C26:Q26,4,1)</f>
        <v>0.5</v>
      </c>
      <c r="AI26" s="6">
        <v>0.5</v>
      </c>
      <c r="AJ26" s="6">
        <v>0.5</v>
      </c>
      <c r="AK26" s="6">
        <v>0.5</v>
      </c>
      <c r="AL26" s="6">
        <v>0.5</v>
      </c>
      <c r="AM26" s="6">
        <v>0.5</v>
      </c>
      <c r="AN26" s="6">
        <v>0.5</v>
      </c>
      <c r="AO26" s="6">
        <v>0.5</v>
      </c>
      <c r="AP26" s="6" t="e">
        <v>#VALUE!</v>
      </c>
      <c r="AQ26" s="6" t="e">
        <v>#N/A</v>
      </c>
      <c r="AR26" s="6" t="e">
        <v>#DIV/0!</v>
      </c>
      <c r="AS26" s="6" t="e">
        <v>#NAME?</v>
      </c>
      <c r="AT26" s="6" t="e">
        <v>#NULL!</v>
      </c>
      <c r="AU26" s="6" t="e">
        <v>#NUM!</v>
      </c>
      <c r="AV26" s="6" t="e">
        <v>#REF!</v>
      </c>
      <c r="AW26" s="4" t="e">
        <v>#N/A</v>
      </c>
    </row>
    <row r="27" spans="1:49" x14ac:dyDescent="0.15">
      <c r="A27" s="37" t="s">
        <v>471</v>
      </c>
      <c r="B27" s="36" t="s">
        <v>541</v>
      </c>
      <c r="C27" s="4">
        <v>0</v>
      </c>
      <c r="D27" s="4">
        <v>-0.1</v>
      </c>
      <c r="E27" s="4">
        <v>0.7</v>
      </c>
      <c r="F27" s="4">
        <v>3</v>
      </c>
      <c r="G27" s="4">
        <v>4</v>
      </c>
      <c r="H27" s="6"/>
      <c r="I27" s="16" t="s">
        <v>444</v>
      </c>
      <c r="J27" s="6" t="b">
        <v>1</v>
      </c>
      <c r="K27" s="6" t="e">
        <v>#VALUE!</v>
      </c>
      <c r="L27" s="6" t="e">
        <v>#N/A</v>
      </c>
      <c r="M27" s="7" t="e">
        <v>#DIV/0!</v>
      </c>
      <c r="N27" s="7" t="e">
        <v>#NAME?</v>
      </c>
      <c r="O27" s="7" t="e">
        <v>#NULL!</v>
      </c>
      <c r="P27" s="7" t="e">
        <v>#NUM!</v>
      </c>
      <c r="Q27" s="7" t="e">
        <v>#REF!</v>
      </c>
      <c r="R27" s="6">
        <f t="shared" ref="R27:Z27" si="24">NORMSDIST(C27)</f>
        <v>0.5</v>
      </c>
      <c r="S27" s="6">
        <f t="shared" si="24"/>
        <v>0.46017216272297101</v>
      </c>
      <c r="T27" s="6">
        <f t="shared" si="24"/>
        <v>0.75803634777692697</v>
      </c>
      <c r="U27" s="6">
        <f t="shared" si="24"/>
        <v>0.9986501019683699</v>
      </c>
      <c r="V27" s="6">
        <f t="shared" si="24"/>
        <v>0.99996832875816688</v>
      </c>
      <c r="W27" s="6">
        <f t="shared" si="24"/>
        <v>0.5</v>
      </c>
      <c r="X27" s="6">
        <f t="shared" si="24"/>
        <v>1</v>
      </c>
      <c r="Y27" s="6">
        <f t="shared" si="24"/>
        <v>0.84134474606854304</v>
      </c>
      <c r="Z27" s="6" t="e">
        <f t="shared" si="24"/>
        <v>#VALUE!</v>
      </c>
      <c r="AA27" s="6" t="e">
        <f t="shared" ref="AA27:AF27" si="25">NORMSDIST(L27)</f>
        <v>#N/A</v>
      </c>
      <c r="AB27" s="6" t="e">
        <f t="shared" si="25"/>
        <v>#DIV/0!</v>
      </c>
      <c r="AC27" s="6" t="e">
        <f t="shared" si="25"/>
        <v>#NAME?</v>
      </c>
      <c r="AD27" s="6" t="e">
        <f t="shared" si="25"/>
        <v>#NULL!</v>
      </c>
      <c r="AE27" s="6" t="e">
        <f t="shared" si="25"/>
        <v>#NUM!</v>
      </c>
      <c r="AF27" s="6" t="e">
        <f t="shared" si="25"/>
        <v>#REF!</v>
      </c>
      <c r="AG27" s="6">
        <f t="array" ref="AG27">NORMSDIST(C27:Q27)</f>
        <v>0.5</v>
      </c>
      <c r="AH27" s="6">
        <f t="array" ref="AH27:AW27">NORMSDIST(C27:Q27)</f>
        <v>0.5</v>
      </c>
      <c r="AI27" s="6">
        <v>0.46017216272297101</v>
      </c>
      <c r="AJ27" s="6">
        <v>0.75803634777692697</v>
      </c>
      <c r="AK27" s="6">
        <v>0.9986501019683699</v>
      </c>
      <c r="AL27" s="6">
        <v>0.99996832875816688</v>
      </c>
      <c r="AM27" s="6">
        <v>0.5</v>
      </c>
      <c r="AN27" s="6">
        <v>1</v>
      </c>
      <c r="AO27" s="6">
        <v>0.84134474606854304</v>
      </c>
      <c r="AP27" s="6" t="e">
        <v>#VALUE!</v>
      </c>
      <c r="AQ27" s="6" t="e">
        <v>#N/A</v>
      </c>
      <c r="AR27" s="6" t="e">
        <v>#DIV/0!</v>
      </c>
      <c r="AS27" s="6" t="e">
        <v>#NAME?</v>
      </c>
      <c r="AT27" s="6" t="e">
        <v>#NULL!</v>
      </c>
      <c r="AU27" s="6" t="e">
        <v>#NUM!</v>
      </c>
      <c r="AV27" s="6" t="e">
        <v>#REF!</v>
      </c>
      <c r="AW27" s="4" t="e">
        <v>#N/A</v>
      </c>
    </row>
    <row r="28" spans="1:49" x14ac:dyDescent="0.15">
      <c r="A28" s="37" t="s">
        <v>472</v>
      </c>
      <c r="B28" s="36" t="s">
        <v>541</v>
      </c>
      <c r="C28" s="4">
        <v>0</v>
      </c>
      <c r="D28" s="4">
        <v>-0.1</v>
      </c>
      <c r="E28" s="4">
        <v>0.7</v>
      </c>
      <c r="F28" s="4">
        <v>2E-3</v>
      </c>
      <c r="G28" s="4">
        <v>4</v>
      </c>
      <c r="H28" s="6"/>
      <c r="I28" s="16" t="s">
        <v>444</v>
      </c>
      <c r="J28" s="6" t="b">
        <v>1</v>
      </c>
      <c r="K28" s="6" t="e">
        <v>#VALUE!</v>
      </c>
      <c r="L28" s="6" t="e">
        <v>#N/A</v>
      </c>
      <c r="M28" s="7" t="e">
        <v>#DIV/0!</v>
      </c>
      <c r="N28" s="7" t="e">
        <v>#NAME?</v>
      </c>
      <c r="O28" s="7" t="e">
        <v>#NULL!</v>
      </c>
      <c r="P28" s="7" t="e">
        <v>#NUM!</v>
      </c>
      <c r="Q28" s="7" t="e">
        <v>#REF!</v>
      </c>
      <c r="R28" s="6" t="e">
        <f t="shared" ref="R28:Z28" si="26">NORMSINV(C28)</f>
        <v>#NUM!</v>
      </c>
      <c r="S28" s="6" t="e">
        <f t="shared" si="26"/>
        <v>#NUM!</v>
      </c>
      <c r="T28" s="6">
        <f t="shared" si="26"/>
        <v>0.52440051270804078</v>
      </c>
      <c r="U28" s="6">
        <f t="shared" si="26"/>
        <v>-2.8781617390954826</v>
      </c>
      <c r="V28" s="6" t="e">
        <f t="shared" si="26"/>
        <v>#NUM!</v>
      </c>
      <c r="W28" s="6" t="e">
        <f t="shared" si="26"/>
        <v>#NUM!</v>
      </c>
      <c r="X28" s="6" t="e">
        <f t="shared" si="26"/>
        <v>#NUM!</v>
      </c>
      <c r="Y28" s="6" t="e">
        <f t="shared" si="26"/>
        <v>#NUM!</v>
      </c>
      <c r="Z28" s="6" t="e">
        <f t="shared" si="26"/>
        <v>#VALUE!</v>
      </c>
      <c r="AA28" s="6" t="e">
        <f t="shared" ref="AA28:AF28" si="27">NORMSINV(L28)</f>
        <v>#N/A</v>
      </c>
      <c r="AB28" s="6" t="e">
        <f t="shared" si="27"/>
        <v>#DIV/0!</v>
      </c>
      <c r="AC28" s="6" t="e">
        <f t="shared" si="27"/>
        <v>#NAME?</v>
      </c>
      <c r="AD28" s="6" t="e">
        <f t="shared" si="27"/>
        <v>#NULL!</v>
      </c>
      <c r="AE28" s="6" t="e">
        <f t="shared" si="27"/>
        <v>#NUM!</v>
      </c>
      <c r="AF28" s="6" t="e">
        <f t="shared" si="27"/>
        <v>#REF!</v>
      </c>
      <c r="AG28" s="6" t="e">
        <f t="array" ref="AG28">NORMSINV(C28:Q28)</f>
        <v>#NUM!</v>
      </c>
      <c r="AH28" s="6" t="e">
        <f t="array" ref="AH28:AW28">NORMSINV(C28:Q28)</f>
        <v>#NUM!</v>
      </c>
      <c r="AI28" s="6" t="e">
        <v>#NUM!</v>
      </c>
      <c r="AJ28" s="6">
        <v>0.52440051270804078</v>
      </c>
      <c r="AK28" s="6">
        <v>-2.8781617390954826</v>
      </c>
      <c r="AL28" s="6" t="e">
        <v>#NUM!</v>
      </c>
      <c r="AM28" s="6" t="e">
        <v>#NUM!</v>
      </c>
      <c r="AN28" s="6" t="e">
        <v>#NUM!</v>
      </c>
      <c r="AO28" s="6" t="e">
        <v>#NUM!</v>
      </c>
      <c r="AP28" s="6" t="e">
        <v>#VALUE!</v>
      </c>
      <c r="AQ28" s="6" t="e">
        <v>#N/A</v>
      </c>
      <c r="AR28" s="6" t="e">
        <v>#DIV/0!</v>
      </c>
      <c r="AS28" s="6" t="e">
        <v>#NAME?</v>
      </c>
      <c r="AT28" s="6" t="e">
        <v>#NULL!</v>
      </c>
      <c r="AU28" s="6" t="e">
        <v>#NUM!</v>
      </c>
      <c r="AV28" s="6" t="e">
        <v>#REF!</v>
      </c>
      <c r="AW28" s="4" t="e">
        <v>#N/A</v>
      </c>
    </row>
    <row r="29" spans="1:49" x14ac:dyDescent="0.15">
      <c r="A29" s="37" t="s">
        <v>473</v>
      </c>
      <c r="B29" s="36" t="s">
        <v>541</v>
      </c>
      <c r="C29" s="4">
        <v>0</v>
      </c>
      <c r="D29" s="4">
        <v>-10</v>
      </c>
      <c r="E29" s="4">
        <v>0.9</v>
      </c>
      <c r="F29" s="4">
        <v>0.1</v>
      </c>
      <c r="G29" s="4">
        <v>-0.1</v>
      </c>
      <c r="H29" s="6"/>
      <c r="I29" s="16" t="s">
        <v>448</v>
      </c>
      <c r="J29" s="6" t="b">
        <v>1</v>
      </c>
      <c r="K29" s="6" t="e">
        <v>#VALUE!</v>
      </c>
      <c r="L29" s="6" t="e">
        <v>#N/A</v>
      </c>
      <c r="M29" s="7" t="e">
        <v>#DIV/0!</v>
      </c>
      <c r="N29" s="7" t="e">
        <v>#NAME?</v>
      </c>
      <c r="O29" s="7" t="e">
        <v>#NULL!</v>
      </c>
      <c r="P29" s="7" t="e">
        <v>#NUM!</v>
      </c>
      <c r="Q29" s="7" t="e">
        <v>#REF!</v>
      </c>
      <c r="R29" s="6">
        <f>PERCENTILE(C29:D29,".2")</f>
        <v>-8</v>
      </c>
      <c r="S29" s="6">
        <f>PERCENTILE(C29:H29,E29)</f>
        <v>0.57999999999999974</v>
      </c>
      <c r="T29" s="6">
        <f>PERCENTILE(E29:F29,F29)</f>
        <v>0.18000000000000008</v>
      </c>
      <c r="U29" s="6" t="e">
        <f>PERCENTILE(F29:G29,G29)</f>
        <v>#NUM!</v>
      </c>
      <c r="V29" s="6">
        <f>PERCENTILE(G29:H29,H29)</f>
        <v>-0.1</v>
      </c>
      <c r="W29" s="6">
        <f>PERCENTILE(D29:E29,I29)</f>
        <v>0.9</v>
      </c>
      <c r="X29" s="6">
        <f>PERCENTILE(E29:I29,J29)</f>
        <v>0.9</v>
      </c>
      <c r="Y29" s="6" t="e">
        <f>PERCENTILE(I29:J29,K29)</f>
        <v>#VALUE!</v>
      </c>
      <c r="Z29" s="6" t="e">
        <f>PERCENTILE(K29:L29,L29)</f>
        <v>#N/A</v>
      </c>
      <c r="AA29" s="6" t="e">
        <f t="shared" ref="AA29:AF29" si="28">PERCENTILE(L29:M29,M29)</f>
        <v>#DIV/0!</v>
      </c>
      <c r="AB29" s="6" t="e">
        <f t="shared" si="28"/>
        <v>#NAME?</v>
      </c>
      <c r="AC29" s="6" t="e">
        <f t="shared" si="28"/>
        <v>#NULL!</v>
      </c>
      <c r="AD29" s="6" t="e">
        <f t="shared" si="28"/>
        <v>#NUM!</v>
      </c>
      <c r="AE29" s="6" t="e">
        <f t="shared" si="28"/>
        <v>#REF!</v>
      </c>
      <c r="AF29" s="6" t="e">
        <f t="shared" si="28"/>
        <v>#REF!</v>
      </c>
      <c r="AG29" s="6">
        <f t="array" ref="AG29">PERCENTILE(C29:G29,0.03)</f>
        <v>-8.8119999999999994</v>
      </c>
      <c r="AH29" s="6">
        <f t="array" ref="AH29:AW29">PERCENTILE(C29:J29,C29:Q29)</f>
        <v>-10</v>
      </c>
      <c r="AI29" s="6" t="e">
        <v>#NUM!</v>
      </c>
      <c r="AJ29" s="6">
        <v>0.57999999999999974</v>
      </c>
      <c r="AK29" s="6">
        <v>-6.0400000000000009</v>
      </c>
      <c r="AL29" s="6" t="e">
        <v>#NUM!</v>
      </c>
      <c r="AM29" s="6">
        <v>-10</v>
      </c>
      <c r="AN29" s="6">
        <v>0.9</v>
      </c>
      <c r="AO29" s="6">
        <v>0.9</v>
      </c>
      <c r="AP29" s="6" t="e">
        <v>#VALUE!</v>
      </c>
      <c r="AQ29" s="6" t="e">
        <v>#N/A</v>
      </c>
      <c r="AR29" s="6" t="e">
        <v>#DIV/0!</v>
      </c>
      <c r="AS29" s="6" t="e">
        <v>#NAME?</v>
      </c>
      <c r="AT29" s="6" t="e">
        <v>#NULL!</v>
      </c>
      <c r="AU29" s="6" t="e">
        <v>#NUM!</v>
      </c>
      <c r="AV29" s="6" t="e">
        <v>#REF!</v>
      </c>
      <c r="AW29" s="4" t="e">
        <v>#N/A</v>
      </c>
    </row>
    <row r="30" spans="1:49" x14ac:dyDescent="0.15">
      <c r="A30" s="37" t="s">
        <v>474</v>
      </c>
      <c r="B30" s="36" t="s">
        <v>541</v>
      </c>
      <c r="C30" s="4">
        <v>0</v>
      </c>
      <c r="D30" s="4">
        <v>0.1</v>
      </c>
      <c r="E30" s="4">
        <v>0.7</v>
      </c>
      <c r="F30" s="4">
        <v>2E-3</v>
      </c>
      <c r="G30" s="4">
        <v>4</v>
      </c>
      <c r="H30" s="6"/>
      <c r="I30" s="16" t="s">
        <v>785</v>
      </c>
      <c r="J30" s="6" t="b">
        <v>1</v>
      </c>
      <c r="K30" s="6" t="e">
        <v>#VALUE!</v>
      </c>
      <c r="L30" s="6" t="e">
        <v>#N/A</v>
      </c>
      <c r="M30" s="7" t="e">
        <v>#DIV/0!</v>
      </c>
      <c r="N30" s="7" t="e">
        <v>#NAME?</v>
      </c>
      <c r="O30" s="7" t="e">
        <v>#NULL!</v>
      </c>
      <c r="P30" s="7" t="e">
        <v>#NUM!</v>
      </c>
      <c r="Q30" s="7" t="e">
        <v>#REF!</v>
      </c>
      <c r="R30" s="6">
        <f>PERCENTRANK(C30:J30,4,4)</f>
        <v>1</v>
      </c>
      <c r="S30" s="6">
        <f>PERCENTRANK(C30:I30,2,2)</f>
        <v>0.84</v>
      </c>
      <c r="T30" s="6" t="e">
        <f>PERCENTRANK(C30:I30,2,E30)</f>
        <v>#NUM!</v>
      </c>
      <c r="U30" s="6">
        <f>PERCENTRANK(C30:I30,4,3)</f>
        <v>1</v>
      </c>
      <c r="V30" s="6" t="e">
        <f>PERCENTRANK(C30:I30,D30,E30)</f>
        <v>#NUM!</v>
      </c>
      <c r="W30" s="6">
        <f>PERCENTRANK(C30:I30,3,2)</f>
        <v>0.92</v>
      </c>
      <c r="X30" s="6" t="e">
        <f>PERCENTRANK(C30:I30,I30, 1)</f>
        <v>#N/A</v>
      </c>
      <c r="Y30" s="6">
        <f t="array" ref="Y30:AW30">PERCENTRANK(C30:I30,J30,2)</f>
        <v>0.77</v>
      </c>
      <c r="Z30" s="6">
        <v>0.77</v>
      </c>
      <c r="AA30" s="6">
        <v>0.77</v>
      </c>
      <c r="AB30" s="6">
        <v>0.77</v>
      </c>
      <c r="AC30" s="6">
        <v>0.77</v>
      </c>
      <c r="AD30" s="6">
        <v>0.77</v>
      </c>
      <c r="AE30" s="6">
        <v>0.77</v>
      </c>
      <c r="AF30" s="6">
        <v>0.77</v>
      </c>
      <c r="AG30" s="6">
        <v>0.77</v>
      </c>
      <c r="AH30" s="6">
        <v>0.77</v>
      </c>
      <c r="AI30" s="6">
        <v>0.77</v>
      </c>
      <c r="AJ30" s="6">
        <v>0.77</v>
      </c>
      <c r="AK30" s="6">
        <v>0.77</v>
      </c>
      <c r="AL30" s="6">
        <v>0.77</v>
      </c>
      <c r="AM30" s="6">
        <v>0.77</v>
      </c>
      <c r="AN30" s="6">
        <v>0.77</v>
      </c>
      <c r="AO30" s="6">
        <v>0.77</v>
      </c>
      <c r="AP30" s="6">
        <v>0.77</v>
      </c>
      <c r="AQ30" s="6">
        <v>0.77</v>
      </c>
      <c r="AR30" s="6">
        <v>0.77</v>
      </c>
      <c r="AS30" s="6">
        <v>0.77</v>
      </c>
      <c r="AT30" s="6">
        <v>0.77</v>
      </c>
      <c r="AU30" s="6">
        <v>0.77</v>
      </c>
      <c r="AV30" s="6">
        <v>0.77</v>
      </c>
      <c r="AW30" s="4">
        <v>0.77</v>
      </c>
    </row>
    <row r="31" spans="1:49" x14ac:dyDescent="0.15">
      <c r="A31" s="37" t="s">
        <v>475</v>
      </c>
      <c r="B31" s="36" t="s">
        <v>541</v>
      </c>
      <c r="C31" s="4">
        <v>0</v>
      </c>
      <c r="D31" s="4">
        <v>5</v>
      </c>
      <c r="E31" s="4">
        <v>0.7</v>
      </c>
      <c r="F31" s="4">
        <v>3</v>
      </c>
      <c r="G31" s="4">
        <v>4</v>
      </c>
      <c r="H31" s="6"/>
      <c r="I31" s="16" t="s">
        <v>444</v>
      </c>
      <c r="J31" s="6" t="b">
        <v>1</v>
      </c>
      <c r="K31" s="6" t="e">
        <v>#VALUE!</v>
      </c>
      <c r="L31" s="6" t="e">
        <v>#N/A</v>
      </c>
      <c r="M31" s="7" t="e">
        <v>#DIV/0!</v>
      </c>
      <c r="N31" s="7" t="e">
        <v>#NAME?</v>
      </c>
      <c r="O31" s="7" t="e">
        <v>#NULL!</v>
      </c>
      <c r="P31" s="7" t="e">
        <v>#NUM!</v>
      </c>
      <c r="Q31" s="7" t="e">
        <v>#REF!</v>
      </c>
      <c r="R31" s="6">
        <f>POISSON(C31,,)</f>
        <v>1</v>
      </c>
      <c r="S31" s="6">
        <f>POISSON(D31,10,FALSE)</f>
        <v>3.7833274802070715E-2</v>
      </c>
      <c r="T31" s="6">
        <f>POISSON(E31,"1",5)</f>
        <v>0.36787944117144233</v>
      </c>
      <c r="U31" s="6" t="e">
        <f>POISSON(F31,-1,"TRUE")</f>
        <v>#NUM!</v>
      </c>
      <c r="V31" s="6">
        <f>POISSON(G31, 7,1)</f>
        <v>0.17299160788207132</v>
      </c>
      <c r="W31" s="6">
        <f>POISSON(H31,H31,1)</f>
        <v>1</v>
      </c>
      <c r="X31" s="6">
        <f>POISSON(I31,I31,1)</f>
        <v>0.5342624723609587</v>
      </c>
      <c r="Y31" s="6">
        <f>POISSON(J31,I31,1)</f>
        <v>5.341471565244849E-25</v>
      </c>
      <c r="Z31" s="6" t="e">
        <f>POISSON(K31,I31,1)</f>
        <v>#VALUE!</v>
      </c>
      <c r="AA31" s="6" t="e">
        <f>POISSON(L31,J31,1)</f>
        <v>#N/A</v>
      </c>
      <c r="AB31" s="6" t="e">
        <f t="shared" ref="AB31:AF31" si="29">POISSON(M31,K31,1)</f>
        <v>#DIV/0!</v>
      </c>
      <c r="AC31" s="6" t="e">
        <f t="shared" si="29"/>
        <v>#NAME?</v>
      </c>
      <c r="AD31" s="6" t="e">
        <f t="shared" si="29"/>
        <v>#NULL!</v>
      </c>
      <c r="AE31" s="6" t="e">
        <f t="shared" si="29"/>
        <v>#NUM!</v>
      </c>
      <c r="AF31" s="6" t="e">
        <f t="shared" si="29"/>
        <v>#REF!</v>
      </c>
      <c r="AG31" s="6">
        <f t="array" ref="AG31">POISSON(C31:Q31,3,1)</f>
        <v>4.9787068367863944E-2</v>
      </c>
      <c r="AH31" s="6">
        <f t="array" ref="AH31:AW31">POISSON(C31:Q31,3,1)</f>
        <v>4.9787068367863944E-2</v>
      </c>
      <c r="AI31" s="6">
        <v>0.91608205796869657</v>
      </c>
      <c r="AJ31" s="6">
        <v>4.9787068367863944E-2</v>
      </c>
      <c r="AK31" s="6">
        <v>0.64723188878223126</v>
      </c>
      <c r="AL31" s="6">
        <v>0.81526324452377208</v>
      </c>
      <c r="AM31" s="6">
        <v>4.9787068367863944E-2</v>
      </c>
      <c r="AN31" s="6">
        <v>1</v>
      </c>
      <c r="AO31" s="6">
        <v>0.19914827347145578</v>
      </c>
      <c r="AP31" s="6" t="e">
        <v>#VALUE!</v>
      </c>
      <c r="AQ31" s="6" t="e">
        <v>#N/A</v>
      </c>
      <c r="AR31" s="6" t="e">
        <v>#DIV/0!</v>
      </c>
      <c r="AS31" s="6" t="e">
        <v>#NAME?</v>
      </c>
      <c r="AT31" s="6" t="e">
        <v>#NULL!</v>
      </c>
      <c r="AU31" s="6" t="e">
        <v>#NUM!</v>
      </c>
      <c r="AV31" s="6" t="e">
        <v>#REF!</v>
      </c>
      <c r="AW31" s="4" t="e">
        <v>#N/A</v>
      </c>
    </row>
    <row r="32" spans="1:49" x14ac:dyDescent="0.15">
      <c r="A32" s="37" t="s">
        <v>476</v>
      </c>
      <c r="B32" s="36" t="s">
        <v>541</v>
      </c>
      <c r="C32" s="4">
        <v>0</v>
      </c>
      <c r="D32" s="4">
        <v>-10</v>
      </c>
      <c r="E32" s="4">
        <v>0.9</v>
      </c>
      <c r="F32" s="4">
        <v>2.2000000000000002</v>
      </c>
      <c r="G32" s="4">
        <v>-0.1</v>
      </c>
      <c r="H32" s="6"/>
      <c r="I32" s="16" t="s">
        <v>448</v>
      </c>
      <c r="J32" s="6" t="b">
        <v>1</v>
      </c>
      <c r="K32" s="6" t="e">
        <v>#VALUE!</v>
      </c>
      <c r="L32" s="6" t="e">
        <v>#N/A</v>
      </c>
      <c r="M32" s="7" t="e">
        <v>#DIV/0!</v>
      </c>
      <c r="N32" s="7" t="e">
        <v>#NAME?</v>
      </c>
      <c r="O32" s="7" t="e">
        <v>#NULL!</v>
      </c>
      <c r="P32" s="7" t="e">
        <v>#NUM!</v>
      </c>
      <c r="Q32" s="7" t="e">
        <v>#REF!</v>
      </c>
      <c r="R32" s="6">
        <f>QUARTILE(C32:D32,"2")</f>
        <v>-5</v>
      </c>
      <c r="S32" s="6">
        <f>QUARTILE(C32:H32,E32)</f>
        <v>-10</v>
      </c>
      <c r="T32" s="6">
        <f>QUARTILE(E32:F32,F32)</f>
        <v>1.5500000000000003</v>
      </c>
      <c r="U32" s="6" t="e">
        <f>QUARTILE(F32:G32,G32)</f>
        <v>#NUM!</v>
      </c>
      <c r="V32" s="6">
        <f>QUARTILE(G32:H32,H32)</f>
        <v>-0.1</v>
      </c>
      <c r="W32" s="6">
        <f>QUARTILE(D32:E32,I32)</f>
        <v>-7.2750000000000004</v>
      </c>
      <c r="X32" s="6">
        <f>QUARTILE(E32:I32,J32)</f>
        <v>0.4</v>
      </c>
      <c r="Y32" s="6" t="e">
        <f>QUARTILE(I32:J32,K32)</f>
        <v>#VALUE!</v>
      </c>
      <c r="Z32" s="6" t="e">
        <f>QUARTILE(K32:L32,L32)</f>
        <v>#N/A</v>
      </c>
      <c r="AA32" s="6" t="e">
        <f>QUARTILE(L32:M32,I32)</f>
        <v>#N/A</v>
      </c>
      <c r="AB32" s="6" t="e">
        <f>QUARTILE(M32:N32,N32)</f>
        <v>#NAME?</v>
      </c>
      <c r="AC32" s="6" t="e">
        <f>QUARTILE(N32:O32,O32)</f>
        <v>#NULL!</v>
      </c>
      <c r="AD32" s="6" t="e">
        <f>QUARTILE(O32:P32,P32)</f>
        <v>#NUM!</v>
      </c>
      <c r="AE32" s="6" t="e">
        <f>QUARTILE(P32:Q32,Q32)</f>
        <v>#REF!</v>
      </c>
      <c r="AF32" s="6" t="e">
        <f>QUARTILE(Q32:R32,R32)</f>
        <v>#REF!</v>
      </c>
      <c r="AG32" s="6">
        <f>QUARTILE(C32:G32,I32)</f>
        <v>-0.1</v>
      </c>
      <c r="AH32" s="6">
        <f t="array" ref="AH32:AW32">QUARTILE(C32:J32,C32:Q32)</f>
        <v>-10</v>
      </c>
      <c r="AI32" s="6" t="e">
        <v>#NUM!</v>
      </c>
      <c r="AJ32" s="6">
        <v>-10</v>
      </c>
      <c r="AK32" s="6">
        <v>0</v>
      </c>
      <c r="AL32" s="6" t="e">
        <v>#NUM!</v>
      </c>
      <c r="AM32" s="6">
        <v>-10</v>
      </c>
      <c r="AN32" s="6">
        <v>-0.1</v>
      </c>
      <c r="AO32" s="6">
        <v>-0.1</v>
      </c>
      <c r="AP32" s="6" t="e">
        <v>#VALUE!</v>
      </c>
      <c r="AQ32" s="6" t="e">
        <v>#N/A</v>
      </c>
      <c r="AR32" s="6" t="e">
        <v>#DIV/0!</v>
      </c>
      <c r="AS32" s="6" t="e">
        <v>#NAME?</v>
      </c>
      <c r="AT32" s="6" t="e">
        <v>#NULL!</v>
      </c>
      <c r="AU32" s="6" t="e">
        <v>#NUM!</v>
      </c>
      <c r="AV32" s="6" t="e">
        <v>#REF!</v>
      </c>
      <c r="AW32" s="4" t="e">
        <v>#N/A</v>
      </c>
    </row>
    <row r="33" spans="1:49" x14ac:dyDescent="0.15">
      <c r="A33" s="37" t="s">
        <v>477</v>
      </c>
      <c r="B33" s="36" t="s">
        <v>541</v>
      </c>
      <c r="C33" s="11">
        <v>0</v>
      </c>
      <c r="D33" s="11">
        <v>-10</v>
      </c>
      <c r="E33" s="11">
        <v>0</v>
      </c>
      <c r="F33" s="11">
        <v>2.2000000000000002</v>
      </c>
      <c r="G33" s="11">
        <v>-0.1</v>
      </c>
      <c r="H33" s="29"/>
      <c r="I33" s="30" t="s">
        <v>786</v>
      </c>
      <c r="J33" s="29" t="b">
        <v>1</v>
      </c>
      <c r="K33" s="29" t="e">
        <v>#VALUE!</v>
      </c>
      <c r="L33" s="29" t="e">
        <v>#N/A</v>
      </c>
      <c r="M33" s="29" t="e">
        <v>#DIV/0!</v>
      </c>
      <c r="N33" s="29" t="e">
        <v>#NAME?</v>
      </c>
      <c r="O33" s="29" t="e">
        <v>#NULL!</v>
      </c>
      <c r="P33" s="29" t="e">
        <v>#NUM!</v>
      </c>
      <c r="Q33" s="29" t="e">
        <v>#REF!</v>
      </c>
      <c r="R33" s="29" t="e">
        <f>RANK(2,C33:F33,1)</f>
        <v>#N/A</v>
      </c>
      <c r="S33" s="29">
        <f>RANK(0,C33:J33,1)</f>
        <v>3</v>
      </c>
      <c r="T33" s="29">
        <f>RANK(F33,C33:J33,0)</f>
        <v>1</v>
      </c>
      <c r="U33" s="29">
        <f>RANK(G33,C33:J33,0)</f>
        <v>4</v>
      </c>
      <c r="V33" s="29">
        <f>RANK(D33,C33:J33,1)</f>
        <v>1</v>
      </c>
      <c r="W33" s="29">
        <f>RANK(H33,C33:J33,1)</f>
        <v>3</v>
      </c>
      <c r="X33" s="29" t="e">
        <f>RANK(I33,C33:J33,1)</f>
        <v>#N/A</v>
      </c>
      <c r="Y33" s="29" t="e">
        <f>RANK(J33,C33:J33,1)</f>
        <v>#N/A</v>
      </c>
      <c r="Z33" s="29" t="e">
        <f>RANK(K33,D33:K33,1)</f>
        <v>#VALUE!</v>
      </c>
      <c r="AA33" s="29" t="e">
        <f t="shared" ref="AA33:AF33" si="30">RANK(L33,E33:L33,1)</f>
        <v>#N/A</v>
      </c>
      <c r="AB33" s="29" t="e">
        <f t="shared" si="30"/>
        <v>#DIV/0!</v>
      </c>
      <c r="AC33" s="29" t="e">
        <f t="shared" si="30"/>
        <v>#NAME?</v>
      </c>
      <c r="AD33" s="29" t="e">
        <f t="shared" si="30"/>
        <v>#NULL!</v>
      </c>
      <c r="AE33" s="29" t="e">
        <f t="shared" si="30"/>
        <v>#NUM!</v>
      </c>
      <c r="AF33" s="29" t="e">
        <f t="shared" si="30"/>
        <v>#REF!</v>
      </c>
      <c r="AG33" s="29">
        <f t="array" ref="AG33">RANK(C33:H33,C33:J33,1)</f>
        <v>3</v>
      </c>
      <c r="AH33" s="29">
        <f t="array" ref="AH33:AW33">RANK(C33:Q33,C33:J33,1)</f>
        <v>3</v>
      </c>
      <c r="AI33" s="29">
        <v>1</v>
      </c>
      <c r="AJ33" s="29">
        <v>3</v>
      </c>
      <c r="AK33" s="29">
        <v>5</v>
      </c>
      <c r="AL33" s="29">
        <v>2</v>
      </c>
      <c r="AM33" s="29">
        <v>3</v>
      </c>
      <c r="AN33" s="29" t="e">
        <v>#N/A</v>
      </c>
      <c r="AO33" s="29" t="e">
        <v>#N/A</v>
      </c>
      <c r="AP33" s="29" t="e">
        <v>#VALUE!</v>
      </c>
      <c r="AQ33" s="29" t="e">
        <v>#N/A</v>
      </c>
      <c r="AR33" s="29" t="e">
        <v>#DIV/0!</v>
      </c>
      <c r="AS33" s="29" t="e">
        <v>#NAME?</v>
      </c>
      <c r="AT33" s="29" t="e">
        <v>#NULL!</v>
      </c>
      <c r="AU33" s="29" t="e">
        <v>#NUM!</v>
      </c>
      <c r="AV33" s="29" t="e">
        <v>#REF!</v>
      </c>
      <c r="AW33" s="11" t="e">
        <v>#N/A</v>
      </c>
    </row>
    <row r="34" spans="1:49" x14ac:dyDescent="0.15">
      <c r="A34" s="37" t="s">
        <v>478</v>
      </c>
      <c r="B34" s="36" t="s">
        <v>541</v>
      </c>
      <c r="C34" s="4">
        <v>0</v>
      </c>
      <c r="D34" s="4">
        <v>-10</v>
      </c>
      <c r="E34" s="4">
        <v>0.9</v>
      </c>
      <c r="F34" s="4">
        <v>2.2000000000000002</v>
      </c>
      <c r="G34" s="4">
        <v>-0.1</v>
      </c>
      <c r="H34" s="6"/>
      <c r="I34" s="16" t="s">
        <v>448</v>
      </c>
      <c r="J34" s="6" t="b">
        <v>1</v>
      </c>
      <c r="K34" s="6" t="e">
        <v>#VALUE!</v>
      </c>
      <c r="L34" s="6" t="e">
        <v>#N/A</v>
      </c>
      <c r="M34" s="7" t="e">
        <v>#DIV/0!</v>
      </c>
      <c r="N34" s="7" t="e">
        <v>#NAME?</v>
      </c>
      <c r="O34" s="7" t="e">
        <v>#NULL!</v>
      </c>
      <c r="P34" s="7" t="e">
        <v>#NUM!</v>
      </c>
      <c r="Q34" s="7" t="e">
        <v>#REF!</v>
      </c>
      <c r="R34" s="6">
        <f>STDEV(C34:D34,D34:E34,E34:F34,"2")</f>
        <v>5.5145262715848942</v>
      </c>
      <c r="S34" s="6" t="e" vm="4">
        <f>STDEV(D34:E34,E34:F34,F34:G34,"")</f>
        <v>#VALUE!</v>
      </c>
      <c r="T34" s="6">
        <f>STDEV(E34:F34,F34:G34,G34:H34,"29/02/1900")</f>
        <v>24.100518666617944</v>
      </c>
      <c r="U34" s="6" t="e">
        <f>STDEV(G34:H34)</f>
        <v>#DIV/0!</v>
      </c>
      <c r="V34" s="6">
        <f>STDEV(F34:H34,H34:I34,I34:J34)</f>
        <v>1.6263455967290594</v>
      </c>
      <c r="W34" s="6" t="e">
        <f>STDEV(G34:H34)</f>
        <v>#DIV/0!</v>
      </c>
      <c r="X34" s="6">
        <f>STDEV(I34,G34,E34)</f>
        <v>0.70710678118654757</v>
      </c>
      <c r="Y34" s="6" t="e">
        <f>STDEV(J34,G34)</f>
        <v>#DIV/0!</v>
      </c>
      <c r="Z34" s="6" t="e">
        <f t="shared" ref="Z34:AF34" si="31">STDEV(K34:L34)</f>
        <v>#VALUE!</v>
      </c>
      <c r="AA34" s="6" t="e">
        <f t="shared" si="31"/>
        <v>#N/A</v>
      </c>
      <c r="AB34" s="6" t="e">
        <f t="shared" si="31"/>
        <v>#DIV/0!</v>
      </c>
      <c r="AC34" s="6" t="e">
        <f t="shared" si="31"/>
        <v>#NAME?</v>
      </c>
      <c r="AD34" s="6" t="e">
        <f t="shared" si="31"/>
        <v>#NULL!</v>
      </c>
      <c r="AE34" s="6" t="e">
        <f t="shared" si="31"/>
        <v>#NUM!</v>
      </c>
      <c r="AF34" s="6" t="e">
        <f t="shared" si="31"/>
        <v>#REF!</v>
      </c>
      <c r="AG34" s="6">
        <f>STDEV(F34:J34)</f>
        <v>1.6263455967290594</v>
      </c>
      <c r="AH34" s="6">
        <f t="array" ref="AH34:AM34">STDEV(C34:J34)</f>
        <v>4.8954060097197249</v>
      </c>
      <c r="AI34" s="6">
        <v>4.8954060097197249</v>
      </c>
      <c r="AJ34" s="6">
        <v>4.8954060097197249</v>
      </c>
      <c r="AK34" s="6">
        <v>4.8954060097197249</v>
      </c>
      <c r="AL34" s="6">
        <v>4.8954060097197249</v>
      </c>
      <c r="AM34" s="6">
        <v>4.8954060097197249</v>
      </c>
      <c r="AN34" s="6" t="e">
        <f t="array" ref="AN34:AW34">STDEV(J34:Q34)</f>
        <v>#VALUE!</v>
      </c>
      <c r="AO34" s="6" t="e">
        <v>#VALUE!</v>
      </c>
      <c r="AP34" s="6" t="e">
        <v>#VALUE!</v>
      </c>
      <c r="AQ34" s="6" t="e">
        <v>#VALUE!</v>
      </c>
      <c r="AR34" s="6" t="e">
        <v>#VALUE!</v>
      </c>
      <c r="AS34" s="6" t="e">
        <v>#VALUE!</v>
      </c>
      <c r="AT34" s="6" t="e">
        <v>#VALUE!</v>
      </c>
      <c r="AU34" s="6" t="e">
        <v>#VALUE!</v>
      </c>
      <c r="AV34" s="6" t="e">
        <v>#VALUE!</v>
      </c>
      <c r="AW34" s="4" t="e">
        <v>#VALUE!</v>
      </c>
    </row>
    <row r="35" spans="1:49" x14ac:dyDescent="0.15">
      <c r="A35" s="37" t="s">
        <v>479</v>
      </c>
      <c r="B35" s="36" t="s">
        <v>541</v>
      </c>
      <c r="C35" s="4">
        <v>0</v>
      </c>
      <c r="D35" s="4">
        <v>-10</v>
      </c>
      <c r="E35" s="4">
        <v>0.9</v>
      </c>
      <c r="F35" s="4">
        <v>2.2000000000000002</v>
      </c>
      <c r="G35" s="4">
        <v>-0.1</v>
      </c>
      <c r="H35" s="6"/>
      <c r="I35" s="16" t="s">
        <v>448</v>
      </c>
      <c r="J35" s="6" t="b">
        <v>1</v>
      </c>
      <c r="K35" s="6" t="e">
        <v>#VALUE!</v>
      </c>
      <c r="L35" s="6" t="e">
        <v>#N/A</v>
      </c>
      <c r="M35" s="7" t="e">
        <v>#DIV/0!</v>
      </c>
      <c r="N35" s="7" t="e">
        <v>#NAME?</v>
      </c>
      <c r="O35" s="7" t="e">
        <v>#NULL!</v>
      </c>
      <c r="P35" s="7" t="e">
        <v>#NUM!</v>
      </c>
      <c r="Q35" s="7" t="e">
        <v>#REF!</v>
      </c>
      <c r="R35" s="6">
        <f>STDEVP(C35:D35,D35:E35,E35:F35,"2")</f>
        <v>5.1054592629570834</v>
      </c>
      <c r="S35" s="6" t="e" vm="5">
        <f>STDEVP(D35:E35,E35:F35,F35:G35,"")</f>
        <v>#VALUE!</v>
      </c>
      <c r="T35" s="6">
        <f>STDEVP(E35:F35,F35:G35,G35:H35,"29/02/1900")</f>
        <v>22.00066286880163</v>
      </c>
      <c r="U35" s="6" t="e">
        <f>STDEVP(H35)</f>
        <v>#DIV/0!</v>
      </c>
      <c r="V35" s="6">
        <f>STDEVP(G35:H35,H35:I35,I35:J35)</f>
        <v>0</v>
      </c>
      <c r="W35" s="6">
        <f>STDEVP(G35:H35)</f>
        <v>0</v>
      </c>
      <c r="X35" s="6">
        <f>STDEVP(I35,G35)</f>
        <v>0</v>
      </c>
      <c r="Y35" s="6">
        <f>STDEVP(J35,G35)</f>
        <v>0</v>
      </c>
      <c r="Z35" s="6" t="e">
        <f>STDEVP(K35:L35)</f>
        <v>#VALUE!</v>
      </c>
      <c r="AA35" s="6" t="e">
        <f>_xlfn.STDEV.P(L35:M35)</f>
        <v>#N/A</v>
      </c>
      <c r="AB35" s="6" t="e">
        <f>STDEVP(M35:N35)</f>
        <v>#DIV/0!</v>
      </c>
      <c r="AC35" s="6" t="e">
        <f>STDEVP(N35:O35)</f>
        <v>#NAME?</v>
      </c>
      <c r="AD35" s="6" t="e">
        <f>STDEVP(O35:P35)</f>
        <v>#NULL!</v>
      </c>
      <c r="AE35" s="6" t="e">
        <f>STDEVP(P35:Q35)</f>
        <v>#NUM!</v>
      </c>
      <c r="AF35" s="6" t="e">
        <f>STDEVP(Q35:R35)</f>
        <v>#REF!</v>
      </c>
      <c r="AG35" s="6">
        <f>STDEVP(F35:J35)</f>
        <v>1.1500000000000001</v>
      </c>
      <c r="AH35" s="6">
        <f t="array" ref="AH35:AM35">STDEVP(C35:J35)</f>
        <v>4.3785842460777209</v>
      </c>
      <c r="AI35" s="6">
        <v>4.3785842460777209</v>
      </c>
      <c r="AJ35" s="6">
        <v>4.3785842460777209</v>
      </c>
      <c r="AK35" s="6">
        <v>4.3785842460777209</v>
      </c>
      <c r="AL35" s="6">
        <v>4.3785842460777209</v>
      </c>
      <c r="AM35" s="6">
        <v>4.3785842460777209</v>
      </c>
      <c r="AN35" s="6" t="e">
        <f t="array" ref="AN35:AW35">STDEVP(J35:Q35)</f>
        <v>#VALUE!</v>
      </c>
      <c r="AO35" s="6" t="e">
        <v>#VALUE!</v>
      </c>
      <c r="AP35" s="6" t="e">
        <v>#VALUE!</v>
      </c>
      <c r="AQ35" s="6" t="e">
        <v>#VALUE!</v>
      </c>
      <c r="AR35" s="6" t="e">
        <v>#VALUE!</v>
      </c>
      <c r="AS35" s="6" t="e">
        <v>#VALUE!</v>
      </c>
      <c r="AT35" s="6" t="e">
        <v>#VALUE!</v>
      </c>
      <c r="AU35" s="6" t="e">
        <v>#VALUE!</v>
      </c>
      <c r="AV35" s="6" t="e">
        <v>#VALUE!</v>
      </c>
      <c r="AW35" s="4" t="e">
        <v>#VALUE!</v>
      </c>
    </row>
    <row r="36" spans="1:49" x14ac:dyDescent="0.15">
      <c r="A36" s="37" t="s">
        <v>480</v>
      </c>
      <c r="B36" s="36" t="s">
        <v>541</v>
      </c>
      <c r="C36" s="4">
        <v>0</v>
      </c>
      <c r="D36" s="4">
        <v>5</v>
      </c>
      <c r="E36" s="4">
        <v>0.7</v>
      </c>
      <c r="F36" s="4">
        <v>3</v>
      </c>
      <c r="G36" s="4">
        <v>4</v>
      </c>
      <c r="H36" s="6"/>
      <c r="I36" s="16" t="s">
        <v>444</v>
      </c>
      <c r="J36" s="6" t="b">
        <v>1</v>
      </c>
      <c r="K36" s="6" t="e">
        <v>#VALUE!</v>
      </c>
      <c r="L36" s="6" t="e">
        <v>#N/A</v>
      </c>
      <c r="M36" s="7" t="e">
        <v>#DIV/0!</v>
      </c>
      <c r="N36" s="7" t="e">
        <v>#NAME?</v>
      </c>
      <c r="O36" s="7" t="e">
        <v>#NULL!</v>
      </c>
      <c r="P36" s="7" t="e">
        <v>#NUM!</v>
      </c>
      <c r="Q36" s="7" t="e">
        <v>#REF!</v>
      </c>
      <c r="R36" s="6" t="e">
        <f>TDIST(C36,,)</f>
        <v>#NUM!</v>
      </c>
      <c r="S36" s="6">
        <f>TDIST(D36,10,2)</f>
        <v>5.3733360275645225E-4</v>
      </c>
      <c r="T36" s="6">
        <f>TDIST(E36,1,"2")</f>
        <v>0.61119977557157046</v>
      </c>
      <c r="U36" s="6" t="e">
        <f>TDIST(F36,-1,0)</f>
        <v>#NUM!</v>
      </c>
      <c r="V36" s="6">
        <f>TDIST(G36, 7,1)</f>
        <v>2.5949566746484073E-3</v>
      </c>
      <c r="W36" s="6" t="e">
        <f>TDIST(H36,H36,2)</f>
        <v>#NUM!</v>
      </c>
      <c r="X36" s="6">
        <f>TDIST(I36,I36,1)</f>
        <v>1.4243034807199291E-55</v>
      </c>
      <c r="Y36" s="6">
        <f>TDIST(J36,I36,2)</f>
        <v>0.3213265032932458</v>
      </c>
      <c r="Z36" s="6" t="e">
        <f>TDIST(K36,I36,1)</f>
        <v>#VALUE!</v>
      </c>
      <c r="AA36" s="6" t="e">
        <f t="shared" ref="AA36:AF36" si="32">TDIST(L36,J36,1)</f>
        <v>#N/A</v>
      </c>
      <c r="AB36" s="6" t="e">
        <f t="shared" si="32"/>
        <v>#DIV/0!</v>
      </c>
      <c r="AC36" s="6" t="e">
        <f t="shared" si="32"/>
        <v>#NAME?</v>
      </c>
      <c r="AD36" s="6" t="e">
        <f t="shared" si="32"/>
        <v>#NULL!</v>
      </c>
      <c r="AE36" s="6" t="e">
        <f t="shared" si="32"/>
        <v>#NUM!</v>
      </c>
      <c r="AF36" s="6" t="e">
        <f t="shared" si="32"/>
        <v>#REF!</v>
      </c>
      <c r="AG36" s="6">
        <f t="array" ref="AG36">TDIST(C36:Q36,3,1)</f>
        <v>0.5</v>
      </c>
      <c r="AH36" s="6">
        <f t="array" ref="AH36:AW36">TDIST(C36:Q36,3,2)</f>
        <v>1</v>
      </c>
      <c r="AI36" s="6">
        <v>1.5392438073302294E-2</v>
      </c>
      <c r="AJ36" s="6">
        <v>0.53432699830476393</v>
      </c>
      <c r="AK36" s="6">
        <v>5.7668885622437334E-2</v>
      </c>
      <c r="AL36" s="6">
        <v>2.8008456010146163E-2</v>
      </c>
      <c r="AM36" s="6">
        <v>1</v>
      </c>
      <c r="AN36" s="6">
        <v>1.019959367331975E-5</v>
      </c>
      <c r="AO36" s="6">
        <v>0.39100221895577059</v>
      </c>
      <c r="AP36" s="6" t="e">
        <v>#VALUE!</v>
      </c>
      <c r="AQ36" s="6" t="e">
        <v>#N/A</v>
      </c>
      <c r="AR36" s="6" t="e">
        <v>#DIV/0!</v>
      </c>
      <c r="AS36" s="6" t="e">
        <v>#NAME?</v>
      </c>
      <c r="AT36" s="6" t="e">
        <v>#NULL!</v>
      </c>
      <c r="AU36" s="6" t="e">
        <v>#NUM!</v>
      </c>
      <c r="AV36" s="6" t="e">
        <v>#REF!</v>
      </c>
      <c r="AW36" s="4" t="e">
        <v>#N/A</v>
      </c>
    </row>
    <row r="37" spans="1:49" x14ac:dyDescent="0.15">
      <c r="A37" s="37" t="s">
        <v>481</v>
      </c>
      <c r="B37" s="36" t="s">
        <v>541</v>
      </c>
      <c r="C37" s="4">
        <v>10</v>
      </c>
      <c r="D37" s="4">
        <v>0.1</v>
      </c>
      <c r="E37" s="4">
        <v>0.7</v>
      </c>
      <c r="F37" s="4">
        <v>100</v>
      </c>
      <c r="G37" s="4">
        <v>4</v>
      </c>
      <c r="H37" s="6"/>
      <c r="I37" s="16" t="s">
        <v>785</v>
      </c>
      <c r="J37" s="6" t="b">
        <v>1</v>
      </c>
      <c r="K37" s="6" t="e">
        <v>#VALUE!</v>
      </c>
      <c r="L37" s="6" t="e">
        <v>#N/A</v>
      </c>
      <c r="M37" s="7" t="e">
        <v>#DIV/0!</v>
      </c>
      <c r="N37" s="7" t="e">
        <v>#NAME?</v>
      </c>
      <c r="O37" s="7" t="e">
        <v>#NULL!</v>
      </c>
      <c r="P37" s="7" t="e">
        <v>#NUM!</v>
      </c>
      <c r="Q37" s="7" t="e">
        <v>#REF!</v>
      </c>
      <c r="R37" s="6" t="e">
        <f>TINV(C37,0.4)</f>
        <v>#NUM!</v>
      </c>
      <c r="S37" s="6">
        <f>TINV(D37,9)</f>
        <v>1.8331129326562374</v>
      </c>
      <c r="T37" s="6" t="e">
        <f>TINV(0.4,E37)</f>
        <v>#NUM!</v>
      </c>
      <c r="U37" s="6">
        <f>TINV(0.01, F37)</f>
        <v>2.6258905214380182</v>
      </c>
      <c r="V37" s="6">
        <f>TINV(D37,G37)</f>
        <v>2.1318467863266499</v>
      </c>
      <c r="W37" s="6" t="e">
        <f>TINV(H37,3)</f>
        <v>#NUM!</v>
      </c>
      <c r="X37" s="6">
        <f>TINV(0.9,I37)</f>
        <v>0.12813904981844981</v>
      </c>
      <c r="Y37" s="6">
        <f>TINV(0.3,J37)</f>
        <v>1.9626105055051506</v>
      </c>
      <c r="Z37" s="6" t="e">
        <f>TINV(K37,C37)</f>
        <v>#VALUE!</v>
      </c>
      <c r="AA37" s="6" t="e">
        <f t="shared" ref="AA37:AF37" si="33">TINV(L37,D37)</f>
        <v>#N/A</v>
      </c>
      <c r="AB37" s="6" t="e">
        <f t="shared" si="33"/>
        <v>#DIV/0!</v>
      </c>
      <c r="AC37" s="6" t="e">
        <f t="shared" si="33"/>
        <v>#NAME?</v>
      </c>
      <c r="AD37" s="6" t="e">
        <f t="shared" si="33"/>
        <v>#NULL!</v>
      </c>
      <c r="AE37" s="6" t="e">
        <f t="shared" si="33"/>
        <v>#NUM!</v>
      </c>
      <c r="AF37" s="6" t="e">
        <f t="shared" si="33"/>
        <v>#REF!</v>
      </c>
      <c r="AG37" s="6">
        <f t="array" ref="AG37">TINV(0.6, C37:Q37)</f>
        <v>0.5415280387550151</v>
      </c>
      <c r="AH37" s="6">
        <f t="array" ref="AH37:AW37">TINV(0.5, C37:Q37)</f>
        <v>0.69981206131243168</v>
      </c>
      <c r="AI37" s="6" t="e">
        <v>#NUM!</v>
      </c>
      <c r="AJ37" s="6" t="e">
        <v>#NUM!</v>
      </c>
      <c r="AK37" s="6">
        <v>0.67695104301146958</v>
      </c>
      <c r="AL37" s="6">
        <v>0.74069708411268287</v>
      </c>
      <c r="AM37" s="6" t="e">
        <v>#NUM!</v>
      </c>
      <c r="AN37" s="6">
        <v>0.69382930423544042</v>
      </c>
      <c r="AO37" s="6">
        <v>1.0000000000000002</v>
      </c>
      <c r="AP37" s="6" t="e">
        <v>#VALUE!</v>
      </c>
      <c r="AQ37" s="6" t="e">
        <v>#N/A</v>
      </c>
      <c r="AR37" s="6" t="e">
        <v>#DIV/0!</v>
      </c>
      <c r="AS37" s="6" t="e">
        <v>#NAME?</v>
      </c>
      <c r="AT37" s="6" t="e">
        <v>#NULL!</v>
      </c>
      <c r="AU37" s="6" t="e">
        <v>#NUM!</v>
      </c>
      <c r="AV37" s="6" t="e">
        <v>#REF!</v>
      </c>
      <c r="AW37" s="4" t="e">
        <v>#N/A</v>
      </c>
    </row>
    <row r="38" spans="1:49" x14ac:dyDescent="0.15">
      <c r="A38" s="102" t="s">
        <v>482</v>
      </c>
      <c r="B38" s="100" t="s">
        <v>541</v>
      </c>
      <c r="C38" s="4">
        <v>10</v>
      </c>
      <c r="D38" s="4">
        <v>3.2</v>
      </c>
      <c r="E38" s="4">
        <v>0.7</v>
      </c>
      <c r="F38" s="4">
        <v>2</v>
      </c>
      <c r="G38" s="4">
        <v>4</v>
      </c>
      <c r="H38" s="6"/>
      <c r="I38" s="16" t="s">
        <v>785</v>
      </c>
      <c r="J38" s="6" t="b">
        <v>1</v>
      </c>
      <c r="K38" s="6" t="e">
        <v>#VALUE!</v>
      </c>
      <c r="L38" s="6" t="e">
        <v>#N/A</v>
      </c>
      <c r="M38" s="7" t="e">
        <v>#DIV/0!</v>
      </c>
      <c r="N38" s="7" t="e">
        <v>#NAME?</v>
      </c>
      <c r="O38" s="7" t="e">
        <v>#NULL!</v>
      </c>
      <c r="P38" s="7" t="e">
        <v>#NUM!</v>
      </c>
      <c r="Q38" s="7" t="e">
        <v>#REF!</v>
      </c>
      <c r="R38" s="18">
        <f t="array" ref="R38:R43">TTEST(C37:D38,E35:E38,{1;2;1;2;1;2},{1;2;3;1;2;3})</f>
        <v>6.5797941349294745E-2</v>
      </c>
      <c r="S38" s="6" t="e" cm="1">
        <f t="array" ref="S38:S43">TTEST(D38:E38,E38:G38,{1;2;1;2;1;2},{1;2;3;1;2;3})</f>
        <v>#N/A</v>
      </c>
      <c r="T38" s="6" t="e" cm="1">
        <f t="array" ref="T38:T43">TTEST(E38:F38,G38:H38,{1;2;1;2;1;2},{1;2;3;1;2;3})</f>
        <v>#DIV/0!</v>
      </c>
      <c r="U38" s="6" t="e" cm="1">
        <f t="array" ref="U38:U43">TTEST(D38,F38,{1;2;1;2;1;2},{1;2;3;1;2;3})</f>
        <v>#DIV/0!</v>
      </c>
      <c r="V38" s="6" t="e" cm="1">
        <f t="array" ref="V38:V43">TTEST(G38:I38,H38:J38,{1;2;1;2;1;2},{1;2;3;1;2;3})</f>
        <v>#DIV/0!</v>
      </c>
      <c r="W38" s="6" t="e" cm="1">
        <f t="array" ref="W38:W43">TTEST(H38:I38,J38:K38,{1;2;1;2;1;2},{1;2;3;1;2;3})</f>
        <v>#VALUE!</v>
      </c>
      <c r="X38" s="6" t="e" cm="1">
        <f t="array" ref="X38:X43">TTEST(I38:J38,K38:L38,{1;2;1;2;1;2},{1;2;3;1;2;3})</f>
        <v>#VALUE!</v>
      </c>
      <c r="Y38" s="6" t="e" cm="1">
        <f t="array" ref="Y38:Y43">TTEST(J38:K38,L38:M38,{1;2;1;2;1;2},{1;2;3;1;2;3})</f>
        <v>#N/A</v>
      </c>
      <c r="Z38" s="6" t="e" cm="1">
        <f t="array" ref="Z38:Z43">TTEST(K38:L38,M38:N38,{1;2;1;2;1;2},{1;2;3;1;2;3})</f>
        <v>#VALUE!</v>
      </c>
      <c r="AA38" s="6" t="e" cm="1">
        <f t="array" ref="AA38:AA43">TTEST(L38:M38,N38:O38,{1;2;1;2;1;2},{1;2;3;1;2;3})</f>
        <v>#N/A</v>
      </c>
      <c r="AB38" s="6" t="e" cm="1">
        <f t="array" ref="AB38:AB43">TTEST(M38:N38,O38:P38,{1;2;1;2;1;2},{1;2;3;1;2;3})</f>
        <v>#DIV/0!</v>
      </c>
      <c r="AC38" s="6" t="e" cm="1">
        <f t="array" ref="AC38:AC43">TTEST(N38:O38,P38:Q38,{1;2;1;2;1;2},{1;2;3;1;2;3})</f>
        <v>#NAME?</v>
      </c>
      <c r="AD38" s="6" t="e" cm="1">
        <f t="array" ref="AD38:AD43">TTEST(O38:P38,Q38:R38,{1;2;1;2;1;2},{1;2;3;1;2;3})</f>
        <v>#NUM!</v>
      </c>
      <c r="AE38" s="6" t="e" cm="1">
        <f t="array" ref="AE38:AE43">TTEST(P38:Q38,R38:S38,{1;2;1;2;1;2},{1;2;3;1;2;3})</f>
        <v>#NUM!</v>
      </c>
      <c r="AF38" s="6" t="e" cm="1">
        <f t="array" ref="AF38:AF43">TTEST(Q38:R38,S38:T38,{1;2;1;2;1;2},{1;2;3;1;2;3})</f>
        <v>#REF!</v>
      </c>
      <c r="AG38" s="6">
        <f t="array" ref="AG38:AG43">TTEST(C37:D38, F37:G38,{1;2;1;2;1;2},{1;2;3;1;2;3})</f>
        <v>0.20698537813086479</v>
      </c>
      <c r="AH38" s="71">
        <f t="array" ref="AH38:AW43">TTEST(D38:E38, E38:F38,{1;2;1;2;1;2},{1;2;3;1;2;3})</f>
        <v>0.40263573125709518</v>
      </c>
      <c r="AI38" s="6">
        <v>0.40263573125709518</v>
      </c>
      <c r="AJ38" s="6">
        <v>0.40263573125709518</v>
      </c>
      <c r="AK38" s="6">
        <v>0.40263573125709518</v>
      </c>
      <c r="AL38" s="6">
        <v>0.40263573125709518</v>
      </c>
      <c r="AM38" s="6">
        <v>0.40263573125709518</v>
      </c>
      <c r="AN38" s="6">
        <v>0.40263573125709518</v>
      </c>
      <c r="AO38" s="6">
        <v>0.40263573125709518</v>
      </c>
      <c r="AP38" s="6">
        <v>0.40263573125709518</v>
      </c>
      <c r="AQ38" s="6">
        <v>0.40263573125709518</v>
      </c>
      <c r="AR38" s="6">
        <v>0.40263573125709518</v>
      </c>
      <c r="AS38" s="6">
        <v>0.40263573125709518</v>
      </c>
      <c r="AT38" s="6">
        <v>0.40263573125709518</v>
      </c>
      <c r="AU38" s="6">
        <v>0.40263573125709518</v>
      </c>
      <c r="AV38" s="6">
        <v>0.40263573125709518</v>
      </c>
      <c r="AW38" s="4">
        <v>0.40263573125709518</v>
      </c>
    </row>
    <row r="39" spans="1:49" x14ac:dyDescent="0.15">
      <c r="A39" s="102"/>
      <c r="B39" s="100"/>
      <c r="H39" s="6"/>
      <c r="I39" s="16"/>
      <c r="J39" s="6"/>
      <c r="K39" s="6"/>
      <c r="L39" s="6"/>
      <c r="M39" s="7"/>
      <c r="N39" s="7"/>
      <c r="O39" s="7"/>
      <c r="P39" s="7"/>
      <c r="Q39" s="7"/>
      <c r="R39" s="18">
        <v>8.7928258833788131E-2</v>
      </c>
      <c r="S39" s="6">
        <v>0.86663407215254395</v>
      </c>
      <c r="T39" s="6" t="e">
        <v>#DIV/0!</v>
      </c>
      <c r="U39" s="6" t="e">
        <v>#DIV/0!</v>
      </c>
      <c r="V39" s="6" t="e">
        <v>#DIV/0!</v>
      </c>
      <c r="W39" s="6" t="e">
        <v>#VALUE!</v>
      </c>
      <c r="X39" s="6" t="e">
        <v>#VALUE!</v>
      </c>
      <c r="Y39" s="6" t="e">
        <v>#VALUE!</v>
      </c>
      <c r="Z39" s="6" t="e">
        <v>#VALUE!</v>
      </c>
      <c r="AA39" s="6" t="e">
        <v>#N/A</v>
      </c>
      <c r="AB39" s="6" t="e">
        <v>#DIV/0!</v>
      </c>
      <c r="AC39" s="6" t="e">
        <v>#NAME?</v>
      </c>
      <c r="AD39" s="6" t="e">
        <v>#NUM!</v>
      </c>
      <c r="AE39" s="6" t="e">
        <v>#NUM!</v>
      </c>
      <c r="AF39" s="6" t="e">
        <v>#REF!</v>
      </c>
      <c r="AG39" s="6">
        <v>0.40674226895110216</v>
      </c>
      <c r="AH39" s="71">
        <v>0.71165840120067247</v>
      </c>
      <c r="AI39" s="6">
        <v>0.71165840120067247</v>
      </c>
      <c r="AJ39" s="6">
        <v>0.71165840120067247</v>
      </c>
      <c r="AK39" s="6">
        <v>0.71165840120067247</v>
      </c>
      <c r="AL39" s="6">
        <v>0.71165840120067247</v>
      </c>
      <c r="AM39" s="6">
        <v>0.71165840120067247</v>
      </c>
      <c r="AN39" s="6">
        <v>0.71165840120067247</v>
      </c>
      <c r="AO39" s="6">
        <v>0.71165840120067247</v>
      </c>
      <c r="AP39" s="6">
        <v>0.71165840120067247</v>
      </c>
      <c r="AQ39" s="6">
        <v>0.71165840120067247</v>
      </c>
      <c r="AR39" s="6">
        <v>0.71165840120067247</v>
      </c>
      <c r="AS39" s="6">
        <v>0.71165840120067247</v>
      </c>
      <c r="AT39" s="6">
        <v>0.71165840120067247</v>
      </c>
      <c r="AU39" s="6">
        <v>0.71165840120067247</v>
      </c>
      <c r="AV39" s="6">
        <v>0.71165840120067247</v>
      </c>
      <c r="AW39" s="4">
        <v>0.71165840120067247</v>
      </c>
    </row>
    <row r="40" spans="1:49" x14ac:dyDescent="0.15">
      <c r="A40" s="102"/>
      <c r="B40" s="100"/>
      <c r="H40" s="6"/>
      <c r="I40" s="16"/>
      <c r="J40" s="6"/>
      <c r="K40" s="6"/>
      <c r="L40" s="6"/>
      <c r="M40" s="7"/>
      <c r="N40" s="7"/>
      <c r="O40" s="7"/>
      <c r="P40" s="7"/>
      <c r="Q40" s="7"/>
      <c r="R40" s="18">
        <v>6.7244219212583042E-2</v>
      </c>
      <c r="S40" s="6">
        <v>0.43641889152620611</v>
      </c>
      <c r="T40" s="6" t="e">
        <v>#DIV/0!</v>
      </c>
      <c r="U40" s="6" t="e">
        <v>#DIV/0!</v>
      </c>
      <c r="V40" s="6" t="e">
        <v>#DIV/0!</v>
      </c>
      <c r="W40" s="6" t="e">
        <v>#VALUE!</v>
      </c>
      <c r="X40" s="6" t="e">
        <v>#VALUE!</v>
      </c>
      <c r="Y40" s="6" t="e">
        <v>#VALUE!</v>
      </c>
      <c r="Z40" s="6" t="e">
        <v>#VALUE!</v>
      </c>
      <c r="AA40" s="6" t="e">
        <v>#N/A</v>
      </c>
      <c r="AB40" s="6" t="e">
        <v>#DIV/0!</v>
      </c>
      <c r="AC40" s="6" t="e">
        <v>#NAME?</v>
      </c>
      <c r="AD40" s="6" t="e">
        <v>#NUM!</v>
      </c>
      <c r="AE40" s="6" t="e">
        <v>#NUM!</v>
      </c>
      <c r="AF40" s="6" t="e">
        <v>#REF!</v>
      </c>
      <c r="AG40" s="6">
        <v>0.21843312589632996</v>
      </c>
      <c r="AH40" s="71">
        <v>0.3615989819032468</v>
      </c>
      <c r="AI40" s="6">
        <v>0.3615989819032468</v>
      </c>
      <c r="AJ40" s="6">
        <v>0.3615989819032468</v>
      </c>
      <c r="AK40" s="6">
        <v>0.3615989819032468</v>
      </c>
      <c r="AL40" s="6">
        <v>0.3615989819032468</v>
      </c>
      <c r="AM40" s="6">
        <v>0.3615989819032468</v>
      </c>
      <c r="AN40" s="6">
        <v>0.3615989819032468</v>
      </c>
      <c r="AO40" s="6">
        <v>0.3615989819032468</v>
      </c>
      <c r="AP40" s="6">
        <v>0.3615989819032468</v>
      </c>
      <c r="AQ40" s="6">
        <v>0.3615989819032468</v>
      </c>
      <c r="AR40" s="6">
        <v>0.3615989819032468</v>
      </c>
      <c r="AS40" s="6">
        <v>0.3615989819032468</v>
      </c>
      <c r="AT40" s="6">
        <v>0.3615989819032468</v>
      </c>
      <c r="AU40" s="6">
        <v>0.3615989819032468</v>
      </c>
      <c r="AV40" s="6">
        <v>0.3615989819032468</v>
      </c>
      <c r="AW40" s="4">
        <v>0.3615989819032468</v>
      </c>
    </row>
    <row r="41" spans="1:49" x14ac:dyDescent="0.15">
      <c r="A41" s="102"/>
      <c r="B41" s="100"/>
      <c r="H41" s="6"/>
      <c r="I41" s="16"/>
      <c r="J41" s="6"/>
      <c r="K41" s="6"/>
      <c r="L41" s="6"/>
      <c r="M41" s="7"/>
      <c r="N41" s="7"/>
      <c r="O41" s="7"/>
      <c r="P41" s="7"/>
      <c r="Q41" s="7"/>
      <c r="R41" s="18">
        <v>0.13159588269858949</v>
      </c>
      <c r="S41" s="6" t="e">
        <v>#N/A</v>
      </c>
      <c r="T41" s="6" t="e">
        <v>#DIV/0!</v>
      </c>
      <c r="U41" s="6" t="e">
        <v>#DIV/0!</v>
      </c>
      <c r="V41" s="6" t="e">
        <v>#DIV/0!</v>
      </c>
      <c r="W41" s="6" t="e">
        <v>#VALUE!</v>
      </c>
      <c r="X41" s="6" t="e">
        <v>#VALUE!</v>
      </c>
      <c r="Y41" s="6" t="e">
        <v>#N/A</v>
      </c>
      <c r="Z41" s="6" t="e">
        <v>#VALUE!</v>
      </c>
      <c r="AA41" s="6" t="e">
        <v>#N/A</v>
      </c>
      <c r="AB41" s="6" t="e">
        <v>#DIV/0!</v>
      </c>
      <c r="AC41" s="6" t="e">
        <v>#NAME?</v>
      </c>
      <c r="AD41" s="6" t="e">
        <v>#NUM!</v>
      </c>
      <c r="AE41" s="6" t="e">
        <v>#NUM!</v>
      </c>
      <c r="AF41" s="6" t="e">
        <v>#REF!</v>
      </c>
      <c r="AG41" s="6">
        <v>0.41397075626172958</v>
      </c>
      <c r="AH41" s="71">
        <v>0.80527146251419035</v>
      </c>
      <c r="AI41" s="6">
        <v>0.80527146251419035</v>
      </c>
      <c r="AJ41" s="6">
        <v>0.80527146251419035</v>
      </c>
      <c r="AK41" s="6">
        <v>0.80527146251419035</v>
      </c>
      <c r="AL41" s="6">
        <v>0.80527146251419035</v>
      </c>
      <c r="AM41" s="6">
        <v>0.80527146251419035</v>
      </c>
      <c r="AN41" s="6">
        <v>0.80527146251419035</v>
      </c>
      <c r="AO41" s="6">
        <v>0.80527146251419035</v>
      </c>
      <c r="AP41" s="6">
        <v>0.80527146251419035</v>
      </c>
      <c r="AQ41" s="6">
        <v>0.80527146251419035</v>
      </c>
      <c r="AR41" s="6">
        <v>0.80527146251419035</v>
      </c>
      <c r="AS41" s="6">
        <v>0.80527146251419035</v>
      </c>
      <c r="AT41" s="6">
        <v>0.80527146251419035</v>
      </c>
      <c r="AU41" s="6">
        <v>0.80527146251419035</v>
      </c>
      <c r="AV41" s="6">
        <v>0.80527146251419035</v>
      </c>
      <c r="AW41" s="4">
        <v>0.80527146251419035</v>
      </c>
    </row>
    <row r="42" spans="1:49" x14ac:dyDescent="0.15">
      <c r="A42" s="102"/>
      <c r="B42" s="100"/>
      <c r="H42" s="6"/>
      <c r="I42" s="16"/>
      <c r="J42" s="6"/>
      <c r="K42" s="6"/>
      <c r="L42" s="6"/>
      <c r="M42" s="7"/>
      <c r="N42" s="7"/>
      <c r="O42" s="7"/>
      <c r="P42" s="7"/>
      <c r="Q42" s="7"/>
      <c r="R42" s="18">
        <v>4.3964129416894066E-2</v>
      </c>
      <c r="S42" s="6">
        <v>0.43331703607627198</v>
      </c>
      <c r="T42" s="6" t="e">
        <v>#DIV/0!</v>
      </c>
      <c r="U42" s="6" t="e">
        <v>#DIV/0!</v>
      </c>
      <c r="V42" s="6" t="e">
        <v>#DIV/0!</v>
      </c>
      <c r="W42" s="6" t="e">
        <v>#VALUE!</v>
      </c>
      <c r="X42" s="6" t="e">
        <v>#VALUE!</v>
      </c>
      <c r="Y42" s="6" t="e">
        <v>#VALUE!</v>
      </c>
      <c r="Z42" s="6" t="e">
        <v>#VALUE!</v>
      </c>
      <c r="AA42" s="6" t="e">
        <v>#N/A</v>
      </c>
      <c r="AB42" s="6" t="e">
        <v>#DIV/0!</v>
      </c>
      <c r="AC42" s="6" t="e">
        <v>#NAME?</v>
      </c>
      <c r="AD42" s="6" t="e">
        <v>#NUM!</v>
      </c>
      <c r="AE42" s="6" t="e">
        <v>#NUM!</v>
      </c>
      <c r="AF42" s="6" t="e">
        <v>#REF!</v>
      </c>
      <c r="AG42" s="6">
        <v>0.20337113447555108</v>
      </c>
      <c r="AH42" s="71">
        <v>0.35582920060033624</v>
      </c>
      <c r="AI42" s="6">
        <v>0.35582920060033624</v>
      </c>
      <c r="AJ42" s="6">
        <v>0.35582920060033624</v>
      </c>
      <c r="AK42" s="6">
        <v>0.35582920060033624</v>
      </c>
      <c r="AL42" s="6">
        <v>0.35582920060033624</v>
      </c>
      <c r="AM42" s="6">
        <v>0.35582920060033624</v>
      </c>
      <c r="AN42" s="6">
        <v>0.35582920060033624</v>
      </c>
      <c r="AO42" s="6">
        <v>0.35582920060033624</v>
      </c>
      <c r="AP42" s="6">
        <v>0.35582920060033624</v>
      </c>
      <c r="AQ42" s="6">
        <v>0.35582920060033624</v>
      </c>
      <c r="AR42" s="6">
        <v>0.35582920060033624</v>
      </c>
      <c r="AS42" s="6">
        <v>0.35582920060033624</v>
      </c>
      <c r="AT42" s="6">
        <v>0.35582920060033624</v>
      </c>
      <c r="AU42" s="6">
        <v>0.35582920060033624</v>
      </c>
      <c r="AV42" s="6">
        <v>0.35582920060033624</v>
      </c>
      <c r="AW42" s="4">
        <v>0.35582920060033624</v>
      </c>
    </row>
    <row r="43" spans="1:49" x14ac:dyDescent="0.15">
      <c r="A43" s="102"/>
      <c r="B43" s="100"/>
      <c r="H43" s="6"/>
      <c r="I43" s="16"/>
      <c r="J43" s="6"/>
      <c r="K43" s="6"/>
      <c r="L43" s="6"/>
      <c r="M43" s="7"/>
      <c r="N43" s="7"/>
      <c r="O43" s="7"/>
      <c r="P43" s="7"/>
      <c r="Q43" s="7"/>
      <c r="R43" s="18">
        <v>0.13448843842516608</v>
      </c>
      <c r="S43" s="6">
        <v>0.87283778305241222</v>
      </c>
      <c r="T43" s="6" t="e">
        <v>#DIV/0!</v>
      </c>
      <c r="U43" s="6" t="e">
        <v>#DIV/0!</v>
      </c>
      <c r="V43" s="6" t="e">
        <v>#DIV/0!</v>
      </c>
      <c r="W43" s="6" t="e">
        <v>#VALUE!</v>
      </c>
      <c r="X43" s="6" t="e">
        <v>#VALUE!</v>
      </c>
      <c r="Y43" s="6" t="e">
        <v>#VALUE!</v>
      </c>
      <c r="Z43" s="6" t="e">
        <v>#VALUE!</v>
      </c>
      <c r="AA43" s="6" t="e">
        <v>#N/A</v>
      </c>
      <c r="AB43" s="6" t="e">
        <v>#DIV/0!</v>
      </c>
      <c r="AC43" s="6" t="e">
        <v>#NAME?</v>
      </c>
      <c r="AD43" s="6" t="e">
        <v>#NUM!</v>
      </c>
      <c r="AE43" s="6" t="e">
        <v>#NUM!</v>
      </c>
      <c r="AF43" s="6" t="e">
        <v>#REF!</v>
      </c>
      <c r="AG43" s="6">
        <v>0.43686625179265992</v>
      </c>
      <c r="AH43" s="71">
        <v>0.72319796380649359</v>
      </c>
      <c r="AI43" s="6">
        <v>0.72319796380649359</v>
      </c>
      <c r="AJ43" s="6">
        <v>0.72319796380649359</v>
      </c>
      <c r="AK43" s="6">
        <v>0.72319796380649359</v>
      </c>
      <c r="AL43" s="6">
        <v>0.72319796380649359</v>
      </c>
      <c r="AM43" s="6">
        <v>0.72319796380649359</v>
      </c>
      <c r="AN43" s="6">
        <v>0.72319796380649359</v>
      </c>
      <c r="AO43" s="6">
        <v>0.72319796380649359</v>
      </c>
      <c r="AP43" s="6">
        <v>0.72319796380649359</v>
      </c>
      <c r="AQ43" s="6">
        <v>0.72319796380649359</v>
      </c>
      <c r="AR43" s="6">
        <v>0.72319796380649359</v>
      </c>
      <c r="AS43" s="6">
        <v>0.72319796380649359</v>
      </c>
      <c r="AT43" s="6">
        <v>0.72319796380649359</v>
      </c>
      <c r="AU43" s="6">
        <v>0.72319796380649359</v>
      </c>
      <c r="AV43" s="6">
        <v>0.72319796380649359</v>
      </c>
      <c r="AW43" s="4">
        <v>0.72319796380649359</v>
      </c>
    </row>
    <row r="44" spans="1:49" x14ac:dyDescent="0.15">
      <c r="A44" s="37" t="s">
        <v>483</v>
      </c>
      <c r="B44" s="36" t="s">
        <v>541</v>
      </c>
      <c r="C44" s="4">
        <v>0</v>
      </c>
      <c r="D44" s="4">
        <v>-10</v>
      </c>
      <c r="E44" s="4">
        <v>0.9</v>
      </c>
      <c r="F44" s="4">
        <v>2.2000000000000002</v>
      </c>
      <c r="G44" s="4">
        <v>-0.1</v>
      </c>
      <c r="H44" s="6"/>
      <c r="I44" s="16" t="s">
        <v>448</v>
      </c>
      <c r="J44" s="6" t="b">
        <v>1</v>
      </c>
      <c r="K44" s="6" t="e">
        <v>#VALUE!</v>
      </c>
      <c r="L44" s="6" t="e">
        <v>#N/A</v>
      </c>
      <c r="M44" s="7" t="e">
        <v>#DIV/0!</v>
      </c>
      <c r="N44" s="7" t="e">
        <v>#NAME?</v>
      </c>
      <c r="O44" s="7" t="e">
        <v>#NULL!</v>
      </c>
      <c r="P44" s="7" t="e">
        <v>#NUM!</v>
      </c>
      <c r="Q44" s="7" t="e">
        <v>#REF!</v>
      </c>
      <c r="R44" s="6">
        <f>VAR(C44:D44,D44:E44,E44:F44,"2")</f>
        <v>30.409999999999997</v>
      </c>
      <c r="S44" s="6" t="e" vm="6">
        <f>VAR(D44:E44,E44:F44,F44:G44,"")</f>
        <v>#VALUE!</v>
      </c>
      <c r="T44" s="6">
        <f>VAR(E44:F44,F44:G44,G44:H44,"29/02/1900")</f>
        <v>580.83500000000004</v>
      </c>
      <c r="U44" s="6" t="e">
        <f>VAR(G44:H44)</f>
        <v>#DIV/0!</v>
      </c>
      <c r="V44" s="6">
        <f>VAR(F44:H44,H44:I44,I44:J44)</f>
        <v>2.6450000000000005</v>
      </c>
      <c r="W44" s="6" t="e">
        <f>VAR(G44:H44)</f>
        <v>#DIV/0!</v>
      </c>
      <c r="X44" s="6">
        <f>VAR(I44,G44,E44)</f>
        <v>0.5</v>
      </c>
      <c r="Y44" s="6" t="e">
        <f>VAR(J44,G44)</f>
        <v>#DIV/0!</v>
      </c>
      <c r="Z44" s="6" t="e">
        <f>VAR(K44:L44)</f>
        <v>#VALUE!</v>
      </c>
      <c r="AA44" s="6" t="e">
        <f t="shared" ref="AA44:AF44" si="34">VAR(L44:M44)</f>
        <v>#N/A</v>
      </c>
      <c r="AB44" s="6" t="e">
        <f t="shared" si="34"/>
        <v>#DIV/0!</v>
      </c>
      <c r="AC44" s="6" t="e">
        <f t="shared" si="34"/>
        <v>#NAME?</v>
      </c>
      <c r="AD44" s="6" t="e">
        <f t="shared" si="34"/>
        <v>#NULL!</v>
      </c>
      <c r="AE44" s="6" t="e">
        <f t="shared" si="34"/>
        <v>#NUM!</v>
      </c>
      <c r="AF44" s="6" t="e">
        <f t="shared" si="34"/>
        <v>#REF!</v>
      </c>
      <c r="AG44" s="6">
        <f>VAR(F44:J44)</f>
        <v>2.6450000000000005</v>
      </c>
      <c r="AH44" s="6">
        <f t="array" ref="AH44:AM44">VAR(C44:J44)</f>
        <v>23.965000000000003</v>
      </c>
      <c r="AI44" s="6">
        <v>23.965000000000003</v>
      </c>
      <c r="AJ44" s="6">
        <v>23.965000000000003</v>
      </c>
      <c r="AK44" s="6">
        <v>23.965000000000003</v>
      </c>
      <c r="AL44" s="6">
        <v>23.965000000000003</v>
      </c>
      <c r="AM44" s="6">
        <v>23.965000000000003</v>
      </c>
      <c r="AN44" s="6" t="e">
        <f t="array" ref="AN44:AW44">VAR(J44:Q44)</f>
        <v>#VALUE!</v>
      </c>
      <c r="AO44" s="6" t="e">
        <v>#VALUE!</v>
      </c>
      <c r="AP44" s="6" t="e">
        <v>#VALUE!</v>
      </c>
      <c r="AQ44" s="6" t="e">
        <v>#VALUE!</v>
      </c>
      <c r="AR44" s="6" t="e">
        <v>#VALUE!</v>
      </c>
      <c r="AS44" s="6" t="e">
        <v>#VALUE!</v>
      </c>
      <c r="AT44" s="6" t="e">
        <v>#VALUE!</v>
      </c>
      <c r="AU44" s="6" t="e">
        <v>#VALUE!</v>
      </c>
      <c r="AV44" s="6" t="e">
        <v>#VALUE!</v>
      </c>
      <c r="AW44" s="4" t="e">
        <v>#VALUE!</v>
      </c>
    </row>
    <row r="45" spans="1:49" x14ac:dyDescent="0.15">
      <c r="A45" s="37" t="s">
        <v>484</v>
      </c>
      <c r="B45" s="36" t="s">
        <v>541</v>
      </c>
      <c r="C45" s="4">
        <v>0</v>
      </c>
      <c r="D45" s="4">
        <v>-10</v>
      </c>
      <c r="E45" s="4">
        <v>0.9</v>
      </c>
      <c r="F45" s="4">
        <v>2.2000000000000002</v>
      </c>
      <c r="G45" s="4">
        <v>-0.1</v>
      </c>
      <c r="H45" s="6"/>
      <c r="I45" s="16" t="s">
        <v>448</v>
      </c>
      <c r="J45" s="6" t="b">
        <v>1</v>
      </c>
      <c r="K45" s="6" t="e">
        <v>#VALUE!</v>
      </c>
      <c r="L45" s="6" t="e">
        <v>#N/A</v>
      </c>
      <c r="M45" s="7" t="e">
        <v>#DIV/0!</v>
      </c>
      <c r="N45" s="7" t="e">
        <v>#NAME?</v>
      </c>
      <c r="O45" s="7" t="e">
        <v>#NULL!</v>
      </c>
      <c r="P45" s="7" t="e">
        <v>#NUM!</v>
      </c>
      <c r="Q45" s="7" t="e">
        <v>#REF!</v>
      </c>
      <c r="R45" s="6">
        <f>VARP(C45:D45,D45:E45,E45:F45,"2")</f>
        <v>26.065714285714282</v>
      </c>
      <c r="S45" s="6" t="e" vm="7">
        <f>VARP(D45:E45,E45:F45,F45:G45,"")</f>
        <v>#VALUE!</v>
      </c>
      <c r="T45" s="6">
        <f>VARP(E45:F45,F45:G45,G45:H45,"29/02/1900")</f>
        <v>484.02916666666675</v>
      </c>
      <c r="U45" s="6" t="e">
        <f>VARP(H45)</f>
        <v>#DIV/0!</v>
      </c>
      <c r="V45" s="6">
        <f>VARP(G45:H45,H45:I45,I45:J45)</f>
        <v>0</v>
      </c>
      <c r="W45" s="6">
        <f>VARP(G45:H45)</f>
        <v>0</v>
      </c>
      <c r="X45" s="6">
        <f>VARP(I45,G45)</f>
        <v>0</v>
      </c>
      <c r="Y45" s="6">
        <f>VARP(J45,G45)</f>
        <v>0</v>
      </c>
      <c r="Z45" s="6" t="e">
        <f>VARP(K45:L45)</f>
        <v>#VALUE!</v>
      </c>
      <c r="AA45" s="6" t="e">
        <f t="shared" ref="AA45:AF45" si="35">VARP(L45:M45)</f>
        <v>#N/A</v>
      </c>
      <c r="AB45" s="6" t="e">
        <f t="shared" si="35"/>
        <v>#DIV/0!</v>
      </c>
      <c r="AC45" s="6" t="e">
        <f t="shared" si="35"/>
        <v>#NAME?</v>
      </c>
      <c r="AD45" s="6" t="e">
        <f t="shared" si="35"/>
        <v>#NULL!</v>
      </c>
      <c r="AE45" s="6" t="e">
        <f t="shared" si="35"/>
        <v>#NUM!</v>
      </c>
      <c r="AF45" s="6" t="e">
        <f t="shared" si="35"/>
        <v>#REF!</v>
      </c>
      <c r="AG45" s="6">
        <f>VARP(F45:J45)</f>
        <v>1.3225000000000002</v>
      </c>
      <c r="AH45" s="6">
        <f t="array" ref="AH45:AM45">VARP(C45:J45)</f>
        <v>19.172000000000004</v>
      </c>
      <c r="AI45" s="6">
        <v>19.172000000000004</v>
      </c>
      <c r="AJ45" s="6">
        <v>19.172000000000004</v>
      </c>
      <c r="AK45" s="6">
        <v>19.172000000000004</v>
      </c>
      <c r="AL45" s="6">
        <v>19.172000000000004</v>
      </c>
      <c r="AM45" s="6">
        <v>19.172000000000004</v>
      </c>
      <c r="AN45" s="6" t="e">
        <f t="array" ref="AN45:AW45">VARP(J45:Q45)</f>
        <v>#VALUE!</v>
      </c>
      <c r="AO45" s="6" t="e">
        <v>#VALUE!</v>
      </c>
      <c r="AP45" s="6" t="e">
        <v>#VALUE!</v>
      </c>
      <c r="AQ45" s="6" t="e">
        <v>#VALUE!</v>
      </c>
      <c r="AR45" s="6" t="e">
        <v>#VALUE!</v>
      </c>
      <c r="AS45" s="6" t="e">
        <v>#VALUE!</v>
      </c>
      <c r="AT45" s="6" t="e">
        <v>#VALUE!</v>
      </c>
      <c r="AU45" s="6" t="e">
        <v>#VALUE!</v>
      </c>
      <c r="AV45" s="6" t="e">
        <v>#VALUE!</v>
      </c>
      <c r="AW45" s="4" t="e">
        <v>#VALUE!</v>
      </c>
    </row>
    <row r="46" spans="1:49" x14ac:dyDescent="0.15">
      <c r="A46" s="37" t="s">
        <v>485</v>
      </c>
      <c r="B46" s="36" t="s">
        <v>541</v>
      </c>
      <c r="C46" s="4">
        <v>0</v>
      </c>
      <c r="D46" s="4">
        <v>-0.1</v>
      </c>
      <c r="E46" s="4">
        <v>0.7</v>
      </c>
      <c r="F46" s="4">
        <v>3</v>
      </c>
      <c r="G46" s="4">
        <v>4</v>
      </c>
      <c r="H46" s="6"/>
      <c r="I46" s="16" t="s">
        <v>444</v>
      </c>
      <c r="J46" s="6" t="b">
        <v>1</v>
      </c>
      <c r="K46" s="6" t="e">
        <v>#VALUE!</v>
      </c>
      <c r="L46" s="6" t="e">
        <v>#N/A</v>
      </c>
      <c r="M46" s="7" t="e">
        <v>#DIV/0!</v>
      </c>
      <c r="N46" s="7" t="e">
        <v>#NAME?</v>
      </c>
      <c r="O46" s="7" t="e">
        <v>#NULL!</v>
      </c>
      <c r="P46" s="7" t="e">
        <v>#NUM!</v>
      </c>
      <c r="Q46" s="7" t="e">
        <v>#REF!</v>
      </c>
      <c r="R46" s="6" t="e">
        <f>WEIBULL(C46,,,)</f>
        <v>#NUM!</v>
      </c>
      <c r="S46" s="6" t="e">
        <f>WEIBULL(D46,1,2,FALSE)</f>
        <v>#NUM!</v>
      </c>
      <c r="T46" s="6">
        <f>WEIBULL(E46,"1","3",5)</f>
        <v>0.2081104336632183</v>
      </c>
      <c r="U46" s="6" t="e">
        <f>WEIBULL(F46,-1,2,"TRUE")</f>
        <v>#NUM!</v>
      </c>
      <c r="V46" s="6" t="e">
        <f>WEIBULL(G46, 0,0,1)</f>
        <v>#NUM!</v>
      </c>
      <c r="W46" s="6" t="e">
        <f>WEIBULL(H46,H46,G46,1)</f>
        <v>#NUM!</v>
      </c>
      <c r="X46" s="6" t="e">
        <f>WEIBULL(I46,,I46,1)</f>
        <v>#NUM!</v>
      </c>
      <c r="Y46" s="6">
        <f>WEIBULL(J46,I46,E46,1)</f>
        <v>1</v>
      </c>
      <c r="Z46" s="6" t="e">
        <f>WEIBULL(K46,I46,G46,1)</f>
        <v>#VALUE!</v>
      </c>
      <c r="AA46" s="6" t="e">
        <f t="shared" ref="AA46:AF46" si="36">WEIBULL(L46,J46,H46,1)</f>
        <v>#N/A</v>
      </c>
      <c r="AB46" s="6" t="e">
        <f t="shared" si="36"/>
        <v>#DIV/0!</v>
      </c>
      <c r="AC46" s="6" t="e">
        <f t="shared" si="36"/>
        <v>#NAME?</v>
      </c>
      <c r="AD46" s="6" t="e">
        <f t="shared" si="36"/>
        <v>#NULL!</v>
      </c>
      <c r="AE46" s="6" t="e">
        <f t="shared" si="36"/>
        <v>#NUM!</v>
      </c>
      <c r="AF46" s="6" t="e">
        <f t="shared" si="36"/>
        <v>#REF!</v>
      </c>
      <c r="AG46" s="6">
        <f t="array" ref="AG46">WEIBULL(C46:Q46,3,3,1)</f>
        <v>0</v>
      </c>
      <c r="AH46" s="6">
        <f t="array" ref="AH46:AW46">WEIBULL(C46:Q46,3,4,1)</f>
        <v>0</v>
      </c>
      <c r="AI46" s="6" t="e">
        <v>#NUM!</v>
      </c>
      <c r="AJ46" s="6">
        <v>5.3450391715986721E-3</v>
      </c>
      <c r="AK46" s="6">
        <v>0.34418398872849854</v>
      </c>
      <c r="AL46" s="6">
        <v>0.63212055882855767</v>
      </c>
      <c r="AM46" s="6">
        <v>0</v>
      </c>
      <c r="AN46" s="6">
        <v>1</v>
      </c>
      <c r="AO46" s="6">
        <v>1.5503562994591602E-2</v>
      </c>
      <c r="AP46" s="6" t="e">
        <v>#VALUE!</v>
      </c>
      <c r="AQ46" s="6" t="e">
        <v>#N/A</v>
      </c>
      <c r="AR46" s="6" t="e">
        <v>#DIV/0!</v>
      </c>
      <c r="AS46" s="6" t="e">
        <v>#NAME?</v>
      </c>
      <c r="AT46" s="6" t="e">
        <v>#NULL!</v>
      </c>
      <c r="AU46" s="6" t="e">
        <v>#NUM!</v>
      </c>
      <c r="AV46" s="6" t="e">
        <v>#REF!</v>
      </c>
      <c r="AW46" s="4" t="e">
        <v>#N/A</v>
      </c>
    </row>
    <row r="47" spans="1:49" x14ac:dyDescent="0.15">
      <c r="A47" s="37" t="s">
        <v>486</v>
      </c>
      <c r="B47" s="36" t="s">
        <v>541</v>
      </c>
      <c r="C47" s="4">
        <v>10</v>
      </c>
      <c r="D47" s="4">
        <v>3.2</v>
      </c>
      <c r="E47" s="4">
        <v>0.7</v>
      </c>
      <c r="F47" s="4">
        <v>2</v>
      </c>
      <c r="G47" s="4">
        <v>4</v>
      </c>
      <c r="H47" s="6"/>
      <c r="I47" s="16" t="s">
        <v>785</v>
      </c>
      <c r="J47" s="6" t="b">
        <v>1</v>
      </c>
      <c r="K47" s="6" t="e">
        <v>#VALUE!</v>
      </c>
      <c r="L47" s="6" t="e">
        <v>#N/A</v>
      </c>
      <c r="M47" s="7" t="e">
        <v>#DIV/0!</v>
      </c>
      <c r="N47" s="7" t="e">
        <v>#NAME?</v>
      </c>
      <c r="O47" s="7" t="e">
        <v>#NULL!</v>
      </c>
      <c r="P47" s="7" t="e">
        <v>#NUM!</v>
      </c>
      <c r="Q47" s="7" t="e">
        <v>#REF!</v>
      </c>
      <c r="R47" s="18">
        <f>ZTEST(C46:D47,E47)</f>
        <v>0.13853080871747964</v>
      </c>
      <c r="S47" s="6">
        <f>ZTEST(D47:E47,E47,3)</f>
        <v>0.27784489514139721</v>
      </c>
      <c r="T47" s="6">
        <f>ZTEST(E47:F47,G47, 2)</f>
        <v>0.96952327472253352</v>
      </c>
      <c r="U47" s="6" t="e">
        <f>ZTEST(D47:E47,F47,0)</f>
        <v>#NUM!</v>
      </c>
      <c r="V47" s="6" t="e">
        <f>ZTEST(G47:I47,H47,2)</f>
        <v>#DIV/0!</v>
      </c>
      <c r="W47" s="6">
        <f>ZTEST(F47:I47,J47)</f>
        <v>2.2750131948179191E-2</v>
      </c>
      <c r="X47" s="6" t="e">
        <f>ZTEST(I47:J47,K47)</f>
        <v>#VALUE!</v>
      </c>
      <c r="Y47" s="6" t="e">
        <f>ZTEST(J47:K47,L47)</f>
        <v>#N/A</v>
      </c>
      <c r="Z47" s="6" t="e">
        <f>ZTEST(K47:L47,M47)</f>
        <v>#DIV/0!</v>
      </c>
      <c r="AA47" s="6" t="e">
        <f t="shared" ref="AA47:AF47" si="37">ZTEST(L47:M47,N47)</f>
        <v>#NAME?</v>
      </c>
      <c r="AB47" s="6" t="e">
        <f t="shared" si="37"/>
        <v>#NULL!</v>
      </c>
      <c r="AC47" s="6" t="e">
        <f t="shared" si="37"/>
        <v>#NUM!</v>
      </c>
      <c r="AD47" s="6" t="e">
        <f t="shared" si="37"/>
        <v>#REF!</v>
      </c>
      <c r="AE47" s="6" t="e">
        <f t="shared" si="37"/>
        <v>#NUM!</v>
      </c>
      <c r="AF47" s="6" t="e">
        <f t="shared" si="37"/>
        <v>#REF!</v>
      </c>
      <c r="AG47" s="6">
        <f t="array" ref="AG47">ZTEST(C46:D47, F46:G47,2)</f>
        <v>0.39165811915360504</v>
      </c>
      <c r="AH47" s="71">
        <f t="array" ref="AH47:AW47">ZTEST(C45:E47, C47:J47)</f>
        <v>0.99999998303747872</v>
      </c>
      <c r="AI47" s="6">
        <v>0.93659121275835422</v>
      </c>
      <c r="AJ47" s="6">
        <v>0.52341324068902062</v>
      </c>
      <c r="AK47" s="6">
        <v>0.7944923710502152</v>
      </c>
      <c r="AL47" s="6">
        <v>0.97706288732660052</v>
      </c>
      <c r="AM47" s="6">
        <v>0.3622945967610543</v>
      </c>
      <c r="AN47" s="6">
        <v>0.99999999999983502</v>
      </c>
      <c r="AO47" s="6">
        <v>0.59285220224955404</v>
      </c>
      <c r="AP47" s="6" t="e">
        <v>#N/A</v>
      </c>
      <c r="AQ47" s="6" t="e">
        <v>#N/A</v>
      </c>
      <c r="AR47" s="6" t="e">
        <v>#N/A</v>
      </c>
      <c r="AS47" s="6" t="e">
        <v>#N/A</v>
      </c>
      <c r="AT47" s="6" t="e">
        <v>#N/A</v>
      </c>
      <c r="AU47" s="6" t="e">
        <v>#N/A</v>
      </c>
      <c r="AV47" s="6" t="e">
        <v>#N/A</v>
      </c>
      <c r="AW47" s="4" t="e">
        <v>#N/A</v>
      </c>
    </row>
  </sheetData>
  <mergeCells count="9">
    <mergeCell ref="B38:B43"/>
    <mergeCell ref="A38:A43"/>
    <mergeCell ref="C1:Q1"/>
    <mergeCell ref="R1:AW1"/>
    <mergeCell ref="C2:G2"/>
    <mergeCell ref="K2:Q2"/>
    <mergeCell ref="R2:V2"/>
    <mergeCell ref="Z2:AF2"/>
    <mergeCell ref="AH2:AW2"/>
  </mergeCells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B6A5-DE4E-184E-89F0-70BB75707264}">
  <sheetPr codeName="Sheet4"/>
  <dimension ref="A1:BK9"/>
  <sheetViews>
    <sheetView workbookViewId="0">
      <selection activeCell="B1" sqref="B1"/>
    </sheetView>
  </sheetViews>
  <sheetFormatPr baseColWidth="10" defaultColWidth="10.83203125" defaultRowHeight="11" x14ac:dyDescent="0.15"/>
  <cols>
    <col min="1" max="1" width="14.5" style="42" bestFit="1" customWidth="1"/>
    <col min="2" max="2" width="5.1640625" style="41" bestFit="1" customWidth="1"/>
    <col min="3" max="3" width="1.5" style="4" bestFit="1" customWidth="1"/>
    <col min="4" max="4" width="2.5" style="4" bestFit="1" customWidth="1"/>
    <col min="5" max="6" width="2.83203125" style="4" bestFit="1" customWidth="1"/>
    <col min="7" max="7" width="3.1640625" style="4" bestFit="1" customWidth="1"/>
    <col min="8" max="8" width="4.6640625" style="4" bestFit="1" customWidth="1"/>
    <col min="9" max="9" width="6.6640625" style="4" bestFit="1" customWidth="1"/>
    <col min="10" max="10" width="3.6640625" style="4" bestFit="1" customWidth="1"/>
    <col min="11" max="11" width="5.6640625" style="4" bestFit="1" customWidth="1"/>
    <col min="12" max="12" width="3.6640625" style="4" bestFit="1" customWidth="1"/>
    <col min="13" max="13" width="5.1640625" style="4" bestFit="1" customWidth="1"/>
    <col min="14" max="14" width="5.6640625" style="4" bestFit="1" customWidth="1"/>
    <col min="15" max="15" width="4.6640625" style="4" bestFit="1" customWidth="1"/>
    <col min="16" max="16" width="4.83203125" style="4" bestFit="1" customWidth="1"/>
    <col min="17" max="17" width="4" style="4" bestFit="1" customWidth="1"/>
    <col min="18" max="18" width="4.83203125" style="4" bestFit="1" customWidth="1"/>
    <col min="19" max="19" width="5.6640625" style="4" bestFit="1" customWidth="1"/>
    <col min="20" max="20" width="4.83203125" style="4" bestFit="1" customWidth="1"/>
    <col min="21" max="21" width="5.1640625" style="4" bestFit="1" customWidth="1"/>
    <col min="22" max="22" width="4.83203125" style="4" bestFit="1" customWidth="1"/>
    <col min="23" max="23" width="5.83203125" style="4" bestFit="1" customWidth="1"/>
    <col min="24" max="26" width="5.6640625" style="4" bestFit="1" customWidth="1"/>
    <col min="27" max="27" width="3.6640625" style="4" bestFit="1" customWidth="1"/>
    <col min="28" max="29" width="5.6640625" style="4" bestFit="1" customWidth="1"/>
    <col min="30" max="30" width="4.6640625" style="4" bestFit="1" customWidth="1"/>
    <col min="31" max="31" width="4.83203125" style="4" bestFit="1" customWidth="1"/>
    <col min="32" max="32" width="4" style="4" bestFit="1" customWidth="1"/>
    <col min="33" max="33" width="9.83203125" style="4" bestFit="1" customWidth="1"/>
    <col min="34" max="34" width="4.83203125" style="4" bestFit="1" customWidth="1"/>
    <col min="35" max="35" width="5" style="4" bestFit="1" customWidth="1"/>
    <col min="36" max="36" width="3.83203125" style="4" bestFit="1" customWidth="1"/>
    <col min="37" max="37" width="3.5" style="4" bestFit="1" customWidth="1"/>
    <col min="38" max="38" width="5" style="4" bestFit="1" customWidth="1"/>
    <col min="39" max="39" width="4.83203125" style="4" bestFit="1" customWidth="1"/>
    <col min="40" max="40" width="6.1640625" style="4" bestFit="1" customWidth="1"/>
    <col min="41" max="49" width="6" style="4" bestFit="1" customWidth="1"/>
    <col min="50" max="16384" width="10.83203125" style="4"/>
  </cols>
  <sheetData>
    <row r="1" spans="1:63" x14ac:dyDescent="0.15">
      <c r="A1" s="42" t="s">
        <v>542</v>
      </c>
      <c r="B1" s="80">
        <f>COUNTIF(B3:B59,"=DONE")/COUNTA(A3:A59)</f>
        <v>0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63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63" x14ac:dyDescent="0.15">
      <c r="A3" s="40" t="s">
        <v>568</v>
      </c>
      <c r="H3" s="6"/>
      <c r="I3" s="16"/>
      <c r="J3" s="6"/>
      <c r="K3" s="6"/>
      <c r="L3" s="6"/>
      <c r="M3" s="7"/>
      <c r="N3" s="7"/>
      <c r="O3" s="7"/>
      <c r="P3" s="7"/>
      <c r="Q3" s="7"/>
    </row>
    <row r="4" spans="1:63" x14ac:dyDescent="0.15">
      <c r="A4" s="40" t="s">
        <v>569</v>
      </c>
      <c r="J4" s="6"/>
    </row>
    <row r="5" spans="1:63" x14ac:dyDescent="0.15">
      <c r="A5" s="40" t="s">
        <v>570</v>
      </c>
      <c r="H5" s="6"/>
      <c r="I5" s="6"/>
      <c r="J5" s="6"/>
      <c r="K5" s="6"/>
      <c r="L5" s="6"/>
      <c r="M5" s="7"/>
      <c r="N5" s="7"/>
      <c r="O5" s="7"/>
      <c r="P5" s="7"/>
      <c r="Q5" s="7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63" x14ac:dyDescent="0.15">
      <c r="A6" s="40" t="s">
        <v>571</v>
      </c>
      <c r="H6" s="6"/>
      <c r="I6" s="6"/>
      <c r="J6" s="6"/>
      <c r="K6" s="6"/>
      <c r="L6" s="6"/>
      <c r="M6" s="7"/>
      <c r="N6" s="7"/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8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63" x14ac:dyDescent="0.15">
      <c r="A7" s="40" t="s">
        <v>572</v>
      </c>
      <c r="H7" s="6"/>
      <c r="I7" s="6"/>
      <c r="J7" s="6"/>
      <c r="K7" s="6"/>
      <c r="L7" s="6"/>
      <c r="M7" s="7"/>
      <c r="N7" s="7"/>
      <c r="O7" s="7"/>
      <c r="P7" s="7"/>
      <c r="Q7" s="7"/>
    </row>
    <row r="8" spans="1:63" x14ac:dyDescent="0.15">
      <c r="A8" s="40" t="s">
        <v>573</v>
      </c>
      <c r="H8" s="6"/>
      <c r="I8" s="6"/>
      <c r="J8" s="6"/>
      <c r="K8" s="6"/>
      <c r="L8" s="6"/>
      <c r="M8" s="7"/>
      <c r="N8" s="7"/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M8" s="6"/>
      <c r="AN8" s="6"/>
      <c r="AO8" s="6"/>
      <c r="AP8" s="6"/>
      <c r="AQ8" s="6"/>
      <c r="AR8" s="7"/>
      <c r="AS8" s="7"/>
      <c r="AT8" s="7"/>
      <c r="AU8" s="7"/>
      <c r="AV8" s="7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</row>
    <row r="9" spans="1:63" x14ac:dyDescent="0.15">
      <c r="A9" s="40" t="s">
        <v>574</v>
      </c>
      <c r="H9" s="6"/>
      <c r="I9" s="6"/>
      <c r="J9" s="6"/>
      <c r="K9" s="6"/>
      <c r="L9" s="6"/>
      <c r="M9" s="7"/>
      <c r="N9" s="7"/>
      <c r="O9" s="7"/>
      <c r="P9" s="7"/>
      <c r="Q9" s="7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</sheetData>
  <sortState xmlns:xlrd2="http://schemas.microsoft.com/office/spreadsheetml/2017/richdata2" ref="A3:A9">
    <sortCondition ref="A3:A9"/>
  </sortState>
  <mergeCells count="7">
    <mergeCell ref="C1:Q1"/>
    <mergeCell ref="R1:AW1"/>
    <mergeCell ref="C2:G2"/>
    <mergeCell ref="K2:Q2"/>
    <mergeCell ref="R2:V2"/>
    <mergeCell ref="Z2:AF2"/>
    <mergeCell ref="AH2:AW2"/>
  </mergeCells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1493-55CD-D141-B410-0E940652F73D}">
  <sheetPr codeName="Sheet5"/>
  <dimension ref="A1:BK15"/>
  <sheetViews>
    <sheetView zoomScale="160" workbookViewId="0">
      <selection activeCell="E14" sqref="E14"/>
    </sheetView>
  </sheetViews>
  <sheetFormatPr baseColWidth="10" defaultColWidth="10.83203125" defaultRowHeight="11" x14ac:dyDescent="0.15"/>
  <cols>
    <col min="1" max="1" width="14.5" style="42" bestFit="1" customWidth="1"/>
    <col min="2" max="2" width="5.1640625" style="41" bestFit="1" customWidth="1"/>
    <col min="3" max="3" width="1.5" style="4" bestFit="1" customWidth="1"/>
    <col min="4" max="4" width="2.5" style="4" bestFit="1" customWidth="1"/>
    <col min="5" max="6" width="2.83203125" style="4" bestFit="1" customWidth="1"/>
    <col min="7" max="7" width="3.1640625" style="4" bestFit="1" customWidth="1"/>
    <col min="8" max="8" width="4.6640625" style="4" bestFit="1" customWidth="1"/>
    <col min="9" max="9" width="6.6640625" style="4" bestFit="1" customWidth="1"/>
    <col min="10" max="10" width="3.6640625" style="4" bestFit="1" customWidth="1"/>
    <col min="11" max="11" width="5.6640625" style="4" bestFit="1" customWidth="1"/>
    <col min="12" max="12" width="3.6640625" style="4" bestFit="1" customWidth="1"/>
    <col min="13" max="13" width="5.1640625" style="4" bestFit="1" customWidth="1"/>
    <col min="14" max="14" width="5.6640625" style="4" bestFit="1" customWidth="1"/>
    <col min="15" max="15" width="4.6640625" style="4" bestFit="1" customWidth="1"/>
    <col min="16" max="16" width="4.83203125" style="4" bestFit="1" customWidth="1"/>
    <col min="17" max="17" width="4" style="4" bestFit="1" customWidth="1"/>
    <col min="18" max="18" width="4.83203125" style="4" bestFit="1" customWidth="1"/>
    <col min="19" max="19" width="5.6640625" style="4" bestFit="1" customWidth="1"/>
    <col min="20" max="20" width="4.83203125" style="4" bestFit="1" customWidth="1"/>
    <col min="21" max="21" width="5.1640625" style="4" bestFit="1" customWidth="1"/>
    <col min="22" max="22" width="4.83203125" style="4" bestFit="1" customWidth="1"/>
    <col min="23" max="23" width="5.83203125" style="4" bestFit="1" customWidth="1"/>
    <col min="24" max="26" width="5.6640625" style="4" bestFit="1" customWidth="1"/>
    <col min="27" max="27" width="3.6640625" style="4" bestFit="1" customWidth="1"/>
    <col min="28" max="29" width="5.6640625" style="4" bestFit="1" customWidth="1"/>
    <col min="30" max="30" width="4.6640625" style="4" bestFit="1" customWidth="1"/>
    <col min="31" max="31" width="4.83203125" style="4" bestFit="1" customWidth="1"/>
    <col min="32" max="32" width="4" style="4" bestFit="1" customWidth="1"/>
    <col min="33" max="33" width="9.83203125" style="4" bestFit="1" customWidth="1"/>
    <col min="34" max="34" width="4.83203125" style="4" bestFit="1" customWidth="1"/>
    <col min="35" max="35" width="5" style="4" bestFit="1" customWidth="1"/>
    <col min="36" max="36" width="3.83203125" style="4" bestFit="1" customWidth="1"/>
    <col min="37" max="37" width="3.5" style="4" bestFit="1" customWidth="1"/>
    <col min="38" max="38" width="5" style="4" bestFit="1" customWidth="1"/>
    <col min="39" max="39" width="4.83203125" style="4" bestFit="1" customWidth="1"/>
    <col min="40" max="40" width="6.1640625" style="4" bestFit="1" customWidth="1"/>
    <col min="41" max="49" width="6" style="4" bestFit="1" customWidth="1"/>
    <col min="50" max="16384" width="10.83203125" style="4"/>
  </cols>
  <sheetData>
    <row r="1" spans="1:63" x14ac:dyDescent="0.15">
      <c r="A1" s="42" t="s">
        <v>542</v>
      </c>
      <c r="B1" s="80">
        <f>COUNTIF(B3:B59,"=DONE")/COUNTA(A3:A59)</f>
        <v>0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63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63" ht="11" customHeight="1" x14ac:dyDescent="0.2">
      <c r="A3" s="40" t="s">
        <v>575</v>
      </c>
      <c r="B3" s="45"/>
      <c r="H3" s="6"/>
      <c r="I3" s="16"/>
      <c r="J3" s="6"/>
      <c r="K3" s="6"/>
      <c r="L3" s="6"/>
      <c r="M3" s="7"/>
      <c r="N3" s="7"/>
      <c r="O3" s="7"/>
      <c r="P3" s="7"/>
      <c r="Q3" s="7"/>
    </row>
    <row r="4" spans="1:63" ht="11" customHeight="1" x14ac:dyDescent="0.2">
      <c r="A4" s="40" t="s">
        <v>576</v>
      </c>
      <c r="B4" s="45"/>
      <c r="J4" s="6"/>
    </row>
    <row r="5" spans="1:63" ht="11" customHeight="1" x14ac:dyDescent="0.2">
      <c r="A5" s="40" t="s">
        <v>577</v>
      </c>
      <c r="B5" s="45"/>
      <c r="H5" s="6"/>
      <c r="I5" s="6"/>
      <c r="J5" s="6"/>
      <c r="K5" s="6"/>
      <c r="L5" s="6"/>
      <c r="M5" s="7"/>
      <c r="N5" s="7"/>
      <c r="O5" s="7"/>
      <c r="P5" s="7"/>
      <c r="Q5" s="7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63" ht="11" customHeight="1" x14ac:dyDescent="0.2">
      <c r="A6" s="40" t="s">
        <v>578</v>
      </c>
      <c r="B6" s="45"/>
      <c r="H6" s="6"/>
      <c r="I6" s="6"/>
      <c r="J6" s="6"/>
      <c r="K6" s="6"/>
      <c r="L6" s="6"/>
      <c r="M6" s="7"/>
      <c r="N6" s="7"/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8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63" ht="11" customHeight="1" x14ac:dyDescent="0.2">
      <c r="A7" s="40" t="s">
        <v>579</v>
      </c>
      <c r="B7" s="45"/>
      <c r="H7" s="6"/>
      <c r="I7" s="6"/>
      <c r="J7" s="6"/>
      <c r="K7" s="6"/>
      <c r="L7" s="6"/>
      <c r="M7" s="7"/>
      <c r="N7" s="7"/>
      <c r="O7" s="7"/>
      <c r="P7" s="7"/>
      <c r="Q7" s="7"/>
    </row>
    <row r="8" spans="1:63" ht="11" customHeight="1" x14ac:dyDescent="0.2">
      <c r="A8" s="40" t="s">
        <v>580</v>
      </c>
      <c r="B8" s="45"/>
      <c r="H8" s="6"/>
      <c r="I8" s="6"/>
      <c r="J8" s="6"/>
      <c r="K8" s="6"/>
      <c r="L8" s="6"/>
      <c r="M8" s="7"/>
      <c r="N8" s="7"/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M8" s="6"/>
      <c r="AN8" s="6"/>
      <c r="AO8" s="6"/>
      <c r="AP8" s="6"/>
      <c r="AQ8" s="6"/>
      <c r="AR8" s="7"/>
      <c r="AS8" s="7"/>
      <c r="AT8" s="7"/>
      <c r="AU8" s="7"/>
      <c r="AV8" s="7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</row>
    <row r="9" spans="1:63" ht="11" customHeight="1" x14ac:dyDescent="0.2">
      <c r="A9" s="40" t="s">
        <v>581</v>
      </c>
      <c r="B9" s="45"/>
      <c r="H9" s="6"/>
      <c r="I9" s="6"/>
      <c r="J9" s="6"/>
      <c r="K9" s="6"/>
      <c r="L9" s="6"/>
      <c r="M9" s="7"/>
      <c r="N9" s="7"/>
      <c r="O9" s="7"/>
      <c r="P9" s="7"/>
      <c r="Q9" s="7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63" ht="11" customHeight="1" x14ac:dyDescent="0.2">
      <c r="A10" s="40" t="s">
        <v>582</v>
      </c>
      <c r="B10" s="45"/>
    </row>
    <row r="11" spans="1:63" ht="11" customHeight="1" x14ac:dyDescent="0.2">
      <c r="A11" s="40" t="s">
        <v>583</v>
      </c>
      <c r="B11" s="45"/>
    </row>
    <row r="12" spans="1:63" ht="11" customHeight="1" x14ac:dyDescent="0.2">
      <c r="A12" s="40" t="s">
        <v>584</v>
      </c>
      <c r="B12" s="45"/>
    </row>
    <row r="13" spans="1:63" ht="11" customHeight="1" x14ac:dyDescent="0.2">
      <c r="A13" s="40" t="s">
        <v>585</v>
      </c>
      <c r="B13" s="45"/>
    </row>
    <row r="14" spans="1:63" ht="11" customHeight="1" x14ac:dyDescent="0.2">
      <c r="A14" s="40" t="s">
        <v>586</v>
      </c>
      <c r="B14" s="45"/>
    </row>
    <row r="15" spans="1:63" ht="11" customHeight="1" x14ac:dyDescent="0.15"/>
  </sheetData>
  <sortState xmlns:xlrd2="http://schemas.microsoft.com/office/spreadsheetml/2017/richdata2" ref="A3:A14">
    <sortCondition ref="A3:A14"/>
  </sortState>
  <mergeCells count="7">
    <mergeCell ref="C1:Q1"/>
    <mergeCell ref="R1:AW1"/>
    <mergeCell ref="C2:G2"/>
    <mergeCell ref="K2:Q2"/>
    <mergeCell ref="R2:V2"/>
    <mergeCell ref="Z2:AF2"/>
    <mergeCell ref="AH2:AW2"/>
  </mergeCells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9E77-BF90-2E45-87C2-E9C169025282}">
  <sheetPr codeName="Sheet6">
    <tabColor rgb="FF00B050"/>
  </sheetPr>
  <dimension ref="A1:AW34"/>
  <sheetViews>
    <sheetView topLeftCell="A16" zoomScale="258" workbookViewId="0">
      <selection activeCell="C21" sqref="C21"/>
    </sheetView>
  </sheetViews>
  <sheetFormatPr baseColWidth="10" defaultColWidth="10.83203125" defaultRowHeight="11" x14ac:dyDescent="0.15"/>
  <cols>
    <col min="1" max="1" width="12.1640625" style="42" bestFit="1" customWidth="1"/>
    <col min="2" max="2" width="5.1640625" style="41" bestFit="1" customWidth="1"/>
    <col min="3" max="3" width="6.33203125" style="4" bestFit="1" customWidth="1"/>
    <col min="4" max="4" width="2.83203125" style="4" bestFit="1" customWidth="1"/>
    <col min="5" max="5" width="5.6640625" style="4" bestFit="1" customWidth="1"/>
    <col min="6" max="6" width="2.83203125" style="4" bestFit="1" customWidth="1"/>
    <col min="7" max="7" width="1.5" style="4" bestFit="1" customWidth="1"/>
    <col min="8" max="8" width="4.6640625" style="4" bestFit="1" customWidth="1"/>
    <col min="9" max="9" width="11.83203125" style="4" bestFit="1" customWidth="1"/>
    <col min="10" max="10" width="3.83203125" style="4" bestFit="1" customWidth="1"/>
    <col min="11" max="11" width="5.6640625" style="4" bestFit="1" customWidth="1"/>
    <col min="12" max="12" width="3.6640625" style="4" bestFit="1" customWidth="1"/>
    <col min="13" max="13" width="5.1640625" style="4" bestFit="1" customWidth="1"/>
    <col min="14" max="14" width="5.6640625" style="4" bestFit="1" customWidth="1"/>
    <col min="15" max="15" width="4.6640625" style="4" bestFit="1" customWidth="1"/>
    <col min="16" max="16" width="4.83203125" style="4" bestFit="1" customWidth="1"/>
    <col min="17" max="17" width="4" style="4" bestFit="1" customWidth="1"/>
    <col min="18" max="20" width="8.5" style="4" bestFit="1" customWidth="1"/>
    <col min="21" max="21" width="5.6640625" style="4" bestFit="1" customWidth="1"/>
    <col min="22" max="22" width="8.5" style="4" bestFit="1" customWidth="1"/>
    <col min="23" max="23" width="5.6640625" style="4" bestFit="1" customWidth="1"/>
    <col min="24" max="24" width="8.5" style="4" bestFit="1" customWidth="1"/>
    <col min="25" max="32" width="5.6640625" style="4" bestFit="1" customWidth="1"/>
    <col min="33" max="33" width="9.83203125" style="4" bestFit="1" customWidth="1"/>
    <col min="34" max="49" width="5.6640625" style="4" bestFit="1" customWidth="1"/>
    <col min="50" max="16384" width="10.83203125" style="4"/>
  </cols>
  <sheetData>
    <row r="1" spans="1:49" x14ac:dyDescent="0.15">
      <c r="A1" s="42" t="s">
        <v>542</v>
      </c>
      <c r="B1" s="80">
        <f>COUNTIF(B3:B275,"=DONE")/COUNTA(A3:A275)</f>
        <v>1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49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49" x14ac:dyDescent="0.15">
      <c r="A3" s="35" t="s">
        <v>415</v>
      </c>
      <c r="B3" s="36" t="s">
        <v>541</v>
      </c>
      <c r="C3" s="4">
        <v>1987</v>
      </c>
      <c r="D3" s="4">
        <v>8</v>
      </c>
      <c r="E3" s="4">
        <v>1</v>
      </c>
      <c r="F3" s="4">
        <v>0.7</v>
      </c>
      <c r="G3" s="4">
        <v>0</v>
      </c>
      <c r="H3" s="6"/>
      <c r="I3" s="16" t="s">
        <v>440</v>
      </c>
      <c r="J3" s="6" t="b">
        <v>1</v>
      </c>
      <c r="K3" s="6" t="e">
        <v>#VALUE!</v>
      </c>
      <c r="L3" s="6" t="e">
        <v>#N/A</v>
      </c>
      <c r="M3" s="7" t="e">
        <v>#DIV/0!</v>
      </c>
      <c r="N3" s="7" t="e">
        <v>#NAME?</v>
      </c>
      <c r="O3" s="7" t="e">
        <v>#NULL!</v>
      </c>
      <c r="P3" s="7" t="e">
        <v>#NUM!</v>
      </c>
      <c r="Q3" s="7" t="e">
        <v>#REF!</v>
      </c>
      <c r="R3" s="6">
        <f>DATE(C3,D3,E3)</f>
        <v>31990</v>
      </c>
      <c r="S3" s="6">
        <f>DATE(C3,D3,F3)</f>
        <v>31989</v>
      </c>
      <c r="T3" s="6" t="e">
        <f>DATE(0.9,0.9,0.9)</f>
        <v>#NUM!</v>
      </c>
      <c r="U3" s="6">
        <f>DATE(0,1,0)</f>
        <v>0</v>
      </c>
      <c r="V3" s="6">
        <f>DATE(1,0,0)</f>
        <v>335</v>
      </c>
      <c r="W3" s="6">
        <f t="shared" ref="W3:AC3" si="0">DATE(C3,D3,H3)</f>
        <v>31989</v>
      </c>
      <c r="X3" s="6">
        <f t="shared" si="0"/>
        <v>2921</v>
      </c>
      <c r="Y3" s="6">
        <f t="shared" si="0"/>
        <v>336</v>
      </c>
      <c r="Z3" s="6" t="e">
        <f t="shared" si="0"/>
        <v>#VALUE!</v>
      </c>
      <c r="AA3" s="6" t="e">
        <f t="shared" si="0"/>
        <v>#N/A</v>
      </c>
      <c r="AB3" s="6" t="e">
        <f t="shared" si="0"/>
        <v>#DIV/0!</v>
      </c>
      <c r="AC3" s="6" t="e">
        <f t="shared" si="0"/>
        <v>#NAME?</v>
      </c>
      <c r="AD3" s="6" t="e">
        <f>DATE(J3,O3,K3)</f>
        <v>#NULL!</v>
      </c>
      <c r="AE3" s="6" t="e">
        <f>DATE(C3,P3,L3)</f>
        <v>#NUM!</v>
      </c>
      <c r="AF3" s="6" t="e">
        <f>DATE(Q3,K3,M3)</f>
        <v>#REF!</v>
      </c>
      <c r="AG3" s="6">
        <f t="array" ref="AG3">DATE(C3,D3,E3:H3)</f>
        <v>31990</v>
      </c>
      <c r="AH3" s="6">
        <f t="array" ref="AH3:AK3">DATE(C3,D3,E3:G3)</f>
        <v>31990</v>
      </c>
      <c r="AI3" s="6">
        <v>31989</v>
      </c>
      <c r="AJ3" s="6">
        <v>31989</v>
      </c>
      <c r="AK3" s="6" t="e">
        <v>#N/A</v>
      </c>
      <c r="AL3" s="6">
        <f t="array" ref="AL3:AN3">DATE(C3:E3,H3,D3:F3)</f>
        <v>31754</v>
      </c>
      <c r="AM3" s="6">
        <v>2892</v>
      </c>
      <c r="AN3" s="6">
        <v>335</v>
      </c>
      <c r="AO3" s="6" t="e">
        <f t="array" ref="AO3:AW3">DATE(C3:I3,H3,K3:Q3)</f>
        <v>#VALUE!</v>
      </c>
      <c r="AP3" s="6" t="e">
        <v>#N/A</v>
      </c>
      <c r="AQ3" s="6" t="e">
        <v>#DIV/0!</v>
      </c>
      <c r="AR3" s="6" t="e">
        <v>#NAME?</v>
      </c>
      <c r="AS3" s="6" t="e">
        <v>#NULL!</v>
      </c>
      <c r="AT3" s="6" t="e">
        <v>#NUM!</v>
      </c>
      <c r="AU3" s="6" t="e">
        <v>#REF!</v>
      </c>
      <c r="AV3" s="6" t="e">
        <v>#N/A</v>
      </c>
      <c r="AW3" s="17" t="e">
        <v>#N/A</v>
      </c>
    </row>
    <row r="4" spans="1:49" x14ac:dyDescent="0.15">
      <c r="A4" s="35" t="s">
        <v>416</v>
      </c>
      <c r="B4" s="36" t="s">
        <v>541</v>
      </c>
      <c r="C4" s="4">
        <v>1987</v>
      </c>
      <c r="D4" s="4">
        <v>8</v>
      </c>
      <c r="E4" s="4">
        <v>1</v>
      </c>
      <c r="F4" s="4">
        <v>0.7</v>
      </c>
      <c r="G4" s="4">
        <v>0</v>
      </c>
      <c r="H4" s="6"/>
      <c r="I4" s="16" t="s">
        <v>440</v>
      </c>
      <c r="J4" s="6" t="b">
        <v>1</v>
      </c>
      <c r="K4" s="6" t="e">
        <v>#VALUE!</v>
      </c>
      <c r="L4" s="6" t="e">
        <v>#N/A</v>
      </c>
      <c r="M4" s="7" t="e">
        <v>#DIV/0!</v>
      </c>
      <c r="N4" s="7" t="e">
        <v>#NAME?</v>
      </c>
      <c r="O4" s="7" t="e">
        <v>#NULL!</v>
      </c>
      <c r="P4" s="7" t="e">
        <v>#NUM!</v>
      </c>
      <c r="Q4" s="7" t="e">
        <v>#REF!</v>
      </c>
      <c r="R4" s="6">
        <f>DATEDIF(D4, C4,"YD")</f>
        <v>153</v>
      </c>
      <c r="S4" s="6">
        <f>DATEDIF(E4, D4,"Y")</f>
        <v>0</v>
      </c>
      <c r="T4" s="6">
        <f>DATEDIF(F4, E4,"D")</f>
        <v>1</v>
      </c>
      <c r="U4" s="6">
        <f>DATEDIF(G4, F4,"M")</f>
        <v>0</v>
      </c>
      <c r="V4" s="6">
        <f>DATEDIF(H4, G4,"YM")</f>
        <v>0</v>
      </c>
      <c r="W4" s="6" t="e">
        <f>DATEDIF(I4, H4,"YD")</f>
        <v>#NUM!</v>
      </c>
      <c r="X4" s="6" t="e">
        <f t="shared" ref="X4:AF4" si="1">DATEDIF(J4, I4,"YD")</f>
        <v>#NUM!</v>
      </c>
      <c r="Y4" s="6" t="e">
        <f t="shared" si="1"/>
        <v>#VALUE!</v>
      </c>
      <c r="Z4" s="6" t="e">
        <f>DATEDIF(G4, F4,L4)</f>
        <v>#N/A</v>
      </c>
      <c r="AA4" s="6" t="e">
        <f>DATEDIF(M4, L4,"YD")</f>
        <v>#DIV/0!</v>
      </c>
      <c r="AB4" s="6" t="e">
        <f>DATEDIF(H4, G4,"a")</f>
        <v>#NUM!</v>
      </c>
      <c r="AC4" s="6" t="e">
        <f t="shared" si="1"/>
        <v>#NULL!</v>
      </c>
      <c r="AD4" s="6" t="e">
        <f t="shared" si="1"/>
        <v>#NUM!</v>
      </c>
      <c r="AE4" s="6" t="e">
        <f t="shared" si="1"/>
        <v>#REF!</v>
      </c>
      <c r="AF4" s="6" t="e">
        <f t="shared" si="1"/>
        <v>#REF!</v>
      </c>
      <c r="AG4" s="6">
        <f t="array" ref="AG4">DATEDIF(E4:F4,C4:D4, "D")</f>
        <v>1986</v>
      </c>
      <c r="AH4" s="6">
        <f t="array" ref="AH4:AW4">DATEDIF(E4:K4,C4:I4, "D")</f>
        <v>1986</v>
      </c>
      <c r="AI4" s="6">
        <v>8</v>
      </c>
      <c r="AJ4" s="6">
        <v>1</v>
      </c>
      <c r="AK4" s="6">
        <v>0</v>
      </c>
      <c r="AL4" s="6" t="e">
        <v>#NUM!</v>
      </c>
      <c r="AM4" s="6" t="e">
        <v>#NUM!</v>
      </c>
      <c r="AN4" s="6" t="e">
        <v>#VALUE!</v>
      </c>
      <c r="AO4" s="6" t="e">
        <v>#N/A</v>
      </c>
      <c r="AP4" s="6" t="e">
        <v>#N/A</v>
      </c>
      <c r="AQ4" s="6" t="e">
        <v>#N/A</v>
      </c>
      <c r="AR4" s="6" t="e">
        <v>#N/A</v>
      </c>
      <c r="AS4" s="6" t="e">
        <v>#N/A</v>
      </c>
      <c r="AT4" s="6" t="e">
        <v>#N/A</v>
      </c>
      <c r="AU4" s="6" t="e">
        <v>#N/A</v>
      </c>
      <c r="AV4" s="6" t="e">
        <v>#N/A</v>
      </c>
      <c r="AW4" s="4" t="e">
        <v>#N/A</v>
      </c>
    </row>
    <row r="5" spans="1:49" x14ac:dyDescent="0.15">
      <c r="A5" s="35" t="s">
        <v>417</v>
      </c>
      <c r="B5" s="36" t="s">
        <v>541</v>
      </c>
      <c r="C5" s="4">
        <v>1987</v>
      </c>
      <c r="D5" s="4">
        <v>8</v>
      </c>
      <c r="E5" s="4">
        <v>1</v>
      </c>
      <c r="F5" s="4">
        <v>0.7</v>
      </c>
      <c r="G5" s="4">
        <v>0</v>
      </c>
      <c r="H5" s="6"/>
      <c r="I5" s="16" t="s">
        <v>538</v>
      </c>
      <c r="J5" s="6" t="b">
        <v>1</v>
      </c>
      <c r="K5" s="6" t="e">
        <v>#VALUE!</v>
      </c>
      <c r="L5" s="6" t="e">
        <v>#N/A</v>
      </c>
      <c r="M5" s="7" t="e">
        <v>#DIV/0!</v>
      </c>
      <c r="N5" s="7" t="e">
        <v>#NAME?</v>
      </c>
      <c r="O5" s="7" t="e">
        <v>#NULL!</v>
      </c>
      <c r="P5" s="7" t="e">
        <v>#NUM!</v>
      </c>
      <c r="Q5" s="7" t="e">
        <v>#REF!</v>
      </c>
      <c r="R5" s="6" t="e">
        <f>DATEVALUE(C5)</f>
        <v>#VALUE!</v>
      </c>
      <c r="S5" s="6" t="e">
        <f t="shared" ref="S5:AF5" si="2">DATEVALUE(D5)</f>
        <v>#VALUE!</v>
      </c>
      <c r="T5" s="6" t="e">
        <f t="shared" si="2"/>
        <v>#VALUE!</v>
      </c>
      <c r="U5" s="6" t="e">
        <f t="shared" si="2"/>
        <v>#VALUE!</v>
      </c>
      <c r="V5" s="6" t="e">
        <f t="shared" si="2"/>
        <v>#VALUE!</v>
      </c>
      <c r="W5" s="6" t="e">
        <f>DATEVALUE(H5)</f>
        <v>#VALUE!</v>
      </c>
      <c r="X5" s="6">
        <f>DATEVALUE(I5)</f>
        <v>31778</v>
      </c>
      <c r="Y5" s="6" t="e">
        <f t="shared" si="2"/>
        <v>#VALUE!</v>
      </c>
      <c r="Z5" s="6" t="e">
        <f t="shared" si="2"/>
        <v>#VALUE!</v>
      </c>
      <c r="AA5" s="6" t="e">
        <f t="shared" si="2"/>
        <v>#N/A</v>
      </c>
      <c r="AB5" s="6" t="e">
        <f t="shared" si="2"/>
        <v>#DIV/0!</v>
      </c>
      <c r="AC5" s="6" t="e">
        <f t="shared" si="2"/>
        <v>#NAME?</v>
      </c>
      <c r="AD5" s="6" t="e">
        <f t="shared" si="2"/>
        <v>#NULL!</v>
      </c>
      <c r="AE5" s="6" t="e">
        <f t="shared" si="2"/>
        <v>#NUM!</v>
      </c>
      <c r="AF5" s="6" t="e">
        <f t="shared" si="2"/>
        <v>#REF!</v>
      </c>
      <c r="AG5" s="6">
        <f t="array" ref="AG5">DATEVALUE(I5:J5)</f>
        <v>31778</v>
      </c>
      <c r="AH5" s="6" t="e">
        <f t="array" ref="AH5:AW5">DATEVALUE(C5:Q5)</f>
        <v>#VALUE!</v>
      </c>
      <c r="AI5" s="6" t="e">
        <v>#VALUE!</v>
      </c>
      <c r="AJ5" s="6" t="e">
        <v>#VALUE!</v>
      </c>
      <c r="AK5" s="6" t="e">
        <v>#VALUE!</v>
      </c>
      <c r="AL5" s="6" t="e">
        <v>#VALUE!</v>
      </c>
      <c r="AM5" s="6" t="e">
        <v>#VALUE!</v>
      </c>
      <c r="AN5" s="6">
        <v>31778</v>
      </c>
      <c r="AO5" s="6" t="e">
        <v>#VALUE!</v>
      </c>
      <c r="AP5" s="6" t="e">
        <v>#VALUE!</v>
      </c>
      <c r="AQ5" s="6" t="e">
        <v>#N/A</v>
      </c>
      <c r="AR5" s="6" t="e">
        <v>#DIV/0!</v>
      </c>
      <c r="AS5" s="6" t="e">
        <v>#NAME?</v>
      </c>
      <c r="AT5" s="6" t="e">
        <v>#NULL!</v>
      </c>
      <c r="AU5" s="6" t="e">
        <v>#NUM!</v>
      </c>
      <c r="AV5" s="6" t="e">
        <v>#REF!</v>
      </c>
      <c r="AW5" s="4" t="e">
        <v>#N/A</v>
      </c>
    </row>
    <row r="6" spans="1:49" x14ac:dyDescent="0.15">
      <c r="A6" s="35" t="s">
        <v>418</v>
      </c>
      <c r="B6" s="36" t="s">
        <v>541</v>
      </c>
      <c r="C6" s="4">
        <v>1987</v>
      </c>
      <c r="D6" s="4">
        <v>-1</v>
      </c>
      <c r="E6" s="4">
        <v>2958466</v>
      </c>
      <c r="F6" s="4">
        <v>0.7</v>
      </c>
      <c r="G6" s="4">
        <v>0</v>
      </c>
      <c r="H6" s="6"/>
      <c r="I6" s="16" t="s">
        <v>442</v>
      </c>
      <c r="J6" s="6" t="b">
        <v>1</v>
      </c>
      <c r="K6" s="6" t="e">
        <v>#VALUE!</v>
      </c>
      <c r="L6" s="6" t="e">
        <v>#N/A</v>
      </c>
      <c r="M6" s="7" t="e">
        <v>#DIV/0!</v>
      </c>
      <c r="N6" s="7" t="e">
        <v>#NAME?</v>
      </c>
      <c r="O6" s="7" t="e">
        <v>#NULL!</v>
      </c>
      <c r="P6" s="7" t="e">
        <v>#NUM!</v>
      </c>
      <c r="Q6" s="7" t="e">
        <v>#REF!</v>
      </c>
      <c r="R6" s="6">
        <f>DAY(C6)</f>
        <v>9</v>
      </c>
      <c r="S6" s="6" t="e">
        <f t="shared" ref="S6:AF6" si="3">DAY(D6)</f>
        <v>#NUM!</v>
      </c>
      <c r="T6" s="6" t="e">
        <f t="shared" si="3"/>
        <v>#NUM!</v>
      </c>
      <c r="U6" s="6">
        <f>DAY(F6)</f>
        <v>0</v>
      </c>
      <c r="V6" s="6">
        <f t="shared" si="3"/>
        <v>0</v>
      </c>
      <c r="W6" s="6">
        <f t="shared" si="3"/>
        <v>0</v>
      </c>
      <c r="X6" s="6">
        <f t="shared" si="3"/>
        <v>22</v>
      </c>
      <c r="Y6" s="6">
        <f>DAY(J6)</f>
        <v>1</v>
      </c>
      <c r="Z6" s="6" t="e">
        <f t="shared" si="3"/>
        <v>#VALUE!</v>
      </c>
      <c r="AA6" s="6" t="e">
        <f t="shared" si="3"/>
        <v>#N/A</v>
      </c>
      <c r="AB6" s="6" t="e">
        <f t="shared" si="3"/>
        <v>#DIV/0!</v>
      </c>
      <c r="AC6" s="6" t="e">
        <f t="shared" si="3"/>
        <v>#NAME?</v>
      </c>
      <c r="AD6" s="6" t="e">
        <f t="shared" si="3"/>
        <v>#NULL!</v>
      </c>
      <c r="AE6" s="6" t="e">
        <f t="shared" si="3"/>
        <v>#NUM!</v>
      </c>
      <c r="AF6" s="6" t="e">
        <f t="shared" si="3"/>
        <v>#REF!</v>
      </c>
      <c r="AG6" s="6">
        <f t="array" ref="AG6">DAY(I6:J6)</f>
        <v>22</v>
      </c>
      <c r="AH6" s="6">
        <f t="array" ref="AH6:AW6">DAY(C6:Q6)</f>
        <v>9</v>
      </c>
      <c r="AI6" s="6" t="e">
        <v>#NUM!</v>
      </c>
      <c r="AJ6" s="6" t="e">
        <v>#NUM!</v>
      </c>
      <c r="AK6" s="6">
        <v>0</v>
      </c>
      <c r="AL6" s="6">
        <v>0</v>
      </c>
      <c r="AM6" s="6">
        <v>0</v>
      </c>
      <c r="AN6" s="6">
        <v>22</v>
      </c>
      <c r="AO6" s="6">
        <v>1</v>
      </c>
      <c r="AP6" s="6" t="e">
        <v>#VALUE!</v>
      </c>
      <c r="AQ6" s="6" t="e">
        <v>#N/A</v>
      </c>
      <c r="AR6" s="6" t="e">
        <v>#DIV/0!</v>
      </c>
      <c r="AS6" s="6" t="e">
        <v>#NAME?</v>
      </c>
      <c r="AT6" s="6" t="e">
        <v>#NULL!</v>
      </c>
      <c r="AU6" s="6" t="e">
        <v>#NUM!</v>
      </c>
      <c r="AV6" s="6" t="e">
        <v>#REF!</v>
      </c>
      <c r="AW6" s="4" t="e">
        <v>#N/A</v>
      </c>
    </row>
    <row r="7" spans="1:49" x14ac:dyDescent="0.15">
      <c r="A7" s="35" t="s">
        <v>419</v>
      </c>
      <c r="B7" s="36" t="s">
        <v>541</v>
      </c>
      <c r="C7" s="4">
        <v>1987</v>
      </c>
      <c r="D7" s="4">
        <v>-1</v>
      </c>
      <c r="E7" s="4">
        <v>2958466</v>
      </c>
      <c r="F7" s="4">
        <v>0.7</v>
      </c>
      <c r="G7" s="4">
        <v>0</v>
      </c>
      <c r="H7" s="6"/>
      <c r="I7" s="16" t="s">
        <v>442</v>
      </c>
      <c r="J7" s="6" t="b">
        <v>1</v>
      </c>
      <c r="K7" s="6" t="e">
        <v>#VALUE!</v>
      </c>
      <c r="L7" s="6" t="e">
        <v>#N/A</v>
      </c>
      <c r="M7" s="7" t="e">
        <v>#DIV/0!</v>
      </c>
      <c r="N7" s="7" t="e">
        <v>#NAME?</v>
      </c>
      <c r="O7" s="7" t="e">
        <v>#NULL!</v>
      </c>
      <c r="P7" s="7" t="e">
        <v>#NUM!</v>
      </c>
      <c r="Q7" s="7" t="e">
        <v>#REF!</v>
      </c>
      <c r="R7" s="6" t="e">
        <f>_xlfn.DAYS(C7,D7)</f>
        <v>#NUM!</v>
      </c>
      <c r="S7" s="6" t="e">
        <f t="shared" ref="S7:U7" si="4">_xlfn.DAYS(D7,E7)</f>
        <v>#NUM!</v>
      </c>
      <c r="T7" s="6" t="e">
        <f t="shared" si="4"/>
        <v>#NUM!</v>
      </c>
      <c r="U7" s="6">
        <f t="shared" si="4"/>
        <v>0</v>
      </c>
      <c r="V7" s="6">
        <f>_xlfn.DAYS(G7,H7)</f>
        <v>0</v>
      </c>
      <c r="W7" s="6">
        <f>_xlfn.DAYS(H7,I7)</f>
        <v>-600</v>
      </c>
      <c r="X7" s="6">
        <f>_xlfn.DAYS(I7,J7)</f>
        <v>599</v>
      </c>
      <c r="Y7" s="6" t="e">
        <f t="shared" ref="Y7" si="5">_xlfn.DAYS(J7,K7)</f>
        <v>#VALUE!</v>
      </c>
      <c r="Z7" s="6" t="e">
        <f t="shared" ref="Z7" si="6">_xlfn.DAYS(K7,L7)</f>
        <v>#VALUE!</v>
      </c>
      <c r="AA7" s="6" t="e">
        <f t="shared" ref="AA7:AB7" si="7">_xlfn.DAYS(L7,M7)</f>
        <v>#N/A</v>
      </c>
      <c r="AB7" s="6" t="e">
        <f t="shared" si="7"/>
        <v>#DIV/0!</v>
      </c>
      <c r="AC7" s="6" t="e">
        <f t="shared" ref="AC7:AD7" si="8">_xlfn.DAYS(N7,O7)</f>
        <v>#NAME?</v>
      </c>
      <c r="AD7" s="6" t="e">
        <f t="shared" si="8"/>
        <v>#NULL!</v>
      </c>
      <c r="AE7" s="6" t="e">
        <f t="shared" ref="AE7" si="9">_xlfn.DAYS(P7,Q7)</f>
        <v>#NUM!</v>
      </c>
      <c r="AF7" s="6" t="e">
        <f t="shared" ref="AF7" si="10">_xlfn.DAYS(Q7,R7)</f>
        <v>#REF!</v>
      </c>
      <c r="AG7" s="6" t="e">
        <f t="array" ref="AG7">_xlfn.DAYS(E7:F7,I7)</f>
        <v>#NUM!</v>
      </c>
      <c r="AH7" s="6">
        <f t="array" ref="AH7:AW7">_xlfn.DAYS(C7:Q7,C7)</f>
        <v>0</v>
      </c>
      <c r="AI7" s="6" t="e">
        <v>#NUM!</v>
      </c>
      <c r="AJ7" s="6" t="e">
        <v>#NUM!</v>
      </c>
      <c r="AK7" s="6">
        <v>-1987</v>
      </c>
      <c r="AL7" s="6">
        <v>-1987</v>
      </c>
      <c r="AM7" s="6">
        <v>-1987</v>
      </c>
      <c r="AN7" s="6">
        <v>-1387</v>
      </c>
      <c r="AO7" s="6">
        <v>-1986</v>
      </c>
      <c r="AP7" s="6" t="e">
        <v>#VALUE!</v>
      </c>
      <c r="AQ7" s="6" t="e">
        <v>#N/A</v>
      </c>
      <c r="AR7" s="6" t="e">
        <v>#DIV/0!</v>
      </c>
      <c r="AS7" s="6" t="e">
        <v>#NAME?</v>
      </c>
      <c r="AT7" s="6" t="e">
        <v>#NULL!</v>
      </c>
      <c r="AU7" s="6" t="e">
        <v>#NUM!</v>
      </c>
      <c r="AV7" s="6" t="e">
        <v>#REF!</v>
      </c>
      <c r="AW7" s="4" t="e">
        <v>#N/A</v>
      </c>
    </row>
    <row r="8" spans="1:49" x14ac:dyDescent="0.15">
      <c r="A8" s="35" t="s">
        <v>420</v>
      </c>
      <c r="B8" s="36" t="s">
        <v>541</v>
      </c>
      <c r="C8" s="4">
        <v>1987</v>
      </c>
      <c r="D8" s="4">
        <v>-1</v>
      </c>
      <c r="E8" s="4">
        <v>2958466</v>
      </c>
      <c r="F8" s="4">
        <v>0.7</v>
      </c>
      <c r="G8" s="4">
        <v>0</v>
      </c>
      <c r="H8" s="6"/>
      <c r="I8" s="16" t="s">
        <v>442</v>
      </c>
      <c r="J8" s="6" t="b">
        <v>1</v>
      </c>
      <c r="K8" s="6" t="e">
        <v>#VALUE!</v>
      </c>
      <c r="L8" s="6" t="e">
        <v>#N/A</v>
      </c>
      <c r="M8" s="7" t="e">
        <v>#DIV/0!</v>
      </c>
      <c r="N8" s="7" t="e">
        <v>#NAME?</v>
      </c>
      <c r="O8" s="7" t="e">
        <v>#NULL!</v>
      </c>
      <c r="P8" s="7" t="e">
        <v>#NUM!</v>
      </c>
      <c r="Q8" s="7" t="e">
        <v>#REF!</v>
      </c>
      <c r="R8" s="6" t="e">
        <f>DAYS360(C8,E8,1)</f>
        <v>#NUM!</v>
      </c>
      <c r="S8" s="6" t="e">
        <f t="shared" ref="S8:AF8" si="11">DAYS360(D8,F8,1)</f>
        <v>#NUM!</v>
      </c>
      <c r="T8" s="6" t="e">
        <f t="shared" si="11"/>
        <v>#NUM!</v>
      </c>
      <c r="U8" s="6">
        <f t="shared" si="11"/>
        <v>0</v>
      </c>
      <c r="V8" s="6">
        <f t="shared" si="11"/>
        <v>592</v>
      </c>
      <c r="W8" s="6">
        <f t="shared" si="11"/>
        <v>1</v>
      </c>
      <c r="X8" s="6" t="e">
        <f t="shared" si="11"/>
        <v>#VALUE!</v>
      </c>
      <c r="Y8" s="6" t="e">
        <f t="shared" si="11"/>
        <v>#N/A</v>
      </c>
      <c r="Z8" s="6" t="e">
        <f t="shared" si="11"/>
        <v>#VALUE!</v>
      </c>
      <c r="AA8" s="6" t="e">
        <f t="shared" si="11"/>
        <v>#N/A</v>
      </c>
      <c r="AB8" s="6" t="e">
        <f t="shared" si="11"/>
        <v>#DIV/0!</v>
      </c>
      <c r="AC8" s="6" t="e">
        <f t="shared" si="11"/>
        <v>#NAME?</v>
      </c>
      <c r="AD8" s="6" t="e">
        <f t="shared" si="11"/>
        <v>#NULL!</v>
      </c>
      <c r="AE8" s="6" t="e">
        <f t="shared" si="11"/>
        <v>#NUM!</v>
      </c>
      <c r="AF8" s="6" t="e">
        <f t="shared" si="11"/>
        <v>#REF!</v>
      </c>
      <c r="AG8" s="6" t="e">
        <f t="array" ref="AG8">DAYS360(E8:F8,I8)</f>
        <v>#NUM!</v>
      </c>
      <c r="AH8" s="6">
        <f t="array" ref="AH8:AW8">DAYS360(C7:Q7,C7)</f>
        <v>0</v>
      </c>
      <c r="AI8" s="6" t="e">
        <v>#NUM!</v>
      </c>
      <c r="AJ8" s="6" t="e">
        <v>#NUM!</v>
      </c>
      <c r="AK8" s="6">
        <v>1959</v>
      </c>
      <c r="AL8" s="6">
        <v>1959</v>
      </c>
      <c r="AM8" s="6">
        <v>1959</v>
      </c>
      <c r="AN8" s="6">
        <v>1367</v>
      </c>
      <c r="AO8" s="6">
        <v>1958</v>
      </c>
      <c r="AP8" s="6" t="e">
        <v>#VALUE!</v>
      </c>
      <c r="AQ8" s="6" t="e">
        <v>#N/A</v>
      </c>
      <c r="AR8" s="6" t="e">
        <v>#DIV/0!</v>
      </c>
      <c r="AS8" s="6" t="e">
        <v>#NAME?</v>
      </c>
      <c r="AT8" s="6" t="e">
        <v>#NULL!</v>
      </c>
      <c r="AU8" s="6" t="e">
        <v>#NUM!</v>
      </c>
      <c r="AV8" s="6" t="e">
        <v>#REF!</v>
      </c>
      <c r="AW8" s="4" t="e">
        <v>#N/A</v>
      </c>
    </row>
    <row r="9" spans="1:49" x14ac:dyDescent="0.15">
      <c r="A9" s="35" t="s">
        <v>421</v>
      </c>
      <c r="B9" s="36" t="s">
        <v>541</v>
      </c>
      <c r="C9" s="4">
        <v>1987</v>
      </c>
      <c r="D9" s="4">
        <v>8</v>
      </c>
      <c r="E9" s="4">
        <v>1</v>
      </c>
      <c r="F9" s="4">
        <v>0.7</v>
      </c>
      <c r="G9" s="4">
        <v>0</v>
      </c>
      <c r="H9" s="6"/>
      <c r="I9" s="16" t="s">
        <v>538</v>
      </c>
      <c r="J9" s="6" t="b">
        <v>1</v>
      </c>
      <c r="K9" s="6" t="e">
        <v>#VALUE!</v>
      </c>
      <c r="L9" s="6" t="e">
        <v>#N/A</v>
      </c>
      <c r="M9" s="7" t="e">
        <v>#DIV/0!</v>
      </c>
      <c r="N9" s="7" t="e">
        <v>#NAME?</v>
      </c>
      <c r="O9" s="7" t="e">
        <v>#NULL!</v>
      </c>
      <c r="P9" s="7" t="e">
        <v>#NUM!</v>
      </c>
      <c r="Q9" s="7" t="e">
        <v>#REF!</v>
      </c>
      <c r="R9" s="4">
        <f>EDATE(C9,D9)</f>
        <v>2232</v>
      </c>
      <c r="S9" s="4">
        <f>EDATE(D9,"2")</f>
        <v>68</v>
      </c>
      <c r="T9" s="4">
        <f>EDATE(E9,".55")</f>
        <v>1</v>
      </c>
      <c r="U9" s="4" t="e">
        <f>EDATE(J9,G9)</f>
        <v>#VALUE!</v>
      </c>
      <c r="V9" s="4">
        <f>EDATE(G9,H9)</f>
        <v>0</v>
      </c>
      <c r="W9" s="4">
        <f>EDATE(F9,I9)</f>
        <v>967223</v>
      </c>
      <c r="X9" s="4">
        <f>EDATE(I9,H9)</f>
        <v>31778</v>
      </c>
      <c r="Y9" s="4" t="e">
        <f>EDATE(I9,J9)</f>
        <v>#VALUE!</v>
      </c>
      <c r="Z9" s="4" t="e">
        <f t="shared" ref="Z9:AF9" si="12">EDATE(K9,L9)</f>
        <v>#VALUE!</v>
      </c>
      <c r="AA9" s="4" t="e">
        <f t="shared" si="12"/>
        <v>#N/A</v>
      </c>
      <c r="AB9" s="4" t="e">
        <f t="shared" si="12"/>
        <v>#DIV/0!</v>
      </c>
      <c r="AC9" s="4" t="e">
        <f t="shared" si="12"/>
        <v>#NAME?</v>
      </c>
      <c r="AD9" s="4" t="e">
        <f t="shared" si="12"/>
        <v>#NULL!</v>
      </c>
      <c r="AE9" s="4" t="e">
        <f>EDATE(P9,Q9)</f>
        <v>#NUM!</v>
      </c>
      <c r="AF9" s="4" t="e">
        <f t="shared" si="12"/>
        <v>#REF!</v>
      </c>
      <c r="AG9" s="4" t="e">
        <f t="array" ref="AG9">EDATE(I9,C9:G9)</f>
        <v>#VALUE!</v>
      </c>
      <c r="AH9" s="4" t="e">
        <f t="array" ref="AH9:AW9">EDATE(E9:I9,C9:G9)</f>
        <v>#VALUE!</v>
      </c>
      <c r="AI9" s="4" t="e">
        <v>#VALUE!</v>
      </c>
      <c r="AJ9" s="4" t="e">
        <v>#VALUE!</v>
      </c>
      <c r="AK9" s="4" t="e">
        <v>#VALUE!</v>
      </c>
      <c r="AL9" s="4" t="e">
        <v>#VALUE!</v>
      </c>
      <c r="AM9" s="4" t="e">
        <v>#VALUE!</v>
      </c>
      <c r="AN9" s="4" t="e">
        <v>#VALUE!</v>
      </c>
      <c r="AO9" s="4" t="e">
        <v>#VALUE!</v>
      </c>
      <c r="AP9" s="4" t="e">
        <v>#VALUE!</v>
      </c>
      <c r="AQ9" s="4" t="e">
        <v>#VALUE!</v>
      </c>
      <c r="AR9" s="4" t="e">
        <v>#VALUE!</v>
      </c>
      <c r="AS9" s="4" t="e">
        <v>#VALUE!</v>
      </c>
      <c r="AT9" s="4" t="e">
        <v>#VALUE!</v>
      </c>
      <c r="AU9" s="4" t="e">
        <v>#VALUE!</v>
      </c>
      <c r="AV9" s="4" t="e">
        <v>#VALUE!</v>
      </c>
      <c r="AW9" s="4" t="e">
        <v>#VALUE!</v>
      </c>
    </row>
    <row r="10" spans="1:49" x14ac:dyDescent="0.15">
      <c r="A10" s="35" t="s">
        <v>422</v>
      </c>
      <c r="B10" s="36" t="s">
        <v>541</v>
      </c>
      <c r="C10" s="4">
        <v>1987</v>
      </c>
      <c r="D10" s="4">
        <v>8</v>
      </c>
      <c r="E10" s="4">
        <v>1</v>
      </c>
      <c r="F10" s="4">
        <v>0.7</v>
      </c>
      <c r="G10" s="4">
        <v>0</v>
      </c>
      <c r="H10" s="6"/>
      <c r="I10" s="16" t="s">
        <v>538</v>
      </c>
      <c r="J10" s="6" t="b">
        <v>1</v>
      </c>
      <c r="K10" s="6" t="e">
        <v>#VALUE!</v>
      </c>
      <c r="L10" s="6" t="e">
        <v>#N/A</v>
      </c>
      <c r="M10" s="7" t="e">
        <v>#DIV/0!</v>
      </c>
      <c r="N10" s="7" t="e">
        <v>#NAME?</v>
      </c>
      <c r="O10" s="7" t="e">
        <v>#NULL!</v>
      </c>
      <c r="P10" s="7" t="e">
        <v>#NUM!</v>
      </c>
      <c r="Q10" s="7" t="e">
        <v>#REF!</v>
      </c>
      <c r="R10" s="4">
        <f>EOMONTH(C10,D10)</f>
        <v>2251</v>
      </c>
      <c r="S10" s="4">
        <f>EOMONTH(D10,"2")</f>
        <v>91</v>
      </c>
      <c r="T10" s="4">
        <f>EOMONTH(E10,".55")</f>
        <v>31</v>
      </c>
      <c r="U10" s="4" t="e">
        <f>EOMONTH(J10,G10)</f>
        <v>#VALUE!</v>
      </c>
      <c r="V10" s="4">
        <f>EOMONTH(G10,H10)</f>
        <v>31</v>
      </c>
      <c r="W10" s="4">
        <f>EOMONTH(F10,I10)</f>
        <v>967254</v>
      </c>
      <c r="X10" s="4">
        <f>EOMONTH(I10,H10)</f>
        <v>31808</v>
      </c>
      <c r="Y10" s="4" t="e">
        <f>EOMONTH(I10,J10)</f>
        <v>#VALUE!</v>
      </c>
      <c r="Z10" s="4" t="e">
        <f t="shared" ref="Z10:AF10" si="13">EOMONTH(K10,L10)</f>
        <v>#VALUE!</v>
      </c>
      <c r="AA10" s="4" t="e">
        <f t="shared" si="13"/>
        <v>#N/A</v>
      </c>
      <c r="AB10" s="4" t="e">
        <f t="shared" si="13"/>
        <v>#DIV/0!</v>
      </c>
      <c r="AC10" s="4" t="e">
        <f t="shared" si="13"/>
        <v>#NAME?</v>
      </c>
      <c r="AD10" s="4" t="e">
        <f t="shared" si="13"/>
        <v>#NULL!</v>
      </c>
      <c r="AE10" s="4" t="e">
        <f t="shared" si="13"/>
        <v>#NUM!</v>
      </c>
      <c r="AF10" s="4" t="e">
        <f t="shared" si="13"/>
        <v>#REF!</v>
      </c>
      <c r="AG10" s="4" t="e">
        <f t="array" ref="AG10">EOMONTH(I10,C10:G10)</f>
        <v>#VALUE!</v>
      </c>
      <c r="AH10" s="4" t="e">
        <f t="array" ref="AH10:AW10">EOMONTH(E10:I10,C10:G10)</f>
        <v>#VALUE!</v>
      </c>
      <c r="AI10" s="4" t="e">
        <v>#VALUE!</v>
      </c>
      <c r="AJ10" s="4" t="e">
        <v>#VALUE!</v>
      </c>
      <c r="AK10" s="4" t="e">
        <v>#VALUE!</v>
      </c>
      <c r="AL10" s="4" t="e">
        <v>#VALUE!</v>
      </c>
      <c r="AM10" s="4" t="e">
        <v>#VALUE!</v>
      </c>
      <c r="AN10" s="4" t="e">
        <v>#VALUE!</v>
      </c>
      <c r="AO10" s="4" t="e">
        <v>#VALUE!</v>
      </c>
      <c r="AP10" s="4" t="e">
        <v>#VALUE!</v>
      </c>
      <c r="AQ10" s="4" t="e">
        <v>#VALUE!</v>
      </c>
      <c r="AR10" s="4" t="e">
        <v>#VALUE!</v>
      </c>
      <c r="AS10" s="4" t="e">
        <v>#VALUE!</v>
      </c>
      <c r="AT10" s="4" t="e">
        <v>#VALUE!</v>
      </c>
      <c r="AU10" s="4" t="e">
        <v>#VALUE!</v>
      </c>
      <c r="AV10" s="4" t="e">
        <v>#VALUE!</v>
      </c>
      <c r="AW10" s="4" t="e">
        <v>#VALUE!</v>
      </c>
    </row>
    <row r="11" spans="1:49" x14ac:dyDescent="0.15">
      <c r="A11" s="35" t="s">
        <v>423</v>
      </c>
      <c r="B11" s="36" t="s">
        <v>541</v>
      </c>
      <c r="C11" s="4">
        <v>0.44</v>
      </c>
      <c r="D11" s="4">
        <v>-1</v>
      </c>
      <c r="E11" s="4">
        <v>0.33</v>
      </c>
      <c r="F11" s="4">
        <v>1.4</v>
      </c>
      <c r="G11" s="4">
        <v>0</v>
      </c>
      <c r="I11" s="19" t="s">
        <v>443</v>
      </c>
      <c r="J11" s="4" t="b">
        <v>1</v>
      </c>
      <c r="K11" s="6" t="e">
        <v>#VALUE!</v>
      </c>
      <c r="L11" s="6" t="e">
        <v>#N/A</v>
      </c>
      <c r="M11" s="7" t="e">
        <v>#DIV/0!</v>
      </c>
      <c r="N11" s="7" t="e">
        <v>#NAME?</v>
      </c>
      <c r="O11" s="7" t="e">
        <v>#NULL!</v>
      </c>
      <c r="P11" s="7" t="e">
        <v>#NUM!</v>
      </c>
      <c r="Q11" s="7" t="e">
        <v>#REF!</v>
      </c>
      <c r="R11" s="4">
        <f>HOUR(C11)</f>
        <v>10</v>
      </c>
      <c r="S11" s="4" t="e">
        <f t="shared" ref="S11:AF11" si="14">HOUR(D11)</f>
        <v>#NUM!</v>
      </c>
      <c r="T11" s="4">
        <f t="shared" si="14"/>
        <v>7</v>
      </c>
      <c r="U11" s="4">
        <f>HOUR(F11)</f>
        <v>9</v>
      </c>
      <c r="V11" s="4">
        <f t="shared" si="14"/>
        <v>0</v>
      </c>
      <c r="W11" s="4">
        <f t="shared" si="14"/>
        <v>0</v>
      </c>
      <c r="X11" s="4">
        <f t="shared" si="14"/>
        <v>0</v>
      </c>
      <c r="Y11" s="4">
        <f t="shared" si="14"/>
        <v>0</v>
      </c>
      <c r="Z11" s="4" t="e">
        <f t="shared" si="14"/>
        <v>#VALUE!</v>
      </c>
      <c r="AA11" s="4" t="e">
        <f t="shared" si="14"/>
        <v>#N/A</v>
      </c>
      <c r="AB11" s="4" t="e">
        <f t="shared" si="14"/>
        <v>#DIV/0!</v>
      </c>
      <c r="AC11" s="4" t="e">
        <f t="shared" si="14"/>
        <v>#NAME?</v>
      </c>
      <c r="AD11" s="4" t="e">
        <f t="shared" si="14"/>
        <v>#NULL!</v>
      </c>
      <c r="AE11" s="4" t="e">
        <f t="shared" si="14"/>
        <v>#NUM!</v>
      </c>
      <c r="AF11" s="4" t="e">
        <f t="shared" si="14"/>
        <v>#REF!</v>
      </c>
      <c r="AG11" s="4">
        <f t="array" ref="AG11">HOUR(I6:J6)</f>
        <v>0</v>
      </c>
      <c r="AH11" s="6">
        <f t="array" ref="AH11:AW11">HOUR(C11:Q11)</f>
        <v>10</v>
      </c>
      <c r="AI11" s="6" t="e">
        <v>#NUM!</v>
      </c>
      <c r="AJ11" s="6">
        <v>7</v>
      </c>
      <c r="AK11" s="6">
        <v>9</v>
      </c>
      <c r="AL11" s="6">
        <v>0</v>
      </c>
      <c r="AM11" s="6">
        <v>0</v>
      </c>
      <c r="AN11" s="6">
        <v>0</v>
      </c>
      <c r="AO11" s="6">
        <v>0</v>
      </c>
      <c r="AP11" s="6" t="e">
        <v>#VALUE!</v>
      </c>
      <c r="AQ11" s="6" t="e">
        <v>#N/A</v>
      </c>
      <c r="AR11" s="6" t="e">
        <v>#DIV/0!</v>
      </c>
      <c r="AS11" s="6" t="e">
        <v>#NAME?</v>
      </c>
      <c r="AT11" s="6" t="e">
        <v>#NULL!</v>
      </c>
      <c r="AU11" s="6" t="e">
        <v>#NUM!</v>
      </c>
      <c r="AV11" s="6" t="e">
        <v>#REF!</v>
      </c>
      <c r="AW11" s="4" t="e">
        <v>#N/A</v>
      </c>
    </row>
    <row r="12" spans="1:49" x14ac:dyDescent="0.15">
      <c r="A12" s="35" t="s">
        <v>424</v>
      </c>
      <c r="B12" s="36" t="s">
        <v>541</v>
      </c>
      <c r="C12" s="4">
        <v>1987</v>
      </c>
      <c r="D12" s="4">
        <v>8</v>
      </c>
      <c r="E12" s="4">
        <v>1</v>
      </c>
      <c r="F12" s="4">
        <v>0.7</v>
      </c>
      <c r="G12" s="4">
        <v>0</v>
      </c>
      <c r="H12" s="6"/>
      <c r="I12" s="16" t="s">
        <v>539</v>
      </c>
      <c r="J12" s="6" t="b">
        <v>1</v>
      </c>
      <c r="K12" s="6" t="e">
        <v>#VALUE!</v>
      </c>
      <c r="L12" s="6" t="e">
        <v>#N/A</v>
      </c>
      <c r="M12" s="7" t="e">
        <v>#DIV/0!</v>
      </c>
      <c r="N12" s="7" t="e">
        <v>#NAME?</v>
      </c>
      <c r="O12" s="7" t="e">
        <v>#NULL!</v>
      </c>
      <c r="P12" s="7" t="e">
        <v>#NUM!</v>
      </c>
      <c r="Q12" s="7" t="e">
        <v>#REF!</v>
      </c>
      <c r="R12" s="4">
        <f>_xlfn.ISOWEEKNUM(C12)</f>
        <v>23</v>
      </c>
      <c r="S12" s="4">
        <f t="shared" ref="S12:AE12" si="15">_xlfn.ISOWEEKNUM(D12)</f>
        <v>1</v>
      </c>
      <c r="T12" s="4">
        <f t="shared" si="15"/>
        <v>52</v>
      </c>
      <c r="U12" s="4">
        <f t="shared" si="15"/>
        <v>52</v>
      </c>
      <c r="V12" s="4">
        <f t="shared" si="15"/>
        <v>52</v>
      </c>
      <c r="W12" s="4">
        <f t="shared" si="15"/>
        <v>52</v>
      </c>
      <c r="X12" s="4">
        <f t="shared" si="15"/>
        <v>1</v>
      </c>
      <c r="Y12" s="4">
        <f>_xlfn.ISOWEEKNUM(J12)</f>
        <v>52</v>
      </c>
      <c r="Z12" s="4" t="e">
        <f t="shared" si="15"/>
        <v>#VALUE!</v>
      </c>
      <c r="AA12" s="4" t="e">
        <f t="shared" si="15"/>
        <v>#N/A</v>
      </c>
      <c r="AB12" s="4" t="e">
        <f t="shared" si="15"/>
        <v>#DIV/0!</v>
      </c>
      <c r="AC12" s="4" t="e">
        <f t="shared" si="15"/>
        <v>#NAME?</v>
      </c>
      <c r="AD12" s="4" t="e">
        <f t="shared" si="15"/>
        <v>#NULL!</v>
      </c>
      <c r="AE12" s="4" t="e">
        <f t="shared" si="15"/>
        <v>#NUM!</v>
      </c>
      <c r="AF12" s="4" t="e">
        <f>_xlfn.ISOWEEKNUM(Q12)</f>
        <v>#REF!</v>
      </c>
      <c r="AG12" s="4">
        <f t="array" ref="AG12">_xlfn.ISOWEEKNUM(C12:Q12)</f>
        <v>23</v>
      </c>
      <c r="AH12" s="4">
        <f t="array" ref="AH12:AW12">_xlfn.ISOWEEKNUM(C12:Q12)</f>
        <v>23</v>
      </c>
      <c r="AI12" s="4">
        <v>1</v>
      </c>
      <c r="AJ12" s="4">
        <v>52</v>
      </c>
      <c r="AK12" s="4">
        <v>52</v>
      </c>
      <c r="AL12" s="4">
        <v>52</v>
      </c>
      <c r="AM12" s="4">
        <v>52</v>
      </c>
      <c r="AN12" s="4">
        <v>1</v>
      </c>
      <c r="AO12" s="4">
        <v>52</v>
      </c>
      <c r="AP12" s="4" t="e">
        <v>#VALUE!</v>
      </c>
      <c r="AQ12" s="4" t="e">
        <v>#N/A</v>
      </c>
      <c r="AR12" s="4" t="e">
        <v>#DIV/0!</v>
      </c>
      <c r="AS12" s="4" t="e">
        <v>#NAME?</v>
      </c>
      <c r="AT12" s="4" t="e">
        <v>#NULL!</v>
      </c>
      <c r="AU12" s="4" t="e">
        <v>#NUM!</v>
      </c>
      <c r="AV12" s="4" t="e">
        <v>#REF!</v>
      </c>
      <c r="AW12" s="4" t="e">
        <v>#N/A</v>
      </c>
    </row>
    <row r="13" spans="1:49" x14ac:dyDescent="0.15">
      <c r="A13" s="35" t="s">
        <v>425</v>
      </c>
      <c r="B13" s="36" t="s">
        <v>541</v>
      </c>
      <c r="C13" s="4">
        <v>0.44</v>
      </c>
      <c r="D13" s="4">
        <v>-1</v>
      </c>
      <c r="E13" s="4">
        <v>0.33</v>
      </c>
      <c r="F13" s="4">
        <v>1.4</v>
      </c>
      <c r="G13" s="4">
        <v>0</v>
      </c>
      <c r="I13" s="19" t="s">
        <v>443</v>
      </c>
      <c r="J13" s="4" t="b">
        <v>1</v>
      </c>
      <c r="K13" s="6" t="e">
        <v>#VALUE!</v>
      </c>
      <c r="L13" s="6" t="e">
        <v>#N/A</v>
      </c>
      <c r="M13" s="7" t="e">
        <v>#DIV/0!</v>
      </c>
      <c r="N13" s="7" t="e">
        <v>#NAME?</v>
      </c>
      <c r="O13" s="7" t="e">
        <v>#NULL!</v>
      </c>
      <c r="P13" s="7" t="e">
        <v>#NUM!</v>
      </c>
      <c r="Q13" s="7" t="e">
        <v>#REF!</v>
      </c>
      <c r="R13" s="4">
        <f>MINUTE(C13)</f>
        <v>33</v>
      </c>
      <c r="S13" s="4" t="e">
        <f t="shared" ref="S13:AF13" si="16">MINUTE(D13)</f>
        <v>#NUM!</v>
      </c>
      <c r="T13" s="4">
        <f t="shared" si="16"/>
        <v>55</v>
      </c>
      <c r="U13" s="4">
        <f>MINUTE(F13)</f>
        <v>36</v>
      </c>
      <c r="V13" s="4">
        <f t="shared" si="16"/>
        <v>0</v>
      </c>
      <c r="W13" s="4">
        <f t="shared" si="16"/>
        <v>0</v>
      </c>
      <c r="X13" s="4">
        <f t="shared" si="16"/>
        <v>0</v>
      </c>
      <c r="Y13" s="4">
        <f t="shared" si="16"/>
        <v>0</v>
      </c>
      <c r="Z13" s="4" t="e">
        <f t="shared" si="16"/>
        <v>#VALUE!</v>
      </c>
      <c r="AA13" s="4" t="e">
        <f t="shared" si="16"/>
        <v>#N/A</v>
      </c>
      <c r="AB13" s="4" t="e">
        <f t="shared" si="16"/>
        <v>#DIV/0!</v>
      </c>
      <c r="AC13" s="4" t="e">
        <f t="shared" si="16"/>
        <v>#NAME?</v>
      </c>
      <c r="AD13" s="4" t="e">
        <f t="shared" si="16"/>
        <v>#NULL!</v>
      </c>
      <c r="AE13" s="4" t="e">
        <f t="shared" si="16"/>
        <v>#NUM!</v>
      </c>
      <c r="AF13" s="4" t="e">
        <f t="shared" si="16"/>
        <v>#REF!</v>
      </c>
      <c r="AG13" s="4">
        <f t="array" ref="AG13">MINUTE(I8:J8)</f>
        <v>0</v>
      </c>
      <c r="AH13" s="6">
        <f t="array" ref="AH13:AW13">MINUTE(C13:Q13)</f>
        <v>33</v>
      </c>
      <c r="AI13" s="6" t="e">
        <v>#NUM!</v>
      </c>
      <c r="AJ13" s="6">
        <v>55</v>
      </c>
      <c r="AK13" s="6">
        <v>36</v>
      </c>
      <c r="AL13" s="6">
        <v>0</v>
      </c>
      <c r="AM13" s="6">
        <v>0</v>
      </c>
      <c r="AN13" s="6">
        <v>0</v>
      </c>
      <c r="AO13" s="6">
        <v>0</v>
      </c>
      <c r="AP13" s="6" t="e">
        <v>#VALUE!</v>
      </c>
      <c r="AQ13" s="6" t="e">
        <v>#N/A</v>
      </c>
      <c r="AR13" s="6" t="e">
        <v>#DIV/0!</v>
      </c>
      <c r="AS13" s="6" t="e">
        <v>#NAME?</v>
      </c>
      <c r="AT13" s="6" t="e">
        <v>#NULL!</v>
      </c>
      <c r="AU13" s="6" t="e">
        <v>#NUM!</v>
      </c>
      <c r="AV13" s="6" t="e">
        <v>#REF!</v>
      </c>
      <c r="AW13" s="4" t="e">
        <v>#N/A</v>
      </c>
    </row>
    <row r="14" spans="1:49" x14ac:dyDescent="0.15">
      <c r="A14" s="35" t="s">
        <v>426</v>
      </c>
      <c r="B14" s="36" t="s">
        <v>541</v>
      </c>
      <c r="C14" s="4">
        <v>1987</v>
      </c>
      <c r="D14" s="4">
        <v>8</v>
      </c>
      <c r="E14" s="4">
        <v>1</v>
      </c>
      <c r="F14" s="4">
        <v>0.7</v>
      </c>
      <c r="G14" s="4">
        <v>0</v>
      </c>
      <c r="H14" s="6"/>
      <c r="I14" s="16" t="s">
        <v>442</v>
      </c>
      <c r="J14" s="6" t="b">
        <v>1</v>
      </c>
      <c r="K14" s="6" t="e">
        <v>#VALUE!</v>
      </c>
      <c r="L14" s="6" t="e">
        <v>#N/A</v>
      </c>
      <c r="M14" s="7" t="e">
        <v>#DIV/0!</v>
      </c>
      <c r="N14" s="7" t="e">
        <v>#NAME?</v>
      </c>
      <c r="O14" s="7" t="e">
        <v>#NULL!</v>
      </c>
      <c r="P14" s="7" t="e">
        <v>#NUM!</v>
      </c>
      <c r="Q14" s="7" t="e">
        <v>#REF!</v>
      </c>
      <c r="R14" s="6">
        <f>MONTH(C14)</f>
        <v>6</v>
      </c>
      <c r="S14" s="6">
        <f t="shared" ref="S14:AF14" si="17">MONTH(D14)</f>
        <v>1</v>
      </c>
      <c r="T14" s="6">
        <f t="shared" si="17"/>
        <v>1</v>
      </c>
      <c r="U14" s="6">
        <f>MONTH(F14)</f>
        <v>1</v>
      </c>
      <c r="V14" s="6">
        <f t="shared" si="17"/>
        <v>1</v>
      </c>
      <c r="W14" s="6">
        <f t="shared" si="17"/>
        <v>1</v>
      </c>
      <c r="X14" s="6">
        <f t="shared" si="17"/>
        <v>8</v>
      </c>
      <c r="Y14" s="6">
        <f t="shared" si="17"/>
        <v>1</v>
      </c>
      <c r="Z14" s="6" t="e">
        <f t="shared" si="17"/>
        <v>#VALUE!</v>
      </c>
      <c r="AA14" s="6" t="e">
        <f t="shared" si="17"/>
        <v>#N/A</v>
      </c>
      <c r="AB14" s="6" t="e">
        <f t="shared" si="17"/>
        <v>#DIV/0!</v>
      </c>
      <c r="AC14" s="6" t="e">
        <f t="shared" si="17"/>
        <v>#NAME?</v>
      </c>
      <c r="AD14" s="6" t="e">
        <f t="shared" si="17"/>
        <v>#NULL!</v>
      </c>
      <c r="AE14" s="6" t="e">
        <f t="shared" si="17"/>
        <v>#NUM!</v>
      </c>
      <c r="AF14" s="6" t="e">
        <f t="shared" si="17"/>
        <v>#REF!</v>
      </c>
      <c r="AG14" s="6">
        <f t="array" ref="AG14">MONTH(I6:J6)</f>
        <v>8</v>
      </c>
      <c r="AH14" s="6">
        <f t="array" ref="AH14:AW14">MONTH(C14:Q14)</f>
        <v>6</v>
      </c>
      <c r="AI14" s="6">
        <v>1</v>
      </c>
      <c r="AJ14" s="6">
        <v>1</v>
      </c>
      <c r="AK14" s="6">
        <v>1</v>
      </c>
      <c r="AL14" s="6">
        <v>1</v>
      </c>
      <c r="AM14" s="6">
        <v>1</v>
      </c>
      <c r="AN14" s="6">
        <v>8</v>
      </c>
      <c r="AO14" s="6">
        <v>1</v>
      </c>
      <c r="AP14" s="6" t="e">
        <v>#VALUE!</v>
      </c>
      <c r="AQ14" s="6" t="e">
        <v>#N/A</v>
      </c>
      <c r="AR14" s="6" t="e">
        <v>#DIV/0!</v>
      </c>
      <c r="AS14" s="6" t="e">
        <v>#NAME?</v>
      </c>
      <c r="AT14" s="6" t="e">
        <v>#NULL!</v>
      </c>
      <c r="AU14" s="6" t="e">
        <v>#NUM!</v>
      </c>
      <c r="AV14" s="6" t="e">
        <v>#REF!</v>
      </c>
      <c r="AW14" s="4" t="e">
        <v>#N/A</v>
      </c>
    </row>
    <row r="15" spans="1:49" x14ac:dyDescent="0.15">
      <c r="A15" s="35" t="s">
        <v>427</v>
      </c>
      <c r="B15" s="36" t="s">
        <v>541</v>
      </c>
      <c r="C15" s="4">
        <v>1987</v>
      </c>
      <c r="D15" s="4">
        <v>8</v>
      </c>
      <c r="E15" s="4">
        <v>1</v>
      </c>
      <c r="F15" s="4">
        <v>0.7</v>
      </c>
      <c r="G15" s="4">
        <v>0</v>
      </c>
      <c r="H15" s="6"/>
      <c r="I15" s="16" t="s">
        <v>442</v>
      </c>
      <c r="J15" s="6" t="b">
        <v>1</v>
      </c>
      <c r="K15" s="6" t="e">
        <v>#VALUE!</v>
      </c>
      <c r="L15" s="6" t="e">
        <v>#N/A</v>
      </c>
      <c r="M15" s="7" t="e">
        <v>#DIV/0!</v>
      </c>
      <c r="N15" s="7" t="e">
        <v>#NAME?</v>
      </c>
      <c r="O15" s="7" t="e">
        <v>#NULL!</v>
      </c>
      <c r="P15" s="7" t="e">
        <v>#NUM!</v>
      </c>
      <c r="Q15" s="7" t="e">
        <v>#REF!</v>
      </c>
      <c r="R15" s="4">
        <f>NETWORKDAYS("2020-1-1","2024-1-1",C15)</f>
        <v>1044</v>
      </c>
      <c r="S15" s="4">
        <f t="shared" ref="S15:AF15" si="18">NETWORKDAYS("2020-1-1","2024-1-1",D15)</f>
        <v>1044</v>
      </c>
      <c r="T15" s="4">
        <f t="shared" si="18"/>
        <v>1044</v>
      </c>
      <c r="U15" s="4">
        <f>NETWORKDAYS("2020-1-1","2024-1-1",F15)</f>
        <v>1044</v>
      </c>
      <c r="V15" s="4">
        <f t="shared" si="18"/>
        <v>1044</v>
      </c>
      <c r="W15" s="4">
        <f t="shared" si="18"/>
        <v>1044</v>
      </c>
      <c r="X15" s="4">
        <f t="shared" si="18"/>
        <v>1044</v>
      </c>
      <c r="Y15" s="4" t="e">
        <f>NETWORKDAYS("2020-1-1","2024-1-1",J15)</f>
        <v>#VALUE!</v>
      </c>
      <c r="Z15" s="4" t="e">
        <f t="shared" si="18"/>
        <v>#VALUE!</v>
      </c>
      <c r="AA15" s="4" t="e">
        <f t="shared" si="18"/>
        <v>#N/A</v>
      </c>
      <c r="AB15" s="4" t="e">
        <f t="shared" si="18"/>
        <v>#DIV/0!</v>
      </c>
      <c r="AC15" s="4" t="e">
        <f t="shared" si="18"/>
        <v>#NAME?</v>
      </c>
      <c r="AD15" s="4" t="e">
        <f t="shared" si="18"/>
        <v>#NULL!</v>
      </c>
      <c r="AE15" s="4" t="e">
        <f t="shared" si="18"/>
        <v>#NUM!</v>
      </c>
      <c r="AF15" s="4" t="e">
        <f>NETWORKDAYS("2020-1-1","2024-1-1",Q15)</f>
        <v>#REF!</v>
      </c>
      <c r="AG15" s="4">
        <f t="array" ref="AG15">NETWORKDAYS("2020-1-1",{"2024-7-1","2010-3-2","2010-2-1"})</f>
        <v>1174</v>
      </c>
      <c r="AH15" s="4" cm="1">
        <f t="array" ref="AH15:AJ15">NETWORKDAYS("2020-1-1",{"2024-7-1","2010-3-2","2010-2-1"})</f>
        <v>1174</v>
      </c>
      <c r="AI15" s="4">
        <v>-2567</v>
      </c>
      <c r="AJ15" s="4">
        <v>-2588</v>
      </c>
    </row>
    <row r="16" spans="1:49" x14ac:dyDescent="0.15">
      <c r="A16" s="35" t="s">
        <v>428</v>
      </c>
      <c r="B16" s="36" t="s">
        <v>541</v>
      </c>
      <c r="C16" s="4">
        <v>1987</v>
      </c>
      <c r="D16" s="4">
        <v>8.8000000000000007</v>
      </c>
      <c r="E16" s="4">
        <v>1</v>
      </c>
      <c r="F16" s="4">
        <v>11</v>
      </c>
      <c r="G16" s="4">
        <v>0</v>
      </c>
      <c r="H16" s="6"/>
      <c r="I16" s="16" t="s">
        <v>442</v>
      </c>
      <c r="J16" s="6" t="b">
        <v>1</v>
      </c>
      <c r="K16" s="6" t="e">
        <v>#VALUE!</v>
      </c>
      <c r="L16" s="6" t="e">
        <v>#N/A</v>
      </c>
      <c r="M16" s="7" t="e">
        <v>#DIV/0!</v>
      </c>
      <c r="N16" s="7" t="e">
        <v>#NAME?</v>
      </c>
      <c r="O16" s="7" t="e">
        <v>#NULL!</v>
      </c>
      <c r="P16" s="7" t="e">
        <v>#NUM!</v>
      </c>
      <c r="Q16" s="7" t="e">
        <v>#REF!</v>
      </c>
      <c r="R16" s="4" t="e">
        <f>NETWORKDAYS.INTL("2020-1-1","2024-1-1",C16)</f>
        <v>#NUM!</v>
      </c>
      <c r="S16" s="4" t="e">
        <f t="shared" ref="S16:AG16" si="19">NETWORKDAYS.INTL("2020-1-1","2024-1-1",D16)</f>
        <v>#NUM!</v>
      </c>
      <c r="T16" s="4">
        <f t="shared" si="19"/>
        <v>1044</v>
      </c>
      <c r="U16" s="4">
        <f>NETWORKDAYS.INTL("2020-1-1","2024-1-1",F16)</f>
        <v>1253</v>
      </c>
      <c r="V16" s="4">
        <f>NETWORKDAYS.INTL("2020-1-1","2024-1-1","1111101")</f>
        <v>209</v>
      </c>
      <c r="W16" s="4" t="e">
        <f>NETWORKDAYS.INTL("2020-1-1","2024-1-1",H16)</f>
        <v>#NUM!</v>
      </c>
      <c r="X16" s="4" t="e">
        <f t="shared" si="19"/>
        <v>#VALUE!</v>
      </c>
      <c r="Y16" s="4">
        <f t="shared" si="19"/>
        <v>1044</v>
      </c>
      <c r="Z16" s="4" t="e">
        <f t="shared" si="19"/>
        <v>#VALUE!</v>
      </c>
      <c r="AA16" s="4" t="e">
        <f t="shared" si="19"/>
        <v>#VALUE!</v>
      </c>
      <c r="AB16" s="4" t="e">
        <f t="shared" si="19"/>
        <v>#VALUE!</v>
      </c>
      <c r="AC16" s="4" t="e">
        <f t="shared" si="19"/>
        <v>#VALUE!</v>
      </c>
      <c r="AD16" s="4" t="e">
        <f t="shared" si="19"/>
        <v>#VALUE!</v>
      </c>
      <c r="AE16" s="4" t="e">
        <f t="shared" si="19"/>
        <v>#VALUE!</v>
      </c>
      <c r="AF16" s="4" t="e">
        <f t="shared" si="19"/>
        <v>#VALUE!</v>
      </c>
      <c r="AG16" s="4" t="e">
        <f t="array" ref="AG16">NETWORKDAYS.INTL("2020-1-1","2024-1-1",C16:I16)</f>
        <v>#NUM!</v>
      </c>
      <c r="AH16" s="4" t="e">
        <f t="array" ref="AH16:AW16">NETWORKDAYS.INTL("2020-1-1","2024-1-1",C16:Q16)</f>
        <v>#NUM!</v>
      </c>
      <c r="AI16" s="4" t="e">
        <v>#NUM!</v>
      </c>
      <c r="AJ16" s="4">
        <v>1044</v>
      </c>
      <c r="AK16" s="4">
        <v>1253</v>
      </c>
      <c r="AL16" s="4" t="e">
        <v>#NUM!</v>
      </c>
      <c r="AM16" s="4" t="e">
        <v>#NUM!</v>
      </c>
      <c r="AN16" s="4" t="e">
        <v>#VALUE!</v>
      </c>
      <c r="AO16" s="4">
        <v>1044</v>
      </c>
      <c r="AP16" s="4" t="e">
        <v>#VALUE!</v>
      </c>
      <c r="AQ16" s="4" t="e">
        <v>#VALUE!</v>
      </c>
      <c r="AR16" s="4" t="e">
        <v>#VALUE!</v>
      </c>
      <c r="AS16" s="4" t="e">
        <v>#VALUE!</v>
      </c>
      <c r="AT16" s="4" t="e">
        <v>#VALUE!</v>
      </c>
      <c r="AU16" s="4" t="e">
        <v>#VALUE!</v>
      </c>
      <c r="AV16" s="4" t="e">
        <v>#VALUE!</v>
      </c>
      <c r="AW16" s="4" t="e">
        <v>#N/A</v>
      </c>
    </row>
    <row r="17" spans="1:49" x14ac:dyDescent="0.15">
      <c r="A17" s="35" t="s">
        <v>429</v>
      </c>
      <c r="B17" s="36" t="s">
        <v>541</v>
      </c>
      <c r="W17" s="4">
        <f ca="1">IF(NOW(),1,0)</f>
        <v>1</v>
      </c>
    </row>
    <row r="18" spans="1:49" x14ac:dyDescent="0.15">
      <c r="A18" s="35" t="s">
        <v>430</v>
      </c>
      <c r="B18" s="36" t="s">
        <v>541</v>
      </c>
      <c r="C18" s="4">
        <v>0.44</v>
      </c>
      <c r="D18" s="4">
        <v>-1</v>
      </c>
      <c r="E18" s="4">
        <v>0.33</v>
      </c>
      <c r="F18" s="4">
        <v>1.4</v>
      </c>
      <c r="G18" s="4">
        <v>0</v>
      </c>
      <c r="I18" s="19" t="s">
        <v>443</v>
      </c>
      <c r="J18" s="4" t="b">
        <v>1</v>
      </c>
      <c r="K18" s="6" t="e">
        <v>#VALUE!</v>
      </c>
      <c r="L18" s="6" t="e">
        <v>#N/A</v>
      </c>
      <c r="M18" s="7" t="e">
        <v>#DIV/0!</v>
      </c>
      <c r="N18" s="7" t="e">
        <v>#NAME?</v>
      </c>
      <c r="O18" s="7" t="e">
        <v>#NULL!</v>
      </c>
      <c r="P18" s="7" t="e">
        <v>#NUM!</v>
      </c>
      <c r="Q18" s="7" t="e">
        <v>#REF!</v>
      </c>
      <c r="R18" s="4">
        <f>SECOND(C18)</f>
        <v>36</v>
      </c>
      <c r="S18" s="4" t="e">
        <f t="shared" ref="S18:AF18" si="20">SECOND(D18)</f>
        <v>#NUM!</v>
      </c>
      <c r="T18" s="4">
        <f t="shared" si="20"/>
        <v>12</v>
      </c>
      <c r="U18" s="4">
        <f t="shared" si="20"/>
        <v>0</v>
      </c>
      <c r="V18" s="4">
        <f t="shared" si="20"/>
        <v>0</v>
      </c>
      <c r="W18" s="4">
        <f t="shared" si="20"/>
        <v>0</v>
      </c>
      <c r="X18" s="4">
        <f t="shared" si="20"/>
        <v>0</v>
      </c>
      <c r="Y18" s="4">
        <f t="shared" si="20"/>
        <v>0</v>
      </c>
      <c r="Z18" s="4" t="e">
        <f t="shared" si="20"/>
        <v>#VALUE!</v>
      </c>
      <c r="AA18" s="4" t="e">
        <f t="shared" si="20"/>
        <v>#N/A</v>
      </c>
      <c r="AB18" s="4" t="e">
        <f t="shared" si="20"/>
        <v>#DIV/0!</v>
      </c>
      <c r="AC18" s="4" t="e">
        <f t="shared" si="20"/>
        <v>#NAME?</v>
      </c>
      <c r="AD18" s="4" t="e">
        <f t="shared" si="20"/>
        <v>#NULL!</v>
      </c>
      <c r="AE18" s="4" t="e">
        <f t="shared" si="20"/>
        <v>#NUM!</v>
      </c>
      <c r="AF18" s="4" t="e">
        <f t="shared" si="20"/>
        <v>#REF!</v>
      </c>
      <c r="AG18" s="4">
        <f t="array" ref="AG18">SECOND(I13:J13)</f>
        <v>0</v>
      </c>
      <c r="AH18" s="6">
        <f t="array" ref="AH18:AW18">SECOND(C18:Q18)</f>
        <v>36</v>
      </c>
      <c r="AI18" s="6" t="e">
        <v>#NUM!</v>
      </c>
      <c r="AJ18" s="6">
        <v>12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 t="e">
        <v>#VALUE!</v>
      </c>
      <c r="AQ18" s="6" t="e">
        <v>#N/A</v>
      </c>
      <c r="AR18" s="6" t="e">
        <v>#DIV/0!</v>
      </c>
      <c r="AS18" s="6" t="e">
        <v>#NAME?</v>
      </c>
      <c r="AT18" s="6" t="e">
        <v>#NULL!</v>
      </c>
      <c r="AU18" s="6" t="e">
        <v>#NUM!</v>
      </c>
      <c r="AV18" s="6" t="e">
        <v>#REF!</v>
      </c>
      <c r="AW18" s="4" t="e">
        <v>#N/A</v>
      </c>
    </row>
    <row r="19" spans="1:49" x14ac:dyDescent="0.15">
      <c r="A19" s="35" t="s">
        <v>431</v>
      </c>
      <c r="B19" s="36" t="s">
        <v>541</v>
      </c>
      <c r="C19" s="4">
        <v>32767.99</v>
      </c>
      <c r="D19" s="4">
        <v>-1</v>
      </c>
      <c r="E19" s="4">
        <v>67</v>
      </c>
      <c r="F19" s="4">
        <v>0.7</v>
      </c>
      <c r="G19" s="4">
        <v>0</v>
      </c>
      <c r="H19" s="6"/>
      <c r="I19" s="16" t="s">
        <v>441</v>
      </c>
      <c r="J19" s="6" t="b">
        <v>1</v>
      </c>
      <c r="K19" s="6" t="e">
        <v>#VALUE!</v>
      </c>
      <c r="L19" s="6" t="e">
        <v>#N/A</v>
      </c>
      <c r="M19" s="7" t="e">
        <v>#DIV/0!</v>
      </c>
      <c r="N19" s="7" t="e">
        <v>#NAME?</v>
      </c>
      <c r="O19" s="7" t="e">
        <v>#NULL!</v>
      </c>
      <c r="P19" s="7" t="e">
        <v>#NUM!</v>
      </c>
      <c r="Q19" s="7" t="e">
        <v>#REF!</v>
      </c>
      <c r="R19" s="6">
        <f>TIME(C19,D19,E19)</f>
        <v>0.29174768518510064</v>
      </c>
      <c r="S19" s="6">
        <f>TIME(C19,D19,F19)</f>
        <v>0.29097222222230812</v>
      </c>
      <c r="T19" s="6">
        <f>TIME(0.9,0.9,0.9)</f>
        <v>0</v>
      </c>
      <c r="U19" s="18">
        <f>TIME(0,1,0)</f>
        <v>6.9444444444444447E-4</v>
      </c>
      <c r="V19" s="6">
        <f>TIME(1,0,0)</f>
        <v>4.1666666666666664E-2</v>
      </c>
      <c r="W19" s="6">
        <f t="shared" ref="W19:AC19" si="21">TIME(C19,D19,H19)</f>
        <v>0.29097222222230812</v>
      </c>
      <c r="X19" s="6">
        <f t="shared" si="21"/>
        <v>5.5555555555555558E-3</v>
      </c>
      <c r="Y19" s="6">
        <f t="shared" si="21"/>
        <v>0.79167824074074078</v>
      </c>
      <c r="Z19" s="6" t="e">
        <f t="shared" si="21"/>
        <v>#VALUE!</v>
      </c>
      <c r="AA19" s="6" t="e">
        <f t="shared" si="21"/>
        <v>#N/A</v>
      </c>
      <c r="AB19" s="6" t="e">
        <f t="shared" si="21"/>
        <v>#DIV/0!</v>
      </c>
      <c r="AC19" s="6" t="e">
        <f t="shared" si="21"/>
        <v>#NAME?</v>
      </c>
      <c r="AD19" s="6" t="e">
        <f>TIME(J19,O19,K19)</f>
        <v>#NULL!</v>
      </c>
      <c r="AE19" s="6" t="e">
        <f>TIME(C19,P19,L19)</f>
        <v>#NUM!</v>
      </c>
      <c r="AF19" s="6" t="e">
        <f>TIME(Q19,K19,M19)</f>
        <v>#REF!</v>
      </c>
      <c r="AG19" s="6">
        <f t="array" ref="AG19">TIME(C19,D19,E19:H19)</f>
        <v>0.29174768518510064</v>
      </c>
      <c r="AH19" s="6">
        <f t="array" ref="AH19:AK19">TIME(C19,D19,E19:G19)</f>
        <v>0.29174768518510064</v>
      </c>
      <c r="AI19" s="6">
        <v>0.29097222222230812</v>
      </c>
      <c r="AJ19" s="6">
        <v>0.29097222222230812</v>
      </c>
      <c r="AK19" s="6" t="e">
        <v>#N/A</v>
      </c>
      <c r="AL19" s="6">
        <f t="array" ref="AL19:AN19">TIME(C19:E19,H19,D19:F19)</f>
        <v>0.29165509259269129</v>
      </c>
      <c r="AM19" s="6" t="e">
        <v>#NUM!</v>
      </c>
      <c r="AN19" s="6">
        <v>0.79166666666666652</v>
      </c>
      <c r="AO19" s="6" t="e">
        <f t="array" ref="AO19:AW19">TIME(C19:I19,H19,K19:Q19)</f>
        <v>#VALUE!</v>
      </c>
      <c r="AP19" s="6" t="e">
        <v>#N/A</v>
      </c>
      <c r="AQ19" s="6" t="e">
        <v>#DIV/0!</v>
      </c>
      <c r="AR19" s="6" t="e">
        <v>#NAME?</v>
      </c>
      <c r="AS19" s="6" t="e">
        <v>#NULL!</v>
      </c>
      <c r="AT19" s="6" t="e">
        <v>#NUM!</v>
      </c>
      <c r="AU19" s="6" t="e">
        <v>#REF!</v>
      </c>
      <c r="AV19" s="6" t="e">
        <v>#N/A</v>
      </c>
      <c r="AW19" s="17" t="e">
        <v>#N/A</v>
      </c>
    </row>
    <row r="20" spans="1:49" x14ac:dyDescent="0.15">
      <c r="A20" s="35" t="s">
        <v>432</v>
      </c>
      <c r="B20" s="36" t="s">
        <v>541</v>
      </c>
      <c r="C20" s="4">
        <v>1987</v>
      </c>
      <c r="D20" s="4">
        <v>8</v>
      </c>
      <c r="E20" s="4">
        <v>1</v>
      </c>
      <c r="F20" s="4">
        <v>0.7</v>
      </c>
      <c r="G20" s="4">
        <v>0</v>
      </c>
      <c r="H20" s="6"/>
      <c r="I20" s="16" t="s">
        <v>539</v>
      </c>
      <c r="J20" s="6" t="b">
        <v>1</v>
      </c>
      <c r="K20" s="6" t="e">
        <v>#VALUE!</v>
      </c>
      <c r="L20" s="6" t="e">
        <v>#N/A</v>
      </c>
      <c r="M20" s="7" t="e">
        <v>#DIV/0!</v>
      </c>
      <c r="N20" s="7" t="e">
        <v>#NAME?</v>
      </c>
      <c r="O20" s="7" t="e">
        <v>#NULL!</v>
      </c>
      <c r="P20" s="7" t="e">
        <v>#NUM!</v>
      </c>
      <c r="Q20" s="7" t="e">
        <v>#REF!</v>
      </c>
      <c r="R20" s="6" t="e">
        <f>TIMEVALUE(C20)</f>
        <v>#VALUE!</v>
      </c>
      <c r="S20" s="6" t="e">
        <f t="shared" ref="S20:AF20" si="22">TIMEVALUE(D20)</f>
        <v>#VALUE!</v>
      </c>
      <c r="T20" s="6" t="e">
        <f t="shared" si="22"/>
        <v>#VALUE!</v>
      </c>
      <c r="U20" s="6" t="e">
        <f t="shared" si="22"/>
        <v>#VALUE!</v>
      </c>
      <c r="V20" s="6" t="e">
        <f t="shared" si="22"/>
        <v>#VALUE!</v>
      </c>
      <c r="W20" s="6" t="e">
        <f t="shared" si="22"/>
        <v>#VALUE!</v>
      </c>
      <c r="X20" s="6">
        <f>TIMEVALUE(I20)</f>
        <v>0.20833333333212067</v>
      </c>
      <c r="Y20" s="6" t="e">
        <f>TIMEVALUE(J20)</f>
        <v>#VALUE!</v>
      </c>
      <c r="Z20" s="6" t="e">
        <f t="shared" si="22"/>
        <v>#VALUE!</v>
      </c>
      <c r="AA20" s="6" t="e">
        <f t="shared" si="22"/>
        <v>#N/A</v>
      </c>
      <c r="AB20" s="6" t="e">
        <f t="shared" si="22"/>
        <v>#DIV/0!</v>
      </c>
      <c r="AC20" s="6" t="e">
        <f t="shared" si="22"/>
        <v>#NAME?</v>
      </c>
      <c r="AD20" s="6" t="e">
        <f t="shared" si="22"/>
        <v>#NULL!</v>
      </c>
      <c r="AE20" s="6" t="e">
        <f t="shared" si="22"/>
        <v>#NUM!</v>
      </c>
      <c r="AF20" s="6" t="e">
        <f t="shared" si="22"/>
        <v>#REF!</v>
      </c>
      <c r="AG20" s="6">
        <f t="array" ref="AG20">TIMEVALUE(I20:J20)</f>
        <v>0.20833333333212067</v>
      </c>
      <c r="AH20" s="6" t="e">
        <f t="array" ref="AH20:AW20">TIMEVALUE(C20:Q20)</f>
        <v>#VALUE!</v>
      </c>
      <c r="AI20" s="6" t="e">
        <v>#VALUE!</v>
      </c>
      <c r="AJ20" s="6" t="e">
        <v>#VALUE!</v>
      </c>
      <c r="AK20" s="6" t="e">
        <v>#VALUE!</v>
      </c>
      <c r="AL20" s="6" t="e">
        <v>#VALUE!</v>
      </c>
      <c r="AM20" s="6" t="e">
        <v>#VALUE!</v>
      </c>
      <c r="AN20" s="6">
        <v>0.20833333333212067</v>
      </c>
      <c r="AO20" s="6" t="e">
        <v>#VALUE!</v>
      </c>
      <c r="AP20" s="6" t="e">
        <v>#VALUE!</v>
      </c>
      <c r="AQ20" s="6" t="e">
        <v>#N/A</v>
      </c>
      <c r="AR20" s="6" t="e">
        <v>#DIV/0!</v>
      </c>
      <c r="AS20" s="6" t="e">
        <v>#NAME?</v>
      </c>
      <c r="AT20" s="6" t="e">
        <v>#NULL!</v>
      </c>
      <c r="AU20" s="6" t="e">
        <v>#NUM!</v>
      </c>
      <c r="AV20" s="6" t="e">
        <v>#REF!</v>
      </c>
      <c r="AW20" s="4" t="e">
        <v>#N/A</v>
      </c>
    </row>
    <row r="21" spans="1:49" x14ac:dyDescent="0.15">
      <c r="A21" s="35" t="s">
        <v>433</v>
      </c>
      <c r="B21" s="36" t="s">
        <v>541</v>
      </c>
      <c r="C21" s="17"/>
      <c r="W21" s="4">
        <f ca="1">IF(TODAY(),1,0)</f>
        <v>1</v>
      </c>
    </row>
    <row r="22" spans="1:49" x14ac:dyDescent="0.15">
      <c r="A22" s="35" t="s">
        <v>434</v>
      </c>
      <c r="B22" s="36" t="s">
        <v>541</v>
      </c>
      <c r="C22" s="4">
        <v>1987</v>
      </c>
      <c r="D22" s="4">
        <v>8</v>
      </c>
      <c r="E22" s="4">
        <v>1</v>
      </c>
      <c r="F22" s="4">
        <v>0.7</v>
      </c>
      <c r="G22" s="4">
        <v>0</v>
      </c>
      <c r="H22" s="6"/>
      <c r="I22" s="16" t="s">
        <v>539</v>
      </c>
      <c r="J22" s="6" t="b">
        <v>1</v>
      </c>
      <c r="K22" s="6" t="e">
        <v>#VALUE!</v>
      </c>
      <c r="L22" s="6" t="e">
        <v>#N/A</v>
      </c>
      <c r="M22" s="7" t="e">
        <v>#DIV/0!</v>
      </c>
      <c r="N22" s="7" t="e">
        <v>#NAME?</v>
      </c>
      <c r="O22" s="7" t="e">
        <v>#NULL!</v>
      </c>
      <c r="P22" s="7" t="e">
        <v>#NUM!</v>
      </c>
      <c r="Q22" s="7" t="e">
        <v>#REF!</v>
      </c>
      <c r="R22" s="4">
        <f>WEEKDAY(C22)</f>
        <v>6</v>
      </c>
      <c r="S22" s="4">
        <f t="shared" ref="S22:Y22" si="23">WEEKDAY(D22)</f>
        <v>1</v>
      </c>
      <c r="T22" s="4">
        <f t="shared" si="23"/>
        <v>1</v>
      </c>
      <c r="U22" s="4">
        <f t="shared" si="23"/>
        <v>7</v>
      </c>
      <c r="V22" s="4">
        <f t="shared" si="23"/>
        <v>7</v>
      </c>
      <c r="W22" s="4">
        <f t="shared" si="23"/>
        <v>7</v>
      </c>
      <c r="X22" s="4">
        <f t="shared" si="23"/>
        <v>5</v>
      </c>
      <c r="Y22" s="4">
        <f t="shared" si="23"/>
        <v>1</v>
      </c>
      <c r="Z22" s="4" t="e">
        <f t="shared" ref="Z22:AF22" si="24">WEEKDAY(K22)</f>
        <v>#VALUE!</v>
      </c>
      <c r="AA22" s="4" t="e">
        <f t="shared" si="24"/>
        <v>#N/A</v>
      </c>
      <c r="AB22" s="4" t="e">
        <f t="shared" si="24"/>
        <v>#DIV/0!</v>
      </c>
      <c r="AC22" s="4" t="e">
        <f t="shared" si="24"/>
        <v>#NAME?</v>
      </c>
      <c r="AD22" s="4" t="e">
        <f t="shared" si="24"/>
        <v>#NULL!</v>
      </c>
      <c r="AE22" s="4" t="e">
        <f t="shared" si="24"/>
        <v>#NUM!</v>
      </c>
      <c r="AF22" s="4" t="e">
        <f t="shared" si="24"/>
        <v>#REF!</v>
      </c>
      <c r="AG22" s="4">
        <f t="array" ref="AG22">WEEKDAY(C22:Q22)</f>
        <v>6</v>
      </c>
      <c r="AH22" s="4">
        <f t="array" ref="AH22:AW22">WEEKDAY(C22:Q22)</f>
        <v>6</v>
      </c>
      <c r="AI22" s="4">
        <v>1</v>
      </c>
      <c r="AJ22" s="4">
        <v>1</v>
      </c>
      <c r="AK22" s="4">
        <v>7</v>
      </c>
      <c r="AL22" s="4">
        <v>7</v>
      </c>
      <c r="AM22" s="4">
        <v>7</v>
      </c>
      <c r="AN22" s="4">
        <v>5</v>
      </c>
      <c r="AO22" s="4">
        <v>1</v>
      </c>
      <c r="AP22" s="4" t="e">
        <v>#VALUE!</v>
      </c>
      <c r="AQ22" s="4" t="e">
        <v>#N/A</v>
      </c>
      <c r="AR22" s="4" t="e">
        <v>#DIV/0!</v>
      </c>
      <c r="AS22" s="4" t="e">
        <v>#NAME?</v>
      </c>
      <c r="AT22" s="4" t="e">
        <v>#NULL!</v>
      </c>
      <c r="AU22" s="4" t="e">
        <v>#NUM!</v>
      </c>
      <c r="AV22" s="4" t="e">
        <v>#REF!</v>
      </c>
      <c r="AW22" s="4" t="e">
        <v>#N/A</v>
      </c>
    </row>
    <row r="23" spans="1:49" x14ac:dyDescent="0.15">
      <c r="A23" s="35" t="s">
        <v>435</v>
      </c>
      <c r="B23" s="36" t="s">
        <v>541</v>
      </c>
      <c r="C23" s="4">
        <v>1987</v>
      </c>
      <c r="D23" s="4">
        <v>8</v>
      </c>
      <c r="E23" s="4">
        <v>1</v>
      </c>
      <c r="F23" s="4">
        <v>0.7</v>
      </c>
      <c r="G23" s="4">
        <v>0</v>
      </c>
      <c r="H23" s="6"/>
      <c r="I23" s="16" t="s">
        <v>539</v>
      </c>
      <c r="J23" s="6" t="b">
        <v>1</v>
      </c>
      <c r="K23" s="6" t="e">
        <v>#VALUE!</v>
      </c>
      <c r="L23" s="6" t="e">
        <v>#N/A</v>
      </c>
      <c r="M23" s="7" t="e">
        <v>#DIV/0!</v>
      </c>
      <c r="N23" s="7" t="e">
        <v>#NAME?</v>
      </c>
      <c r="O23" s="7" t="e">
        <v>#NULL!</v>
      </c>
      <c r="P23" s="7" t="e">
        <v>#NUM!</v>
      </c>
      <c r="Q23" s="7" t="e">
        <v>#REF!</v>
      </c>
      <c r="R23" s="4">
        <f>WEEKNUM(C23,2)</f>
        <v>24</v>
      </c>
      <c r="S23" s="4">
        <f>WEEKNUM(D23,1)</f>
        <v>2</v>
      </c>
      <c r="T23" s="4">
        <f t="shared" ref="T23:AE23" si="25">WEEKNUM(E23,1)</f>
        <v>1</v>
      </c>
      <c r="U23" s="4">
        <f t="shared" si="25"/>
        <v>0</v>
      </c>
      <c r="V23" s="4">
        <f t="shared" si="25"/>
        <v>0</v>
      </c>
      <c r="W23" s="4">
        <f>WEEKNUM(H23,1)</f>
        <v>0</v>
      </c>
      <c r="X23" s="4">
        <f>WEEKNUM(I23,1)</f>
        <v>1</v>
      </c>
      <c r="Y23" s="4" t="e">
        <f>WEEKNUM(J23,1)</f>
        <v>#VALUE!</v>
      </c>
      <c r="Z23" s="4" t="e">
        <f t="shared" si="25"/>
        <v>#VALUE!</v>
      </c>
      <c r="AA23" s="4" t="e">
        <f t="shared" si="25"/>
        <v>#N/A</v>
      </c>
      <c r="AB23" s="4" t="e">
        <f t="shared" si="25"/>
        <v>#DIV/0!</v>
      </c>
      <c r="AC23" s="4" t="e">
        <f t="shared" si="25"/>
        <v>#NAME?</v>
      </c>
      <c r="AD23" s="4" t="e">
        <f t="shared" si="25"/>
        <v>#NULL!</v>
      </c>
      <c r="AE23" s="4" t="e">
        <f t="shared" si="25"/>
        <v>#NUM!</v>
      </c>
      <c r="AF23" s="4" t="e">
        <f>WEEKNUM(Q23,1)</f>
        <v>#REF!</v>
      </c>
      <c r="AG23" s="4" t="e">
        <f>WEEKNUM(C23:F23)</f>
        <v>#VALUE!</v>
      </c>
      <c r="AH23" s="4" t="e">
        <f t="array" ref="AH23:AW23">WEEKNUM(C23:J23,1)</f>
        <v>#VALUE!</v>
      </c>
      <c r="AI23" s="4" t="e">
        <v>#VALUE!</v>
      </c>
      <c r="AJ23" s="4" t="e">
        <v>#VALUE!</v>
      </c>
      <c r="AK23" s="4" t="e">
        <v>#VALUE!</v>
      </c>
      <c r="AL23" s="4" t="e">
        <v>#VALUE!</v>
      </c>
      <c r="AM23" s="4" t="e">
        <v>#VALUE!</v>
      </c>
      <c r="AN23" s="4" t="e">
        <v>#VALUE!</v>
      </c>
      <c r="AO23" s="4" t="e">
        <v>#VALUE!</v>
      </c>
      <c r="AP23" s="4" t="e">
        <v>#VALUE!</v>
      </c>
      <c r="AQ23" s="4" t="e">
        <v>#VALUE!</v>
      </c>
      <c r="AR23" s="4" t="e">
        <v>#VALUE!</v>
      </c>
      <c r="AS23" s="4" t="e">
        <v>#VALUE!</v>
      </c>
      <c r="AT23" s="4" t="e">
        <v>#VALUE!</v>
      </c>
      <c r="AU23" s="4" t="e">
        <v>#VALUE!</v>
      </c>
      <c r="AV23" s="4" t="e">
        <v>#VALUE!</v>
      </c>
      <c r="AW23" s="4" t="e">
        <v>#VALUE!</v>
      </c>
    </row>
    <row r="24" spans="1:49" x14ac:dyDescent="0.15">
      <c r="A24" s="35" t="s">
        <v>436</v>
      </c>
      <c r="B24" s="36" t="s">
        <v>541</v>
      </c>
      <c r="C24" s="4">
        <v>1987</v>
      </c>
      <c r="D24" s="4">
        <v>8</v>
      </c>
      <c r="E24" s="4">
        <v>1</v>
      </c>
      <c r="F24" s="4">
        <v>0.7</v>
      </c>
      <c r="G24" s="4">
        <v>0</v>
      </c>
      <c r="H24" s="6"/>
      <c r="I24" s="16" t="s">
        <v>442</v>
      </c>
      <c r="J24" s="6" t="b">
        <v>1</v>
      </c>
      <c r="K24" s="6" t="e">
        <v>#VALUE!</v>
      </c>
      <c r="L24" s="6" t="e">
        <v>#N/A</v>
      </c>
      <c r="M24" s="7" t="e">
        <v>#DIV/0!</v>
      </c>
      <c r="N24" s="7" t="e">
        <v>#NAME?</v>
      </c>
      <c r="O24" s="7" t="e">
        <v>#NULL!</v>
      </c>
      <c r="P24" s="7" t="e">
        <v>#NUM!</v>
      </c>
      <c r="Q24" s="7" t="e">
        <v>#REF!</v>
      </c>
      <c r="R24" s="4">
        <f>WORKDAY("2020-1-1","2024-1-1",C24)</f>
        <v>107239</v>
      </c>
      <c r="S24" s="4">
        <f>WORKDAY("2020-1-1","2024-1-1",D24)</f>
        <v>107239</v>
      </c>
      <c r="T24" s="4">
        <f>WORKDAY("2020-1-1","2024-1-1",E24)</f>
        <v>107239</v>
      </c>
      <c r="U24" s="4">
        <f>WORKDAY("2020-1-1","2024-1-1",F24)</f>
        <v>107239</v>
      </c>
      <c r="V24" s="4">
        <f t="shared" ref="V24:AF24" si="26">WORKDAY("2020-1-1","2024-1-1",G24)</f>
        <v>107239</v>
      </c>
      <c r="W24" s="4">
        <f t="shared" si="26"/>
        <v>107239</v>
      </c>
      <c r="X24" s="4">
        <f t="shared" si="26"/>
        <v>107239</v>
      </c>
      <c r="Y24" s="4" t="e">
        <f t="shared" si="26"/>
        <v>#VALUE!</v>
      </c>
      <c r="Z24" s="4" t="e">
        <f t="shared" si="26"/>
        <v>#VALUE!</v>
      </c>
      <c r="AA24" s="4" t="e">
        <f t="shared" si="26"/>
        <v>#N/A</v>
      </c>
      <c r="AB24" s="4" t="e">
        <f t="shared" si="26"/>
        <v>#DIV/0!</v>
      </c>
      <c r="AC24" s="4" t="e">
        <f t="shared" si="26"/>
        <v>#NAME?</v>
      </c>
      <c r="AD24" s="4" t="e">
        <f t="shared" si="26"/>
        <v>#NULL!</v>
      </c>
      <c r="AE24" s="4" t="e">
        <f t="shared" si="26"/>
        <v>#NUM!</v>
      </c>
      <c r="AF24" s="4" t="e">
        <f t="shared" si="26"/>
        <v>#REF!</v>
      </c>
      <c r="AG24" s="4">
        <f t="array" ref="AG24">WORKDAY("2020-1-1",{"2024-7-1","2010-3-2","2010-2-1"})</f>
        <v>107495</v>
      </c>
      <c r="AH24" s="4">
        <f t="array" ref="AH24:AJ24">WORKDAY("2020-1-1",{"2024-7-1","2010-3-2","2010-2-1"})</f>
        <v>107495</v>
      </c>
      <c r="AI24" s="4">
        <v>100166</v>
      </c>
      <c r="AJ24" s="4">
        <v>100125</v>
      </c>
    </row>
    <row r="25" spans="1:49" x14ac:dyDescent="0.15">
      <c r="A25" s="35" t="s">
        <v>437</v>
      </c>
      <c r="B25" s="36" t="s">
        <v>541</v>
      </c>
      <c r="C25" s="4">
        <v>1987</v>
      </c>
      <c r="D25" s="4">
        <v>8.8000000000000007</v>
      </c>
      <c r="E25" s="4">
        <v>1</v>
      </c>
      <c r="F25" s="4">
        <v>11</v>
      </c>
      <c r="G25" s="4">
        <v>0</v>
      </c>
      <c r="H25" s="6"/>
      <c r="I25" s="16" t="s">
        <v>442</v>
      </c>
      <c r="J25" s="6" t="b">
        <v>1</v>
      </c>
      <c r="K25" s="6" t="e">
        <v>#VALUE!</v>
      </c>
      <c r="L25" s="6" t="e">
        <v>#N/A</v>
      </c>
      <c r="M25" s="7" t="e">
        <v>#DIV/0!</v>
      </c>
      <c r="N25" s="7" t="e">
        <v>#NAME?</v>
      </c>
      <c r="O25" s="7" t="e">
        <v>#NULL!</v>
      </c>
      <c r="P25" s="7" t="e">
        <v>#NUM!</v>
      </c>
      <c r="Q25" s="7" t="e">
        <v>#REF!</v>
      </c>
      <c r="R25" s="4" t="e">
        <f>WORKDAY.INTL("2020-1-1","2024-1-1",C25)</f>
        <v>#NUM!</v>
      </c>
      <c r="S25" s="4" t="e">
        <f t="shared" ref="S25:AF25" si="27">WORKDAY.INTL("2020-1-1","2024-1-1",D25)</f>
        <v>#NUM!</v>
      </c>
      <c r="T25" s="4">
        <f t="shared" si="27"/>
        <v>107239</v>
      </c>
      <c r="U25" s="4">
        <f t="shared" si="27"/>
        <v>96672</v>
      </c>
      <c r="V25" s="4" t="e">
        <f t="shared" si="27"/>
        <v>#NUM!</v>
      </c>
      <c r="W25" s="4" t="e">
        <f>WORKDAY.INTL("2020-1-1","2024-1-1",H25)</f>
        <v>#NUM!</v>
      </c>
      <c r="X25" s="4" t="e">
        <f>WORKDAY.INTL("2020-1-1","2024-1-1",I25)</f>
        <v>#VALUE!</v>
      </c>
      <c r="Y25" s="4">
        <f t="shared" si="27"/>
        <v>107239</v>
      </c>
      <c r="Z25" s="4" t="e">
        <f>WORKDAY.INTL("2020-1-1","2024-1-1",K25)</f>
        <v>#NUM!</v>
      </c>
      <c r="AA25" s="4" t="e">
        <f>WORKDAY.INTL("2020-1-1","2024-1-1",L25)</f>
        <v>#NUM!</v>
      </c>
      <c r="AB25" s="4" t="e">
        <f t="shared" si="27"/>
        <v>#NUM!</v>
      </c>
      <c r="AC25" s="4" t="e">
        <f t="shared" si="27"/>
        <v>#NUM!</v>
      </c>
      <c r="AD25" s="4" t="e">
        <f t="shared" si="27"/>
        <v>#NUM!</v>
      </c>
      <c r="AE25" s="4" t="e">
        <f t="shared" si="27"/>
        <v>#NUM!</v>
      </c>
      <c r="AF25" s="4" t="e">
        <f t="shared" si="27"/>
        <v>#NUM!</v>
      </c>
      <c r="AG25" s="4" t="e">
        <f t="array" ref="AG25">WORKDAY.INTL("2020-1-1","2024-1-1",C25:I25)</f>
        <v>#NUM!</v>
      </c>
      <c r="AH25" s="4">
        <f t="array" ref="AH25:AW25">WORKDAY.INTL("2020-1-1","2024-1-1",E25:F25)</f>
        <v>107239</v>
      </c>
      <c r="AI25" s="4">
        <v>96672</v>
      </c>
      <c r="AJ25" s="4" t="e">
        <v>#N/A</v>
      </c>
      <c r="AK25" s="4" t="e">
        <v>#N/A</v>
      </c>
      <c r="AL25" s="4" t="e">
        <v>#N/A</v>
      </c>
      <c r="AM25" s="4" t="e">
        <v>#N/A</v>
      </c>
      <c r="AN25" s="4" t="e">
        <v>#N/A</v>
      </c>
      <c r="AO25" s="4" t="e">
        <v>#N/A</v>
      </c>
      <c r="AP25" s="4" t="e">
        <v>#N/A</v>
      </c>
      <c r="AQ25" s="4" t="e">
        <v>#N/A</v>
      </c>
      <c r="AR25" s="4" t="e">
        <v>#N/A</v>
      </c>
      <c r="AS25" s="4" t="e">
        <v>#N/A</v>
      </c>
      <c r="AT25" s="4" t="e">
        <v>#N/A</v>
      </c>
      <c r="AU25" s="4" t="e">
        <v>#N/A</v>
      </c>
      <c r="AV25" s="4" t="e">
        <v>#N/A</v>
      </c>
      <c r="AW25" s="4" t="e">
        <v>#N/A</v>
      </c>
    </row>
    <row r="26" spans="1:49" x14ac:dyDescent="0.15">
      <c r="A26" s="35" t="s">
        <v>438</v>
      </c>
      <c r="B26" s="36" t="s">
        <v>541</v>
      </c>
      <c r="C26" s="4">
        <v>1987</v>
      </c>
      <c r="D26" s="4">
        <v>8</v>
      </c>
      <c r="E26" s="4">
        <v>1</v>
      </c>
      <c r="F26" s="4">
        <v>0.7</v>
      </c>
      <c r="G26" s="4">
        <v>0</v>
      </c>
      <c r="H26" s="6"/>
      <c r="I26" s="16" t="s">
        <v>442</v>
      </c>
      <c r="J26" s="6" t="b">
        <v>1</v>
      </c>
      <c r="K26" s="6" t="e">
        <v>#VALUE!</v>
      </c>
      <c r="L26" s="6" t="e">
        <v>#N/A</v>
      </c>
      <c r="M26" s="7" t="e">
        <v>#DIV/0!</v>
      </c>
      <c r="N26" s="7" t="e">
        <v>#NAME?</v>
      </c>
      <c r="O26" s="7" t="e">
        <v>#NULL!</v>
      </c>
      <c r="P26" s="7" t="e">
        <v>#NUM!</v>
      </c>
      <c r="Q26" s="7" t="e">
        <v>#REF!</v>
      </c>
      <c r="R26" s="6">
        <f>YEAR(C26)</f>
        <v>1905</v>
      </c>
      <c r="S26" s="6">
        <f t="shared" ref="S26:AF26" si="28">YEAR(D26)</f>
        <v>1900</v>
      </c>
      <c r="T26" s="6">
        <f t="shared" si="28"/>
        <v>1900</v>
      </c>
      <c r="U26" s="6">
        <f t="shared" si="28"/>
        <v>1900</v>
      </c>
      <c r="V26" s="6">
        <f t="shared" si="28"/>
        <v>1900</v>
      </c>
      <c r="W26" s="6">
        <f t="shared" si="28"/>
        <v>1900</v>
      </c>
      <c r="X26" s="6">
        <f t="shared" si="28"/>
        <v>1901</v>
      </c>
      <c r="Y26" s="6">
        <f t="shared" si="28"/>
        <v>1900</v>
      </c>
      <c r="Z26" s="6" t="e">
        <f t="shared" si="28"/>
        <v>#VALUE!</v>
      </c>
      <c r="AA26" s="6" t="e">
        <f t="shared" si="28"/>
        <v>#N/A</v>
      </c>
      <c r="AB26" s="6" t="e">
        <f t="shared" si="28"/>
        <v>#DIV/0!</v>
      </c>
      <c r="AC26" s="6" t="e">
        <f t="shared" si="28"/>
        <v>#NAME?</v>
      </c>
      <c r="AD26" s="6" t="e">
        <f t="shared" si="28"/>
        <v>#NULL!</v>
      </c>
      <c r="AE26" s="6" t="e">
        <f t="shared" si="28"/>
        <v>#NUM!</v>
      </c>
      <c r="AF26" s="6" t="e">
        <f t="shared" si="28"/>
        <v>#REF!</v>
      </c>
      <c r="AG26" s="6">
        <f t="array" ref="AG26">YEAR(I26:J26)</f>
        <v>1901</v>
      </c>
      <c r="AH26" s="6">
        <f t="array" ref="AH26:AW26">YEAR(C26:Q26)</f>
        <v>1905</v>
      </c>
      <c r="AI26" s="6">
        <v>1900</v>
      </c>
      <c r="AJ26" s="6">
        <v>1900</v>
      </c>
      <c r="AK26" s="6">
        <v>1900</v>
      </c>
      <c r="AL26" s="6">
        <v>1900</v>
      </c>
      <c r="AM26" s="6">
        <v>1900</v>
      </c>
      <c r="AN26" s="6">
        <v>1901</v>
      </c>
      <c r="AO26" s="6">
        <v>1900</v>
      </c>
      <c r="AP26" s="6" t="e">
        <v>#VALUE!</v>
      </c>
      <c r="AQ26" s="6" t="e">
        <v>#N/A</v>
      </c>
      <c r="AR26" s="6" t="e">
        <v>#DIV/0!</v>
      </c>
      <c r="AS26" s="6" t="e">
        <v>#NAME?</v>
      </c>
      <c r="AT26" s="6" t="e">
        <v>#NULL!</v>
      </c>
      <c r="AU26" s="6" t="e">
        <v>#NUM!</v>
      </c>
      <c r="AV26" s="6" t="e">
        <v>#REF!</v>
      </c>
      <c r="AW26" s="4" t="e">
        <v>#N/A</v>
      </c>
    </row>
    <row r="27" spans="1:49" x14ac:dyDescent="0.15">
      <c r="A27" s="35" t="s">
        <v>439</v>
      </c>
      <c r="B27" s="36" t="s">
        <v>541</v>
      </c>
      <c r="C27" s="4">
        <v>1987</v>
      </c>
      <c r="D27" s="4">
        <v>1</v>
      </c>
      <c r="E27" s="4">
        <v>2.9</v>
      </c>
      <c r="F27" s="4">
        <v>3</v>
      </c>
      <c r="G27" s="4">
        <v>4</v>
      </c>
      <c r="I27" s="16" t="s">
        <v>539</v>
      </c>
      <c r="J27" s="4" t="b">
        <v>1</v>
      </c>
      <c r="K27" s="6" t="e">
        <v>#VALUE!</v>
      </c>
      <c r="L27" s="6" t="e">
        <v>#N/A</v>
      </c>
      <c r="M27" s="7" t="e">
        <v>#DIV/0!</v>
      </c>
      <c r="N27" s="7" t="e">
        <v>#NAME?</v>
      </c>
      <c r="O27" s="7" t="e">
        <v>#NULL!</v>
      </c>
      <c r="P27" s="7" t="e">
        <v>#NUM!</v>
      </c>
      <c r="Q27" s="7" t="e">
        <v>#REF!</v>
      </c>
      <c r="R27" s="4">
        <f>YEARFRAC(C27,345,D27)</f>
        <v>4.4965769055225921</v>
      </c>
      <c r="S27" s="4">
        <f>YEARFRAC(D27,345,E27)</f>
        <v>0.9555555555555556</v>
      </c>
      <c r="T27" s="4">
        <f>YEARFRAC(E27,345,"3")</f>
        <v>0.9397260273972603</v>
      </c>
      <c r="U27" s="4" t="e">
        <f>YEARFRAC(F27,345,J27)</f>
        <v>#VALUE!</v>
      </c>
      <c r="V27" s="4">
        <f>YEARFRAC(G27,345,H27)</f>
        <v>0.93333333333333335</v>
      </c>
      <c r="W27" s="4" t="e">
        <f>YEARFRAC(H27,345,I27)</f>
        <v>#NUM!</v>
      </c>
      <c r="X27" s="4">
        <f>YEARFRAC(I27,345,G27)</f>
        <v>86.058333333333337</v>
      </c>
      <c r="Y27" s="4" t="e">
        <f>YEARFRAC(J27,345,D27)</f>
        <v>#VALUE!</v>
      </c>
      <c r="Z27" s="4" t="e">
        <f t="shared" ref="Z27:AF27" si="29">YEARFRAC(K27,345,L27)</f>
        <v>#N/A</v>
      </c>
      <c r="AA27" s="4" t="e">
        <f t="shared" si="29"/>
        <v>#DIV/0!</v>
      </c>
      <c r="AB27" s="4" t="e">
        <f t="shared" si="29"/>
        <v>#NAME?</v>
      </c>
      <c r="AC27" s="4" t="e">
        <f t="shared" si="29"/>
        <v>#NULL!</v>
      </c>
      <c r="AD27" s="4" t="e">
        <f t="shared" si="29"/>
        <v>#NUM!</v>
      </c>
      <c r="AE27" s="4" t="e">
        <f t="shared" si="29"/>
        <v>#REF!</v>
      </c>
      <c r="AF27" s="4" t="e">
        <f t="shared" si="29"/>
        <v>#REF!</v>
      </c>
      <c r="AG27" s="6" t="e">
        <f>YEARFRAC(C27:D27,E27:F27,D27:E27)</f>
        <v>#VALUE!</v>
      </c>
      <c r="AH27" s="4" t="e">
        <f t="array" ref="AH27:AW27">YEARFRAC(C27:E27,D27:F27,E27:G27)</f>
        <v>#VALUE!</v>
      </c>
      <c r="AI27" s="4" t="e">
        <v>#VALUE!</v>
      </c>
      <c r="AJ27" s="4" t="e">
        <v>#VALUE!</v>
      </c>
      <c r="AK27" s="4" t="e">
        <v>#VALUE!</v>
      </c>
      <c r="AL27" s="4" t="e">
        <v>#VALUE!</v>
      </c>
      <c r="AM27" s="4" t="e">
        <v>#VALUE!</v>
      </c>
      <c r="AN27" s="4" t="e">
        <v>#VALUE!</v>
      </c>
      <c r="AO27" s="4" t="e">
        <v>#VALUE!</v>
      </c>
      <c r="AP27" s="4" t="e">
        <v>#VALUE!</v>
      </c>
      <c r="AQ27" s="4" t="e">
        <v>#VALUE!</v>
      </c>
      <c r="AR27" s="4" t="e">
        <v>#VALUE!</v>
      </c>
      <c r="AS27" s="4" t="e">
        <v>#VALUE!</v>
      </c>
      <c r="AT27" s="4" t="e">
        <v>#VALUE!</v>
      </c>
      <c r="AU27" s="4" t="e">
        <v>#VALUE!</v>
      </c>
      <c r="AV27" s="4" t="e">
        <v>#VALUE!</v>
      </c>
      <c r="AW27" s="4" t="e">
        <v>#VALUE!</v>
      </c>
    </row>
    <row r="28" spans="1:49" x14ac:dyDescent="0.15">
      <c r="A28" s="40"/>
      <c r="E28" s="19"/>
    </row>
    <row r="29" spans="1:49" x14ac:dyDescent="0.15">
      <c r="A29" s="44"/>
      <c r="C29" s="17"/>
    </row>
    <row r="30" spans="1:49" x14ac:dyDescent="0.15">
      <c r="A30" s="40"/>
      <c r="C30" s="27"/>
      <c r="L30" s="24"/>
      <c r="N30" s="19"/>
      <c r="O30" s="19"/>
      <c r="P30" s="23"/>
    </row>
    <row r="31" spans="1:49" x14ac:dyDescent="0.15">
      <c r="A31" s="40"/>
      <c r="C31" s="17"/>
    </row>
    <row r="32" spans="1:49" ht="15" x14ac:dyDescent="0.2">
      <c r="C32" s="17"/>
      <c r="D32" s="17"/>
      <c r="E32" s="18"/>
      <c r="I32" s="25"/>
      <c r="J32" s="25"/>
    </row>
    <row r="33" spans="3:5" x14ac:dyDescent="0.15">
      <c r="C33" s="17"/>
      <c r="D33" s="17"/>
      <c r="E33" s="18"/>
    </row>
    <row r="34" spans="3:5" x14ac:dyDescent="0.15">
      <c r="C34" s="17"/>
      <c r="D34" s="17"/>
      <c r="E34" s="18"/>
    </row>
  </sheetData>
  <mergeCells count="7">
    <mergeCell ref="C1:Q1"/>
    <mergeCell ref="R1:AW1"/>
    <mergeCell ref="C2:G2"/>
    <mergeCell ref="K2:Q2"/>
    <mergeCell ref="R2:V2"/>
    <mergeCell ref="Z2:AF2"/>
    <mergeCell ref="AH2:AW2"/>
  </mergeCells>
  <phoneticPr fontId="5" type="noConversion"/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rgb="FF00B050"/>
  </sheetPr>
  <dimension ref="A1:BK56"/>
  <sheetViews>
    <sheetView topLeftCell="A33" zoomScale="184" zoomScaleNormal="100" workbookViewId="0">
      <selection activeCell="B1" sqref="B1"/>
    </sheetView>
  </sheetViews>
  <sheetFormatPr baseColWidth="10" defaultColWidth="10.83203125" defaultRowHeight="11" x14ac:dyDescent="0.15"/>
  <cols>
    <col min="1" max="1" width="9" style="42" bestFit="1" customWidth="1"/>
    <col min="2" max="2" width="5.33203125" style="41" bestFit="1" customWidth="1"/>
    <col min="3" max="3" width="8.33203125" style="4" bestFit="1" customWidth="1"/>
    <col min="4" max="4" width="10.33203125" style="4" bestFit="1" customWidth="1"/>
    <col min="5" max="5" width="4.1640625" style="4" bestFit="1" customWidth="1"/>
    <col min="6" max="6" width="10.83203125" style="4" bestFit="1" customWidth="1"/>
    <col min="7" max="7" width="8.6640625" style="4" bestFit="1" customWidth="1"/>
    <col min="8" max="9" width="5.6640625" style="4" bestFit="1" customWidth="1"/>
    <col min="10" max="10" width="4.1640625" style="4" bestFit="1" customWidth="1"/>
    <col min="11" max="11" width="5.83203125" style="4" bestFit="1" customWidth="1"/>
    <col min="12" max="12" width="3.83203125" style="4" bestFit="1" customWidth="1"/>
    <col min="13" max="13" width="9.5" style="4" bestFit="1" customWidth="1"/>
    <col min="14" max="14" width="5.83203125" style="4" bestFit="1" customWidth="1"/>
    <col min="15" max="15" width="4.83203125" style="4" bestFit="1" customWidth="1"/>
    <col min="16" max="16" width="5" style="4" bestFit="1" customWidth="1"/>
    <col min="17" max="17" width="4.1640625" style="4" bestFit="1" customWidth="1"/>
    <col min="18" max="18" width="7.1640625" style="4" bestFit="1" customWidth="1"/>
    <col min="19" max="19" width="10.83203125" style="4" bestFit="1" customWidth="1"/>
    <col min="20" max="20" width="9.1640625" style="4" bestFit="1" customWidth="1"/>
    <col min="21" max="22" width="7.83203125" style="4" bestFit="1" customWidth="1"/>
    <col min="23" max="23" width="5.6640625" style="4" bestFit="1" customWidth="1"/>
    <col min="24" max="24" width="10" style="4" bestFit="1" customWidth="1"/>
    <col min="25" max="26" width="5.83203125" style="4" bestFit="1" customWidth="1"/>
    <col min="27" max="27" width="5.1640625" style="4" bestFit="1" customWidth="1"/>
    <col min="28" max="28" width="5.33203125" style="4" bestFit="1" customWidth="1"/>
    <col min="29" max="29" width="5.83203125" style="4" bestFit="1" customWidth="1"/>
    <col min="30" max="30" width="4.83203125" style="4" bestFit="1" customWidth="1"/>
    <col min="31" max="31" width="5" style="4" bestFit="1" customWidth="1"/>
    <col min="32" max="32" width="4.1640625" style="4" bestFit="1" customWidth="1"/>
    <col min="33" max="33" width="9.83203125" style="4" bestFit="1" customWidth="1"/>
    <col min="34" max="34" width="7.33203125" style="4" bestFit="1" customWidth="1"/>
    <col min="35" max="36" width="6" style="4" bestFit="1" customWidth="1"/>
    <col min="37" max="42" width="5.83203125" style="4" bestFit="1" customWidth="1"/>
    <col min="43" max="44" width="5.6640625" style="4" bestFit="1" customWidth="1"/>
    <col min="45" max="45" width="5.83203125" style="4" bestFit="1" customWidth="1"/>
    <col min="46" max="49" width="5.6640625" style="4" bestFit="1" customWidth="1"/>
    <col min="50" max="16384" width="10.83203125" style="4"/>
  </cols>
  <sheetData>
    <row r="1" spans="1:63" x14ac:dyDescent="0.15">
      <c r="A1" s="42" t="s">
        <v>542</v>
      </c>
      <c r="B1" s="80">
        <f>COUNTIF(B3:B66,"=DONE")/COUNTA(A3:A66)</f>
        <v>1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63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63" x14ac:dyDescent="0.15">
      <c r="A3" s="35" t="s">
        <v>356</v>
      </c>
      <c r="B3" s="36" t="s">
        <v>541</v>
      </c>
      <c r="C3" s="4">
        <v>0</v>
      </c>
      <c r="D3" s="4">
        <v>10000000</v>
      </c>
      <c r="E3" s="4">
        <v>2.2999999999999998</v>
      </c>
      <c r="F3" s="4">
        <v>2</v>
      </c>
      <c r="G3" s="4">
        <v>-1</v>
      </c>
      <c r="H3" s="6"/>
      <c r="I3" s="16" t="s">
        <v>608</v>
      </c>
      <c r="J3" s="6" t="b">
        <v>1</v>
      </c>
      <c r="K3" s="6" t="e">
        <f>#VALUE!</f>
        <v>#VALUE!</v>
      </c>
      <c r="L3" s="6" t="e">
        <v>#N/A</v>
      </c>
      <c r="M3" s="7" t="e">
        <v>#DIV/0!</v>
      </c>
      <c r="N3" s="7" t="e">
        <v>#NAME?</v>
      </c>
      <c r="O3" s="7" t="e">
        <v>#NULL!</v>
      </c>
      <c r="P3" s="7" t="e">
        <v>#NUM!</v>
      </c>
      <c r="Q3" s="7" t="e">
        <v>#REF!</v>
      </c>
      <c r="R3" s="4">
        <f t="shared" ref="R3:W3" si="0">BESSELI(C3,D3)</f>
        <v>0</v>
      </c>
      <c r="S3" s="4" t="e">
        <f t="shared" si="0"/>
        <v>#NUM!</v>
      </c>
      <c r="T3" s="4">
        <f t="shared" si="0"/>
        <v>1.0054316669125958</v>
      </c>
      <c r="U3" s="4" t="e">
        <f t="shared" si="0"/>
        <v>#NUM!</v>
      </c>
      <c r="V3" s="4">
        <f t="shared" si="0"/>
        <v>1.2660658480342601</v>
      </c>
      <c r="W3" s="4">
        <f t="shared" si="0"/>
        <v>0</v>
      </c>
      <c r="X3" s="4">
        <f>BESSELI(I3,F3)</f>
        <v>2.7882984611029293</v>
      </c>
      <c r="Y3" s="4" t="e">
        <f>BESSELI(J3,1)</f>
        <v>#VALUE!</v>
      </c>
      <c r="Z3" s="4" t="e">
        <f t="shared" ref="Z3:AF3" si="1">BESSELI(K3,L3)</f>
        <v>#VALUE!</v>
      </c>
      <c r="AA3" s="4" t="e">
        <f t="shared" si="1"/>
        <v>#N/A</v>
      </c>
      <c r="AB3" s="4" t="e">
        <f t="shared" si="1"/>
        <v>#DIV/0!</v>
      </c>
      <c r="AC3" s="4" t="e">
        <f t="shared" si="1"/>
        <v>#NAME?</v>
      </c>
      <c r="AD3" s="4" t="e">
        <f t="shared" si="1"/>
        <v>#NULL!</v>
      </c>
      <c r="AE3" s="4" t="e">
        <f t="shared" si="1"/>
        <v>#NUM!</v>
      </c>
      <c r="AF3" s="4" t="e">
        <f t="shared" si="1"/>
        <v>#REF!</v>
      </c>
      <c r="AG3" s="4" t="e">
        <f>BESSELI(C3:D3,E3)</f>
        <v>#VALUE!</v>
      </c>
      <c r="AH3" s="4" t="e">
        <f t="array" ref="AH3:AI3">BESSELI(C3:D3,E3)</f>
        <v>#VALUE!</v>
      </c>
      <c r="AI3" s="4" t="e">
        <v>#VALUE!</v>
      </c>
      <c r="AJ3" s="4" t="e">
        <f t="array" ref="AJ3:AK3">BESSELI(C3:D3,E3:F3)</f>
        <v>#VALUE!</v>
      </c>
      <c r="AK3" s="4" t="e">
        <v>#VALUE!</v>
      </c>
      <c r="AL3" s="4" t="e">
        <f t="array" ref="AL3:AM3">BESSELI(N3:O3,E3)</f>
        <v>#VALUE!</v>
      </c>
      <c r="AM3" s="4" t="e">
        <v>#VALUE!</v>
      </c>
      <c r="AN3" s="4" t="e">
        <f>BESSELI(N3:O3,M3)</f>
        <v>#VALUE!</v>
      </c>
      <c r="AO3" s="4" t="e">
        <f>BESSELI(O3,M3:N3)</f>
        <v>#NULL!</v>
      </c>
      <c r="AP3" s="4" t="e">
        <f>BESSELI("t",M3:N3)</f>
        <v>#VALUE!</v>
      </c>
    </row>
    <row r="4" spans="1:63" x14ac:dyDescent="0.15">
      <c r="A4" s="35" t="s">
        <v>357</v>
      </c>
      <c r="B4" s="36" t="s">
        <v>541</v>
      </c>
      <c r="C4" s="4">
        <v>0</v>
      </c>
      <c r="D4" s="4">
        <v>10000000</v>
      </c>
      <c r="E4" s="4">
        <v>2.2999999999999998</v>
      </c>
      <c r="F4" s="4">
        <v>2</v>
      </c>
      <c r="G4" s="4">
        <v>-1</v>
      </c>
      <c r="H4" s="6"/>
      <c r="I4" s="16" t="s">
        <v>609</v>
      </c>
      <c r="J4" s="6" t="b">
        <v>1</v>
      </c>
      <c r="K4" s="6" t="e">
        <f>#VALUE!</f>
        <v>#VALUE!</v>
      </c>
      <c r="L4" s="6" t="e">
        <v>#N/A</v>
      </c>
      <c r="M4" s="7" t="e">
        <v>#DIV/0!</v>
      </c>
      <c r="N4" s="7" t="e">
        <v>#NAME?</v>
      </c>
      <c r="O4" s="7" t="e">
        <v>#NULL!</v>
      </c>
      <c r="P4" s="7" t="e">
        <v>#NUM!</v>
      </c>
      <c r="Q4" s="7" t="e">
        <v>#REF!</v>
      </c>
      <c r="R4" s="4">
        <f>BESSELJ(C4,D4)</f>
        <v>0</v>
      </c>
      <c r="S4" s="4">
        <f t="shared" ref="S4:AE4" si="2">BESSELJ(D4,E4)</f>
        <v>8.6837395672949221E-5</v>
      </c>
      <c r="T4" s="4">
        <f t="shared" si="2"/>
        <v>0.41391458970875217</v>
      </c>
      <c r="U4" s="4" t="e">
        <f t="shared" si="2"/>
        <v>#NUM!</v>
      </c>
      <c r="V4" s="4">
        <f t="shared" si="2"/>
        <v>0.76519768375485919</v>
      </c>
      <c r="W4" s="4">
        <f t="shared" si="2"/>
        <v>0</v>
      </c>
      <c r="X4" s="4">
        <f>BESSELI(I4,F4)</f>
        <v>3.1026553577918148</v>
      </c>
      <c r="Y4" s="4" t="e">
        <f>BESSELJ(J5,J4)</f>
        <v>#VALUE!</v>
      </c>
      <c r="Z4" s="4" t="e">
        <f t="shared" si="2"/>
        <v>#VALUE!</v>
      </c>
      <c r="AA4" s="4" t="e">
        <f>BESSELJ(L4,M4)</f>
        <v>#N/A</v>
      </c>
      <c r="AB4" s="4" t="e">
        <f t="shared" si="2"/>
        <v>#DIV/0!</v>
      </c>
      <c r="AC4" s="4" t="e">
        <f t="shared" si="2"/>
        <v>#NAME?</v>
      </c>
      <c r="AD4" s="4" t="e">
        <f t="shared" si="2"/>
        <v>#NULL!</v>
      </c>
      <c r="AE4" s="4" t="e">
        <f t="shared" si="2"/>
        <v>#NUM!</v>
      </c>
      <c r="AF4" s="4" t="e">
        <f>BESSELJ(Q4,R4)</f>
        <v>#REF!</v>
      </c>
      <c r="AG4" s="4" t="e">
        <f>BESSELJ(C4:D4,E4)</f>
        <v>#VALUE!</v>
      </c>
      <c r="AH4" s="4" t="e">
        <f t="array" ref="AH4:AW4">BESSELJ(C4:D4,E4)</f>
        <v>#VALUE!</v>
      </c>
      <c r="AI4" s="4" t="e">
        <v>#VALUE!</v>
      </c>
      <c r="AJ4" s="4" t="e">
        <v>#VALUE!</v>
      </c>
      <c r="AK4" s="4" t="e">
        <v>#VALUE!</v>
      </c>
      <c r="AL4" s="4" t="e">
        <v>#VALUE!</v>
      </c>
      <c r="AM4" s="4" t="e">
        <v>#VALUE!</v>
      </c>
      <c r="AN4" s="4" t="e">
        <v>#VALUE!</v>
      </c>
      <c r="AO4" s="4" t="e">
        <v>#VALUE!</v>
      </c>
      <c r="AP4" s="4" t="e">
        <v>#VALUE!</v>
      </c>
      <c r="AQ4" s="4" t="e">
        <v>#VALUE!</v>
      </c>
      <c r="AR4" s="4" t="e">
        <v>#VALUE!</v>
      </c>
      <c r="AS4" s="4" t="e">
        <v>#VALUE!</v>
      </c>
      <c r="AT4" s="4" t="e">
        <v>#VALUE!</v>
      </c>
      <c r="AU4" s="4" t="e">
        <v>#VALUE!</v>
      </c>
      <c r="AV4" s="4" t="e">
        <v>#VALUE!</v>
      </c>
      <c r="AW4" s="4" t="e">
        <v>#VALUE!</v>
      </c>
    </row>
    <row r="5" spans="1:63" x14ac:dyDescent="0.15">
      <c r="A5" s="35" t="s">
        <v>358</v>
      </c>
      <c r="B5" s="36" t="s">
        <v>541</v>
      </c>
      <c r="C5" s="4">
        <v>0</v>
      </c>
      <c r="D5" s="4">
        <v>10000000</v>
      </c>
      <c r="E5" s="4">
        <v>2.2999999999999998</v>
      </c>
      <c r="F5" s="4">
        <v>2</v>
      </c>
      <c r="G5" s="4">
        <v>-1</v>
      </c>
      <c r="H5" s="6"/>
      <c r="I5" s="16" t="s">
        <v>610</v>
      </c>
      <c r="J5" s="6" t="b">
        <v>1</v>
      </c>
      <c r="K5" s="6" t="e">
        <f>#VALUE!</f>
        <v>#VALUE!</v>
      </c>
      <c r="L5" s="6" t="e">
        <v>#N/A</v>
      </c>
      <c r="M5" s="7" t="e">
        <v>#DIV/0!</v>
      </c>
      <c r="N5" s="7" t="e">
        <v>#NAME?</v>
      </c>
      <c r="O5" s="7" t="e">
        <v>#NULL!</v>
      </c>
      <c r="P5" s="7" t="e">
        <v>#NUM!</v>
      </c>
      <c r="Q5" s="7" t="e">
        <v>#REF!</v>
      </c>
      <c r="R5" s="4" t="e">
        <f>BESSELK(C5,D5)</f>
        <v>#NUM!</v>
      </c>
      <c r="S5" s="4">
        <f t="shared" ref="S5:AE5" si="3">BESSELK(D5,E5)</f>
        <v>0</v>
      </c>
      <c r="T5" s="4">
        <f t="shared" si="3"/>
        <v>0.1617333633782021</v>
      </c>
      <c r="U5" s="4" t="e">
        <f t="shared" si="3"/>
        <v>#NUM!</v>
      </c>
      <c r="V5" s="4" t="e">
        <f t="shared" si="3"/>
        <v>#NUM!</v>
      </c>
      <c r="W5" s="4" t="e">
        <f>BESSELK(H5,I5)</f>
        <v>#NUM!</v>
      </c>
      <c r="X5" s="4">
        <f>BESSELI(I5,F5)</f>
        <v>3.4494589069895718</v>
      </c>
      <c r="Y5" s="4" t="e">
        <f t="shared" si="3"/>
        <v>#VALUE!</v>
      </c>
      <c r="Z5" s="4" t="e">
        <f t="shared" si="3"/>
        <v>#VALUE!</v>
      </c>
      <c r="AA5" s="4" t="e">
        <f t="shared" si="3"/>
        <v>#N/A</v>
      </c>
      <c r="AB5" s="4" t="e">
        <f t="shared" si="3"/>
        <v>#DIV/0!</v>
      </c>
      <c r="AC5" s="4" t="e">
        <f t="shared" si="3"/>
        <v>#NAME?</v>
      </c>
      <c r="AD5" s="4" t="e">
        <f t="shared" si="3"/>
        <v>#NULL!</v>
      </c>
      <c r="AE5" s="4" t="e">
        <f t="shared" si="3"/>
        <v>#NUM!</v>
      </c>
      <c r="AF5" s="4" t="e">
        <f>BESSELK(Q5,R5)</f>
        <v>#REF!</v>
      </c>
      <c r="AG5" s="4" t="e">
        <f>BESSELK(C5:D5,E5)</f>
        <v>#VALUE!</v>
      </c>
      <c r="AH5" s="4" t="e">
        <f t="array" ref="AH5:AW5">BESSELK(C5:D5,E5)</f>
        <v>#VALUE!</v>
      </c>
      <c r="AI5" s="4" t="e">
        <v>#VALUE!</v>
      </c>
      <c r="AJ5" s="4" t="e">
        <v>#VALUE!</v>
      </c>
      <c r="AK5" s="4" t="e">
        <v>#VALUE!</v>
      </c>
      <c r="AL5" s="4" t="e">
        <v>#VALUE!</v>
      </c>
      <c r="AM5" s="4" t="e">
        <v>#VALUE!</v>
      </c>
      <c r="AN5" s="4" t="e">
        <v>#VALUE!</v>
      </c>
      <c r="AO5" s="4" t="e">
        <v>#VALUE!</v>
      </c>
      <c r="AP5" s="4" t="e">
        <v>#VALUE!</v>
      </c>
      <c r="AQ5" s="4" t="e">
        <v>#VALUE!</v>
      </c>
      <c r="AR5" s="4" t="e">
        <v>#VALUE!</v>
      </c>
      <c r="AS5" s="4" t="e">
        <v>#VALUE!</v>
      </c>
      <c r="AT5" s="4" t="e">
        <v>#VALUE!</v>
      </c>
      <c r="AU5" s="4" t="e">
        <v>#VALUE!</v>
      </c>
      <c r="AV5" s="4" t="e">
        <v>#VALUE!</v>
      </c>
      <c r="AW5" s="4" t="e">
        <v>#VALUE!</v>
      </c>
    </row>
    <row r="6" spans="1:63" x14ac:dyDescent="0.15">
      <c r="A6" s="35" t="s">
        <v>359</v>
      </c>
      <c r="B6" s="36" t="s">
        <v>541</v>
      </c>
      <c r="C6" s="4">
        <v>0</v>
      </c>
      <c r="D6" s="4">
        <v>10000000</v>
      </c>
      <c r="E6" s="4">
        <v>2.2999999999999998</v>
      </c>
      <c r="F6" s="4">
        <v>2</v>
      </c>
      <c r="G6" s="4">
        <v>-1</v>
      </c>
      <c r="H6" s="6"/>
      <c r="I6" s="16" t="s">
        <v>611</v>
      </c>
      <c r="J6" s="6" t="b">
        <v>1</v>
      </c>
      <c r="K6" s="6" t="e">
        <f>#VALUE!</f>
        <v>#VALUE!</v>
      </c>
      <c r="L6" s="6" t="e">
        <v>#N/A</v>
      </c>
      <c r="M6" s="7" t="e">
        <v>#DIV/0!</v>
      </c>
      <c r="N6" s="7" t="e">
        <v>#NAME?</v>
      </c>
      <c r="O6" s="7" t="e">
        <v>#NULL!</v>
      </c>
      <c r="P6" s="7" t="e">
        <v>#NUM!</v>
      </c>
      <c r="Q6" s="7" t="e">
        <v>#REF!</v>
      </c>
      <c r="R6" s="4" t="e">
        <f>BESSELY(C6,D6)</f>
        <v>#NUM!</v>
      </c>
      <c r="S6" s="4">
        <f t="shared" ref="S6:AE6" si="4">BESSELY(D6,E6)</f>
        <v>-2.3689922733673244E-4</v>
      </c>
      <c r="T6" s="4">
        <f t="shared" si="4"/>
        <v>-0.47261685667679282</v>
      </c>
      <c r="U6" s="4" t="e">
        <f t="shared" si="4"/>
        <v>#NUM!</v>
      </c>
      <c r="V6" s="4" t="e">
        <f t="shared" si="4"/>
        <v>#NUM!</v>
      </c>
      <c r="W6" s="4" t="e">
        <f t="shared" si="4"/>
        <v>#NUM!</v>
      </c>
      <c r="X6" s="4">
        <f>BESSELI(I6,F6)</f>
        <v>3.83201207162936</v>
      </c>
      <c r="Y6" s="4" t="e">
        <f t="shared" si="4"/>
        <v>#VALUE!</v>
      </c>
      <c r="Z6" s="4" t="e">
        <f t="shared" si="4"/>
        <v>#VALUE!</v>
      </c>
      <c r="AA6" s="4" t="e">
        <f t="shared" si="4"/>
        <v>#N/A</v>
      </c>
      <c r="AB6" s="4" t="e">
        <f t="shared" si="4"/>
        <v>#DIV/0!</v>
      </c>
      <c r="AC6" s="4" t="e">
        <f t="shared" si="4"/>
        <v>#NAME?</v>
      </c>
      <c r="AD6" s="4" t="e">
        <f t="shared" si="4"/>
        <v>#NULL!</v>
      </c>
      <c r="AE6" s="4" t="e">
        <f t="shared" si="4"/>
        <v>#NUM!</v>
      </c>
      <c r="AF6" s="4" t="e">
        <f>BESSELY(Q6,R6)</f>
        <v>#REF!</v>
      </c>
      <c r="AG6" s="4" t="e">
        <f>BESSELY(C6:D6,E6)</f>
        <v>#VALUE!</v>
      </c>
      <c r="AH6" s="4" t="e">
        <f t="array" ref="AH6:AW6">BESSELY(C6:D6,E6)</f>
        <v>#VALUE!</v>
      </c>
      <c r="AI6" s="4" t="e">
        <v>#VALUE!</v>
      </c>
      <c r="AJ6" s="4" t="e">
        <v>#VALUE!</v>
      </c>
      <c r="AK6" s="4" t="e">
        <v>#VALUE!</v>
      </c>
      <c r="AL6" s="4" t="e">
        <v>#VALUE!</v>
      </c>
      <c r="AM6" s="4" t="e">
        <v>#VALUE!</v>
      </c>
      <c r="AN6" s="4" t="e">
        <v>#VALUE!</v>
      </c>
      <c r="AO6" s="4" t="e">
        <v>#VALUE!</v>
      </c>
      <c r="AP6" s="4" t="e">
        <v>#VALUE!</v>
      </c>
      <c r="AQ6" s="4" t="e">
        <v>#VALUE!</v>
      </c>
      <c r="AR6" s="4" t="e">
        <v>#VALUE!</v>
      </c>
      <c r="AS6" s="4" t="e">
        <v>#VALUE!</v>
      </c>
      <c r="AT6" s="4" t="e">
        <v>#VALUE!</v>
      </c>
      <c r="AU6" s="4" t="e">
        <v>#VALUE!</v>
      </c>
      <c r="AV6" s="4" t="e">
        <v>#VALUE!</v>
      </c>
      <c r="AW6" s="4" t="e">
        <v>#VALUE!</v>
      </c>
    </row>
    <row r="7" spans="1:63" x14ac:dyDescent="0.15">
      <c r="A7" s="35" t="s">
        <v>360</v>
      </c>
      <c r="B7" s="36" t="s">
        <v>541</v>
      </c>
      <c r="C7" s="4">
        <v>0</v>
      </c>
      <c r="D7" s="4">
        <v>111111111</v>
      </c>
      <c r="E7" s="4">
        <v>2.2999999999999998</v>
      </c>
      <c r="F7" s="4">
        <v>1000000000</v>
      </c>
      <c r="G7" s="4">
        <v>-1</v>
      </c>
      <c r="H7" s="6"/>
      <c r="I7" s="6" t="s">
        <v>410</v>
      </c>
      <c r="J7" s="6" t="b">
        <v>1</v>
      </c>
      <c r="K7" s="6" t="e">
        <f>#VALUE!</f>
        <v>#VALUE!</v>
      </c>
      <c r="L7" s="6" t="e">
        <v>#N/A</v>
      </c>
      <c r="M7" s="7" t="e">
        <v>#DIV/0!</v>
      </c>
      <c r="N7" s="7" t="e">
        <v>#NAME?</v>
      </c>
      <c r="O7" s="7" t="e">
        <v>#NULL!</v>
      </c>
      <c r="P7" s="7" t="e">
        <v>#NUM!</v>
      </c>
      <c r="Q7" s="7" t="e">
        <v>#REF!</v>
      </c>
      <c r="R7" s="6">
        <f>BIN2DEC(C7)</f>
        <v>0</v>
      </c>
      <c r="S7" s="6">
        <f t="shared" ref="S7:AF7" si="5">BIN2DEC(D7)</f>
        <v>511</v>
      </c>
      <c r="T7" s="6" t="e">
        <f t="shared" si="5"/>
        <v>#NUM!</v>
      </c>
      <c r="U7" s="6">
        <f t="shared" si="5"/>
        <v>-512</v>
      </c>
      <c r="V7" s="6" t="e">
        <f t="shared" si="5"/>
        <v>#NUM!</v>
      </c>
      <c r="W7" s="6">
        <f>BIN2DEC(H7)</f>
        <v>0</v>
      </c>
      <c r="X7" s="6" t="e">
        <f t="shared" si="5"/>
        <v>#NUM!</v>
      </c>
      <c r="Y7" s="6" t="e">
        <f t="shared" si="5"/>
        <v>#VALUE!</v>
      </c>
      <c r="Z7" s="6" t="e">
        <f t="shared" si="5"/>
        <v>#VALUE!</v>
      </c>
      <c r="AA7" s="6" t="e">
        <f t="shared" si="5"/>
        <v>#N/A</v>
      </c>
      <c r="AB7" s="6" t="e">
        <f t="shared" si="5"/>
        <v>#DIV/0!</v>
      </c>
      <c r="AC7" s="6" t="e">
        <f t="shared" si="5"/>
        <v>#NAME?</v>
      </c>
      <c r="AD7" s="6" t="e">
        <f t="shared" si="5"/>
        <v>#NULL!</v>
      </c>
      <c r="AE7" s="6" t="e">
        <f t="shared" si="5"/>
        <v>#NUM!</v>
      </c>
      <c r="AF7" s="6" t="e">
        <f t="shared" si="5"/>
        <v>#REF!</v>
      </c>
      <c r="AG7" s="6"/>
      <c r="AM7" s="6"/>
      <c r="AN7" s="6"/>
      <c r="AO7" s="6"/>
      <c r="AP7" s="6"/>
      <c r="AQ7" s="6"/>
      <c r="AR7" s="7"/>
      <c r="AS7" s="7"/>
      <c r="AT7" s="7"/>
      <c r="AU7" s="7"/>
      <c r="AV7" s="7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</row>
    <row r="8" spans="1:63" x14ac:dyDescent="0.15">
      <c r="A8" s="35" t="s">
        <v>361</v>
      </c>
      <c r="B8" s="36" t="s">
        <v>541</v>
      </c>
      <c r="C8" s="4">
        <v>0</v>
      </c>
      <c r="D8" s="4">
        <v>111111111</v>
      </c>
      <c r="E8" s="4">
        <v>2.2999999999999998</v>
      </c>
      <c r="F8" s="4">
        <v>1000000000</v>
      </c>
      <c r="G8" s="4">
        <v>-1</v>
      </c>
      <c r="H8" s="6"/>
      <c r="I8" s="6" t="s">
        <v>410</v>
      </c>
      <c r="J8" s="6" t="b">
        <v>1</v>
      </c>
      <c r="K8" s="6" t="e">
        <f>#VALUE!</f>
        <v>#VALUE!</v>
      </c>
      <c r="L8" s="6" t="e">
        <v>#N/A</v>
      </c>
      <c r="M8" s="7" t="e">
        <v>#DIV/0!</v>
      </c>
      <c r="N8" s="7" t="e">
        <v>#NAME?</v>
      </c>
      <c r="O8" s="7" t="e">
        <v>#NULL!</v>
      </c>
      <c r="P8" s="7" t="e">
        <v>#NUM!</v>
      </c>
      <c r="Q8" s="7" t="e">
        <v>#REF!</v>
      </c>
      <c r="R8" s="6" t="str">
        <f>BIN2HEX(C8)</f>
        <v>0</v>
      </c>
      <c r="S8" s="6" t="str">
        <f t="shared" ref="S8:AF8" si="6">BIN2HEX(D8)</f>
        <v>1FF</v>
      </c>
      <c r="T8" s="6" t="e">
        <f t="shared" si="6"/>
        <v>#NUM!</v>
      </c>
      <c r="U8" s="6" t="str">
        <f t="shared" si="6"/>
        <v>FFFFFFFE00</v>
      </c>
      <c r="V8" s="6" t="e">
        <f t="shared" si="6"/>
        <v>#NUM!</v>
      </c>
      <c r="W8" s="6" t="e">
        <f>BIN2HEX(H8,0)</f>
        <v>#NUM!</v>
      </c>
      <c r="X8" s="6" t="e">
        <f t="shared" si="6"/>
        <v>#NUM!</v>
      </c>
      <c r="Y8" s="6" t="e">
        <f t="shared" si="6"/>
        <v>#VALUE!</v>
      </c>
      <c r="Z8" s="6" t="e">
        <f t="shared" si="6"/>
        <v>#VALUE!</v>
      </c>
      <c r="AA8" s="6" t="e">
        <f t="shared" si="6"/>
        <v>#N/A</v>
      </c>
      <c r="AB8" s="6" t="e">
        <f t="shared" si="6"/>
        <v>#DIV/0!</v>
      </c>
      <c r="AC8" s="6" t="e">
        <f t="shared" si="6"/>
        <v>#NAME?</v>
      </c>
      <c r="AD8" s="6" t="e">
        <f t="shared" si="6"/>
        <v>#NULL!</v>
      </c>
      <c r="AE8" s="6" t="e">
        <f t="shared" si="6"/>
        <v>#NUM!</v>
      </c>
      <c r="AF8" s="6" t="e">
        <f t="shared" si="6"/>
        <v>#REF!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63" x14ac:dyDescent="0.15">
      <c r="A9" s="35" t="s">
        <v>362</v>
      </c>
      <c r="B9" s="36" t="s">
        <v>541</v>
      </c>
      <c r="C9" s="4">
        <v>0</v>
      </c>
      <c r="D9" s="4">
        <v>111111111</v>
      </c>
      <c r="E9" s="4">
        <v>2.2999999999999998</v>
      </c>
      <c r="F9" s="4">
        <v>1000000000</v>
      </c>
      <c r="G9" s="4">
        <v>-1</v>
      </c>
      <c r="H9" s="6"/>
      <c r="I9" s="6" t="s">
        <v>410</v>
      </c>
      <c r="J9" s="6" t="b">
        <v>1</v>
      </c>
      <c r="K9" s="6" t="e">
        <f>#VALUE!</f>
        <v>#VALUE!</v>
      </c>
      <c r="L9" s="6" t="e">
        <v>#N/A</v>
      </c>
      <c r="M9" s="7" t="e">
        <v>#DIV/0!</v>
      </c>
      <c r="N9" s="7" t="e">
        <v>#NAME?</v>
      </c>
      <c r="O9" s="7" t="e">
        <v>#NULL!</v>
      </c>
      <c r="P9" s="7" t="e">
        <v>#NUM!</v>
      </c>
      <c r="Q9" s="7" t="e">
        <v>#REF!</v>
      </c>
      <c r="R9" s="6" t="str">
        <f>BIN2OCT(C9)</f>
        <v>0</v>
      </c>
      <c r="S9" s="6" t="str">
        <f t="shared" ref="S9:AF9" si="7">BIN2OCT(D9)</f>
        <v>777</v>
      </c>
      <c r="T9" s="6" t="e">
        <f t="shared" si="7"/>
        <v>#NUM!</v>
      </c>
      <c r="U9" s="6" t="str">
        <f t="shared" si="7"/>
        <v>7777777000</v>
      </c>
      <c r="V9" s="6" t="e">
        <f t="shared" si="7"/>
        <v>#NUM!</v>
      </c>
      <c r="W9" s="6" t="e">
        <f>BIN2OCT(H9,0)</f>
        <v>#NUM!</v>
      </c>
      <c r="X9" s="6" t="e">
        <f t="shared" si="7"/>
        <v>#NUM!</v>
      </c>
      <c r="Y9" s="6" t="e">
        <f t="shared" si="7"/>
        <v>#VALUE!</v>
      </c>
      <c r="Z9" s="6" t="e">
        <f t="shared" si="7"/>
        <v>#VALUE!</v>
      </c>
      <c r="AA9" s="6" t="e">
        <f t="shared" si="7"/>
        <v>#N/A</v>
      </c>
      <c r="AB9" s="6" t="e">
        <f t="shared" si="7"/>
        <v>#DIV/0!</v>
      </c>
      <c r="AC9" s="6" t="e">
        <f t="shared" si="7"/>
        <v>#NAME?</v>
      </c>
      <c r="AD9" s="6" t="e">
        <f t="shared" si="7"/>
        <v>#NULL!</v>
      </c>
      <c r="AE9" s="6" t="e">
        <f t="shared" si="7"/>
        <v>#NUM!</v>
      </c>
      <c r="AF9" s="6" t="e">
        <f t="shared" si="7"/>
        <v>#REF!</v>
      </c>
    </row>
    <row r="10" spans="1:63" x14ac:dyDescent="0.15">
      <c r="A10" s="35" t="s">
        <v>363</v>
      </c>
      <c r="B10" s="36" t="s">
        <v>541</v>
      </c>
      <c r="C10" s="4">
        <v>281474976710656</v>
      </c>
      <c r="D10" s="4">
        <v>25</v>
      </c>
      <c r="E10" s="4">
        <v>2.2999999999999998</v>
      </c>
      <c r="F10" s="4">
        <v>99</v>
      </c>
      <c r="G10" s="4">
        <v>-1</v>
      </c>
      <c r="H10" s="6"/>
      <c r="I10" s="16" t="s">
        <v>608</v>
      </c>
      <c r="J10" s="6" t="b">
        <v>1</v>
      </c>
      <c r="K10" s="6" t="e">
        <f>#VALUE!</f>
        <v>#VALUE!</v>
      </c>
      <c r="L10" s="6" t="e">
        <v>#N/A</v>
      </c>
      <c r="M10" s="7" t="e">
        <v>#DIV/0!</v>
      </c>
      <c r="N10" s="7" t="e">
        <v>#NAME?</v>
      </c>
      <c r="O10" s="7" t="e">
        <v>#NULL!</v>
      </c>
      <c r="P10" s="7" t="e">
        <v>#NUM!</v>
      </c>
      <c r="Q10" s="7" t="e">
        <v>#REF!</v>
      </c>
      <c r="R10" s="4" t="e">
        <f>_xlfn.BITAND(C10,D10)</f>
        <v>#NUM!</v>
      </c>
      <c r="S10" s="4" t="e">
        <f>_xlfn.BITAND(D10,E10)</f>
        <v>#NUM!</v>
      </c>
      <c r="T10" s="4" t="e">
        <f t="shared" ref="T10:AF10" si="8">_xlfn.BITAND(E10,F10)</f>
        <v>#NUM!</v>
      </c>
      <c r="U10" s="4" t="e">
        <f t="shared" si="8"/>
        <v>#NUM!</v>
      </c>
      <c r="V10" s="4" t="e">
        <f t="shared" si="8"/>
        <v>#NUM!</v>
      </c>
      <c r="W10" s="4" t="e">
        <f t="shared" si="8"/>
        <v>#NUM!</v>
      </c>
      <c r="X10" s="4" t="e">
        <f t="shared" si="8"/>
        <v>#NUM!</v>
      </c>
      <c r="Y10" s="4" t="e">
        <f>_xlfn.BITAND(J10,K10)</f>
        <v>#VALUE!</v>
      </c>
      <c r="Z10" s="4" t="e">
        <f t="shared" si="8"/>
        <v>#VALUE!</v>
      </c>
      <c r="AA10" s="4" t="e">
        <f t="shared" si="8"/>
        <v>#N/A</v>
      </c>
      <c r="AB10" s="4" t="e">
        <f t="shared" si="8"/>
        <v>#DIV/0!</v>
      </c>
      <c r="AC10" s="4" t="e">
        <f t="shared" si="8"/>
        <v>#NAME?</v>
      </c>
      <c r="AD10" s="4" t="e">
        <f t="shared" si="8"/>
        <v>#NULL!</v>
      </c>
      <c r="AE10" s="4" t="e">
        <f t="shared" si="8"/>
        <v>#NUM!</v>
      </c>
      <c r="AF10" s="4" t="e">
        <f t="shared" si="8"/>
        <v>#REF!</v>
      </c>
      <c r="AG10" s="4" t="e">
        <f t="array" ref="AG10">_xlfn.BITAND(C10:D10,F10)</f>
        <v>#NUM!</v>
      </c>
      <c r="AH10" s="4" t="e">
        <f t="array" ref="AH10:AW10">_xlfn.BITAND(C10:P10,D10:Q10)</f>
        <v>#NUM!</v>
      </c>
      <c r="AI10" s="4" t="e">
        <v>#NUM!</v>
      </c>
      <c r="AJ10" s="4" t="e">
        <v>#NUM!</v>
      </c>
      <c r="AK10" s="4" t="e">
        <v>#NUM!</v>
      </c>
      <c r="AL10" s="4" t="e">
        <v>#NUM!</v>
      </c>
      <c r="AM10" s="4" t="e">
        <v>#NUM!</v>
      </c>
      <c r="AN10" s="4" t="e">
        <v>#NUM!</v>
      </c>
      <c r="AO10" s="4" t="e">
        <v>#VALUE!</v>
      </c>
      <c r="AP10" s="4" t="e">
        <v>#VALUE!</v>
      </c>
      <c r="AQ10" s="4" t="e">
        <v>#N/A</v>
      </c>
      <c r="AR10" s="4" t="e">
        <v>#DIV/0!</v>
      </c>
      <c r="AS10" s="4" t="e">
        <v>#NAME?</v>
      </c>
      <c r="AT10" s="4" t="e">
        <v>#NULL!</v>
      </c>
      <c r="AU10" s="4" t="e">
        <v>#NUM!</v>
      </c>
      <c r="AV10" s="4" t="e">
        <v>#N/A</v>
      </c>
      <c r="AW10" s="4" t="e">
        <v>#N/A</v>
      </c>
    </row>
    <row r="11" spans="1:63" x14ac:dyDescent="0.15">
      <c r="A11" s="35" t="s">
        <v>364</v>
      </c>
      <c r="B11" s="36" t="s">
        <v>541</v>
      </c>
      <c r="C11" s="4">
        <v>13</v>
      </c>
      <c r="D11" s="4">
        <v>25</v>
      </c>
      <c r="E11" s="4">
        <v>2.2999999999999998</v>
      </c>
      <c r="F11" s="4">
        <v>99</v>
      </c>
      <c r="G11" s="4">
        <v>-1</v>
      </c>
      <c r="H11" s="6"/>
      <c r="I11" s="16" t="s">
        <v>609</v>
      </c>
      <c r="J11" s="6" t="b">
        <v>1</v>
      </c>
      <c r="K11" s="6" t="e">
        <f>#VALUE!</f>
        <v>#VALUE!</v>
      </c>
      <c r="L11" s="6" t="e">
        <v>#N/A</v>
      </c>
      <c r="M11" s="7" t="e">
        <v>#DIV/0!</v>
      </c>
      <c r="N11" s="7" t="e">
        <v>#NAME?</v>
      </c>
      <c r="O11" s="7" t="e">
        <v>#NULL!</v>
      </c>
      <c r="P11" s="7" t="e">
        <v>#NUM!</v>
      </c>
      <c r="Q11" s="7" t="e">
        <v>#REF!</v>
      </c>
      <c r="R11" s="4">
        <f>_xlfn.BITLSHIFT(C11,D11)</f>
        <v>436207616</v>
      </c>
      <c r="S11" s="4">
        <f>_xlfn.BITLSHIFT(D11,E11)</f>
        <v>100</v>
      </c>
      <c r="T11" s="4" t="e">
        <f t="shared" ref="T11:AE11" si="9">_xlfn.BITLSHIFT(E11,F11)</f>
        <v>#NUM!</v>
      </c>
      <c r="U11" s="4">
        <f>_xlfn.BITLSHIFT(F11,G11)</f>
        <v>49</v>
      </c>
      <c r="V11" s="4" t="e">
        <f t="shared" si="9"/>
        <v>#NUM!</v>
      </c>
      <c r="W11" s="4">
        <f t="shared" si="9"/>
        <v>0</v>
      </c>
      <c r="X11" s="4" t="e">
        <f t="shared" si="9"/>
        <v>#NUM!</v>
      </c>
      <c r="Y11" s="4" t="e">
        <f t="shared" si="9"/>
        <v>#VALUE!</v>
      </c>
      <c r="Z11" s="4" t="e">
        <f t="shared" si="9"/>
        <v>#VALUE!</v>
      </c>
      <c r="AA11" s="4" t="e">
        <f t="shared" si="9"/>
        <v>#N/A</v>
      </c>
      <c r="AB11" s="4" t="e">
        <f t="shared" si="9"/>
        <v>#DIV/0!</v>
      </c>
      <c r="AC11" s="4" t="e">
        <f t="shared" si="9"/>
        <v>#NAME?</v>
      </c>
      <c r="AD11" s="4" t="e">
        <f t="shared" si="9"/>
        <v>#NULL!</v>
      </c>
      <c r="AE11" s="4" t="e">
        <f t="shared" si="9"/>
        <v>#NUM!</v>
      </c>
      <c r="AF11" s="4" t="e">
        <f>_xlfn.BITLSHIFT(Q11,R11)</f>
        <v>#REF!</v>
      </c>
      <c r="AG11" s="4" t="e">
        <f>_xlfn.BITLSHIFT(R11,S11)</f>
        <v>#NUM!</v>
      </c>
      <c r="AH11" s="4" cm="1">
        <f t="array" ref="AH11:AU11">_xlfn.BITLSHIFT(C11:P11,D11:Q11)</f>
        <v>436207616</v>
      </c>
      <c r="AI11" s="4">
        <v>100</v>
      </c>
      <c r="AJ11" s="4" t="e">
        <v>#NUM!</v>
      </c>
      <c r="AK11" s="4">
        <v>49</v>
      </c>
      <c r="AL11" s="4" t="e">
        <v>#NUM!</v>
      </c>
      <c r="AM11" s="4">
        <v>0</v>
      </c>
      <c r="AN11" s="4" t="e">
        <v>#NUM!</v>
      </c>
      <c r="AO11" s="4" t="e">
        <v>#VALUE!</v>
      </c>
      <c r="AP11" s="4" t="e">
        <v>#VALUE!</v>
      </c>
      <c r="AQ11" s="4" t="e">
        <v>#N/A</v>
      </c>
      <c r="AR11" s="4" t="e">
        <v>#DIV/0!</v>
      </c>
      <c r="AS11" s="4" t="e">
        <v>#NAME?</v>
      </c>
      <c r="AT11" s="4" t="e">
        <v>#NULL!</v>
      </c>
      <c r="AU11" s="4" t="e">
        <v>#NUM!</v>
      </c>
    </row>
    <row r="12" spans="1:63" x14ac:dyDescent="0.15">
      <c r="A12" s="35" t="s">
        <v>365</v>
      </c>
      <c r="B12" s="36" t="s">
        <v>541</v>
      </c>
      <c r="C12" s="4">
        <v>13</v>
      </c>
      <c r="D12" s="4">
        <v>25</v>
      </c>
      <c r="E12" s="4">
        <v>2.2999999999999998</v>
      </c>
      <c r="F12" s="4">
        <v>99</v>
      </c>
      <c r="G12" s="4">
        <v>-1</v>
      </c>
      <c r="H12" s="6"/>
      <c r="I12" s="16" t="s">
        <v>610</v>
      </c>
      <c r="J12" s="6" t="b">
        <v>1</v>
      </c>
      <c r="K12" s="6" t="e">
        <f>#VALUE!</f>
        <v>#VALUE!</v>
      </c>
      <c r="L12" s="6" t="e">
        <v>#N/A</v>
      </c>
      <c r="M12" s="7" t="e">
        <v>#DIV/0!</v>
      </c>
      <c r="N12" s="7" t="e">
        <v>#NAME?</v>
      </c>
      <c r="O12" s="7" t="e">
        <v>#NULL!</v>
      </c>
      <c r="P12" s="7" t="e">
        <v>#NUM!</v>
      </c>
      <c r="Q12" s="7" t="e">
        <v>#REF!</v>
      </c>
      <c r="R12" s="4">
        <f>_xlfn.BITOR(C12,D12)</f>
        <v>29</v>
      </c>
      <c r="S12" s="4" t="e">
        <f>_xlfn.BITOR(D12,E12)</f>
        <v>#NUM!</v>
      </c>
      <c r="T12" s="4" t="e">
        <f t="shared" ref="T12:AG12" si="10">_xlfn.BITOR(E12,F12)</f>
        <v>#NUM!</v>
      </c>
      <c r="U12" s="4" t="e">
        <f t="shared" si="10"/>
        <v>#NUM!</v>
      </c>
      <c r="V12" s="4" t="e">
        <f t="shared" si="10"/>
        <v>#NUM!</v>
      </c>
      <c r="W12" s="4" t="e">
        <f t="shared" si="10"/>
        <v>#NUM!</v>
      </c>
      <c r="X12" s="4" t="e">
        <f t="shared" si="10"/>
        <v>#NUM!</v>
      </c>
      <c r="Y12" s="4" t="e">
        <f t="shared" si="10"/>
        <v>#VALUE!</v>
      </c>
      <c r="Z12" s="4" t="e">
        <f t="shared" si="10"/>
        <v>#VALUE!</v>
      </c>
      <c r="AA12" s="4" t="e">
        <f t="shared" si="10"/>
        <v>#N/A</v>
      </c>
      <c r="AB12" s="4" t="e">
        <f t="shared" si="10"/>
        <v>#DIV/0!</v>
      </c>
      <c r="AC12" s="4" t="e">
        <f t="shared" si="10"/>
        <v>#NAME?</v>
      </c>
      <c r="AD12" s="4" t="e">
        <f t="shared" si="10"/>
        <v>#NULL!</v>
      </c>
      <c r="AE12" s="4" t="e">
        <f t="shared" si="10"/>
        <v>#NUM!</v>
      </c>
      <c r="AF12" s="4" t="e">
        <f>_xlfn.BITOR(Q12,R12)</f>
        <v>#REF!</v>
      </c>
      <c r="AG12" s="4" t="e">
        <f t="shared" si="10"/>
        <v>#NUM!</v>
      </c>
      <c r="AH12" s="4" cm="1">
        <f t="array" ref="AH12:AU12">_xlfn.BITOR(C12:P12,D12:Q12)</f>
        <v>29</v>
      </c>
      <c r="AI12" s="4" t="e">
        <v>#NUM!</v>
      </c>
      <c r="AJ12" s="4" t="e">
        <v>#NUM!</v>
      </c>
      <c r="AK12" s="4" t="e">
        <v>#NUM!</v>
      </c>
      <c r="AL12" s="4" t="e">
        <v>#NUM!</v>
      </c>
      <c r="AM12" s="4" t="e">
        <v>#NUM!</v>
      </c>
      <c r="AN12" s="4" t="e">
        <v>#NUM!</v>
      </c>
      <c r="AO12" s="4" t="e">
        <v>#VALUE!</v>
      </c>
      <c r="AP12" s="4" t="e">
        <v>#VALUE!</v>
      </c>
      <c r="AQ12" s="4" t="e">
        <v>#N/A</v>
      </c>
      <c r="AR12" s="4" t="e">
        <v>#DIV/0!</v>
      </c>
      <c r="AS12" s="4" t="e">
        <v>#NAME?</v>
      </c>
      <c r="AT12" s="4" t="e">
        <v>#NULL!</v>
      </c>
      <c r="AU12" s="4" t="e">
        <v>#NUM!</v>
      </c>
    </row>
    <row r="13" spans="1:63" x14ac:dyDescent="0.15">
      <c r="A13" s="35" t="s">
        <v>366</v>
      </c>
      <c r="B13" s="36" t="s">
        <v>541</v>
      </c>
      <c r="C13" s="4">
        <v>13</v>
      </c>
      <c r="D13" s="4">
        <v>25</v>
      </c>
      <c r="E13" s="4">
        <v>2.2999999999999998</v>
      </c>
      <c r="F13" s="4">
        <v>99</v>
      </c>
      <c r="G13" s="4">
        <v>-1</v>
      </c>
      <c r="H13" s="6"/>
      <c r="I13" s="16" t="s">
        <v>611</v>
      </c>
      <c r="J13" s="6" t="b">
        <v>1</v>
      </c>
      <c r="K13" s="6" t="e">
        <f>#VALUE!</f>
        <v>#VALUE!</v>
      </c>
      <c r="L13" s="6" t="e">
        <v>#N/A</v>
      </c>
      <c r="M13" s="7" t="e">
        <v>#DIV/0!</v>
      </c>
      <c r="N13" s="7" t="e">
        <v>#NAME?</v>
      </c>
      <c r="O13" s="7" t="e">
        <v>#NULL!</v>
      </c>
      <c r="P13" s="7" t="e">
        <v>#NUM!</v>
      </c>
      <c r="Q13" s="7" t="e">
        <v>#REF!</v>
      </c>
      <c r="R13" s="4">
        <f>_xlfn.BITRSHIFT(C13,D13)</f>
        <v>0</v>
      </c>
      <c r="S13" s="4">
        <f>_xlfn.BITRSHIFT(D13,E13)</f>
        <v>6</v>
      </c>
      <c r="T13" s="4" t="e">
        <f>_xlfn.BITRSHIFT(E13,F13)</f>
        <v>#NUM!</v>
      </c>
      <c r="U13" s="4">
        <f t="shared" ref="U13:AG13" si="11">_xlfn.BITRSHIFT(F13,G13)</f>
        <v>198</v>
      </c>
      <c r="V13" s="4" t="e">
        <f t="shared" si="11"/>
        <v>#NUM!</v>
      </c>
      <c r="W13" s="4">
        <f t="shared" si="11"/>
        <v>0</v>
      </c>
      <c r="X13" s="4" t="e">
        <f t="shared" si="11"/>
        <v>#NUM!</v>
      </c>
      <c r="Y13" s="4" t="e">
        <f t="shared" si="11"/>
        <v>#VALUE!</v>
      </c>
      <c r="Z13" s="4" t="e">
        <f t="shared" si="11"/>
        <v>#VALUE!</v>
      </c>
      <c r="AA13" s="4" t="e">
        <f t="shared" si="11"/>
        <v>#N/A</v>
      </c>
      <c r="AB13" s="4" t="e">
        <f t="shared" si="11"/>
        <v>#DIV/0!</v>
      </c>
      <c r="AC13" s="4" t="e">
        <f t="shared" si="11"/>
        <v>#NAME?</v>
      </c>
      <c r="AD13" s="4" t="e">
        <f t="shared" si="11"/>
        <v>#NULL!</v>
      </c>
      <c r="AE13" s="4" t="e">
        <f t="shared" si="11"/>
        <v>#NUM!</v>
      </c>
      <c r="AF13" s="4" t="e">
        <f>_xlfn.BITRSHIFT(Q13,R13)</f>
        <v>#REF!</v>
      </c>
      <c r="AG13" s="4">
        <f t="shared" si="11"/>
        <v>0</v>
      </c>
      <c r="AH13" s="4" cm="1">
        <f t="array" ref="AH13:AU13">_xlfn.BITRSHIFT(C13:P13,D13:Q13)</f>
        <v>0</v>
      </c>
      <c r="AI13" s="4">
        <v>6</v>
      </c>
      <c r="AJ13" s="4" t="e">
        <v>#NUM!</v>
      </c>
      <c r="AK13" s="4">
        <v>198</v>
      </c>
      <c r="AL13" s="4" t="e">
        <v>#NUM!</v>
      </c>
      <c r="AM13" s="4">
        <v>0</v>
      </c>
      <c r="AN13" s="4" t="e">
        <v>#NUM!</v>
      </c>
      <c r="AO13" s="4" t="e">
        <v>#VALUE!</v>
      </c>
      <c r="AP13" s="4" t="e">
        <v>#VALUE!</v>
      </c>
      <c r="AQ13" s="4" t="e">
        <v>#N/A</v>
      </c>
      <c r="AR13" s="4" t="e">
        <v>#DIV/0!</v>
      </c>
      <c r="AS13" s="4" t="e">
        <v>#NAME?</v>
      </c>
      <c r="AT13" s="4" t="e">
        <v>#NULL!</v>
      </c>
      <c r="AU13" s="4" t="e">
        <v>#NUM!</v>
      </c>
    </row>
    <row r="14" spans="1:63" x14ac:dyDescent="0.15">
      <c r="A14" s="35" t="s">
        <v>367</v>
      </c>
      <c r="B14" s="36" t="s">
        <v>541</v>
      </c>
      <c r="C14" s="4">
        <v>13</v>
      </c>
      <c r="D14" s="4">
        <v>25</v>
      </c>
      <c r="E14" s="4">
        <v>2.2999999999999998</v>
      </c>
      <c r="F14" s="4">
        <v>99</v>
      </c>
      <c r="G14" s="4">
        <v>-1</v>
      </c>
      <c r="H14" s="6"/>
      <c r="I14" s="16" t="s">
        <v>613</v>
      </c>
      <c r="J14" s="6" t="b">
        <v>1</v>
      </c>
      <c r="K14" s="6" t="e">
        <f>#VALUE!</f>
        <v>#VALUE!</v>
      </c>
      <c r="L14" s="6" t="e">
        <v>#N/A</v>
      </c>
      <c r="M14" s="7" t="e">
        <v>#DIV/0!</v>
      </c>
      <c r="N14" s="7" t="e">
        <v>#NAME?</v>
      </c>
      <c r="O14" s="7" t="e">
        <v>#NULL!</v>
      </c>
      <c r="P14" s="7" t="e">
        <v>#NUM!</v>
      </c>
      <c r="Q14" s="7" t="e">
        <v>#REF!</v>
      </c>
      <c r="R14" s="4">
        <f>_xlfn.BITXOR(C14,D14)</f>
        <v>20</v>
      </c>
      <c r="S14" s="4" t="e">
        <f t="shared" ref="S14:AF14" si="12">_xlfn.BITXOR(D14,E14)</f>
        <v>#NUM!</v>
      </c>
      <c r="T14" s="4" t="e">
        <f>_xlfn.BITXOR(E14,F14)</f>
        <v>#NUM!</v>
      </c>
      <c r="U14" s="4" t="e">
        <f t="shared" si="12"/>
        <v>#NUM!</v>
      </c>
      <c r="V14" s="4" t="e">
        <f>_xlfn.BITXOR(G14,H14)</f>
        <v>#NUM!</v>
      </c>
      <c r="W14" s="4" t="e">
        <f t="shared" si="12"/>
        <v>#NUM!</v>
      </c>
      <c r="X14" s="4" t="e">
        <f t="shared" si="12"/>
        <v>#NUM!</v>
      </c>
      <c r="Y14" s="4" t="e">
        <f t="shared" si="12"/>
        <v>#VALUE!</v>
      </c>
      <c r="Z14" s="4" t="e">
        <f t="shared" si="12"/>
        <v>#VALUE!</v>
      </c>
      <c r="AA14" s="4" t="e">
        <f t="shared" si="12"/>
        <v>#N/A</v>
      </c>
      <c r="AB14" s="4" t="e">
        <f t="shared" si="12"/>
        <v>#DIV/0!</v>
      </c>
      <c r="AC14" s="4" t="e">
        <f t="shared" si="12"/>
        <v>#NAME?</v>
      </c>
      <c r="AD14" s="4" t="e">
        <f t="shared" si="12"/>
        <v>#NULL!</v>
      </c>
      <c r="AE14" s="4" t="e">
        <f t="shared" si="12"/>
        <v>#NUM!</v>
      </c>
      <c r="AF14" s="4" t="e">
        <f t="shared" si="12"/>
        <v>#REF!</v>
      </c>
      <c r="AG14" s="4" t="e">
        <f>_xlfn.BITXOR(R14,S14)</f>
        <v>#NUM!</v>
      </c>
      <c r="AH14" s="4" cm="1">
        <f t="array" ref="AH14:AU14">_xlfn.BITXOR(C14:P14,D14:Q14)</f>
        <v>20</v>
      </c>
      <c r="AI14" s="4" t="e">
        <v>#NUM!</v>
      </c>
      <c r="AJ14" s="4" t="e">
        <v>#NUM!</v>
      </c>
      <c r="AK14" s="4" t="e">
        <v>#NUM!</v>
      </c>
      <c r="AL14" s="4" t="e">
        <v>#NUM!</v>
      </c>
      <c r="AM14" s="4" t="e">
        <v>#NUM!</v>
      </c>
      <c r="AN14" s="4" t="e">
        <v>#NUM!</v>
      </c>
      <c r="AO14" s="4" t="e">
        <v>#VALUE!</v>
      </c>
      <c r="AP14" s="4" t="e">
        <v>#VALUE!</v>
      </c>
      <c r="AQ14" s="4" t="e">
        <v>#N/A</v>
      </c>
      <c r="AR14" s="4" t="e">
        <v>#DIV/0!</v>
      </c>
      <c r="AS14" s="4" t="e">
        <v>#NAME?</v>
      </c>
      <c r="AT14" s="4" t="e">
        <v>#NULL!</v>
      </c>
      <c r="AU14" s="4" t="e">
        <v>#NUM!</v>
      </c>
    </row>
    <row r="15" spans="1:63" x14ac:dyDescent="0.15">
      <c r="A15" s="35" t="s">
        <v>368</v>
      </c>
      <c r="B15" s="36" t="s">
        <v>541</v>
      </c>
      <c r="C15" s="4">
        <v>13</v>
      </c>
      <c r="D15" s="4">
        <v>25</v>
      </c>
      <c r="E15" s="4">
        <v>2.2999999999999998</v>
      </c>
      <c r="F15" s="4">
        <v>99</v>
      </c>
      <c r="G15" s="4">
        <v>-1</v>
      </c>
      <c r="H15" s="6"/>
      <c r="I15" s="16" t="s">
        <v>613</v>
      </c>
      <c r="J15" s="6" t="b">
        <v>1</v>
      </c>
      <c r="K15" s="6" t="e">
        <f>#VALUE!</f>
        <v>#VALUE!</v>
      </c>
      <c r="L15" s="6" t="e">
        <v>#N/A</v>
      </c>
      <c r="M15" s="7" t="e">
        <v>#DIV/0!</v>
      </c>
      <c r="N15" s="7" t="e">
        <v>#NAME?</v>
      </c>
      <c r="O15" s="7" t="e">
        <v>#NULL!</v>
      </c>
      <c r="P15" s="7" t="e">
        <v>#NUM!</v>
      </c>
      <c r="Q15" s="7" t="e">
        <v>#REF!</v>
      </c>
      <c r="R15" s="4" t="str">
        <f>COMPLEX(C15,D15, "j")</f>
        <v>13+25j</v>
      </c>
      <c r="S15" s="4" t="str">
        <f t="shared" ref="S15:AF15" si="13">COMPLEX(D15,E15, "j")</f>
        <v>25+2.3j</v>
      </c>
      <c r="T15" s="4" t="str">
        <f t="shared" si="13"/>
        <v>2.3+99j</v>
      </c>
      <c r="U15" s="4" t="str">
        <f>COMPLEX(F15,G15, "j")</f>
        <v>99-j</v>
      </c>
      <c r="V15" s="4" t="str">
        <f>COMPLEX(G15,H15, "j")</f>
        <v>-1</v>
      </c>
      <c r="W15" s="4" t="str">
        <f>COMPLEX(H15,I15, "j")</f>
        <v>3.6j</v>
      </c>
      <c r="X15" s="4" t="e">
        <f>COMPLEX(I15,J15, "j")</f>
        <v>#VALUE!</v>
      </c>
      <c r="Y15" s="4" t="e">
        <f t="shared" si="13"/>
        <v>#VALUE!</v>
      </c>
      <c r="Z15" s="4" t="e">
        <f t="shared" si="13"/>
        <v>#VALUE!</v>
      </c>
      <c r="AA15" s="4" t="e">
        <f t="shared" si="13"/>
        <v>#N/A</v>
      </c>
      <c r="AB15" s="4" t="e">
        <f t="shared" si="13"/>
        <v>#DIV/0!</v>
      </c>
      <c r="AC15" s="4" t="e">
        <f t="shared" si="13"/>
        <v>#NAME?</v>
      </c>
      <c r="AD15" s="4" t="e">
        <f t="shared" si="13"/>
        <v>#NULL!</v>
      </c>
      <c r="AE15" s="4" t="e">
        <f>COMPLEX(P15,Q15, "j")</f>
        <v>#NUM!</v>
      </c>
      <c r="AF15" s="4" t="e">
        <f t="shared" si="13"/>
        <v>#REF!</v>
      </c>
      <c r="AG15" s="4" t="e">
        <f t="array" ref="AG15">COMPLEX(C15:P15,D15:Q15, "j")</f>
        <v>#VALUE!</v>
      </c>
      <c r="AH15" s="4" t="e">
        <f t="array" ref="AH15:AW15">COMPLEX(C15:P15,D15:Q15, "j")</f>
        <v>#VALUE!</v>
      </c>
      <c r="AI15" s="4" t="e">
        <v>#VALUE!</v>
      </c>
      <c r="AJ15" s="4" t="e">
        <v>#VALUE!</v>
      </c>
      <c r="AK15" s="4" t="e">
        <v>#VALUE!</v>
      </c>
      <c r="AL15" s="4" t="e">
        <v>#VALUE!</v>
      </c>
      <c r="AM15" s="4" t="e">
        <v>#VALUE!</v>
      </c>
      <c r="AN15" s="4" t="e">
        <v>#VALUE!</v>
      </c>
      <c r="AO15" s="4" t="e">
        <v>#VALUE!</v>
      </c>
      <c r="AP15" s="4" t="e">
        <v>#VALUE!</v>
      </c>
      <c r="AQ15" s="4" t="e">
        <v>#VALUE!</v>
      </c>
      <c r="AR15" s="4" t="e">
        <v>#VALUE!</v>
      </c>
      <c r="AS15" s="4" t="e">
        <v>#VALUE!</v>
      </c>
      <c r="AT15" s="4" t="e">
        <v>#VALUE!</v>
      </c>
      <c r="AU15" s="4" t="e">
        <v>#VALUE!</v>
      </c>
      <c r="AV15" s="4" t="e">
        <v>#VALUE!</v>
      </c>
      <c r="AW15" s="4" t="e">
        <v>#VALUE!</v>
      </c>
    </row>
    <row r="16" spans="1:63" x14ac:dyDescent="0.15">
      <c r="A16" s="35" t="s">
        <v>369</v>
      </c>
      <c r="B16" s="36" t="s">
        <v>541</v>
      </c>
      <c r="C16" s="4">
        <v>13</v>
      </c>
      <c r="D16" s="4">
        <v>25</v>
      </c>
      <c r="E16" s="4">
        <v>2.2999999999999998</v>
      </c>
      <c r="F16" s="4">
        <v>99</v>
      </c>
      <c r="G16" s="4">
        <v>-1</v>
      </c>
      <c r="H16" s="6"/>
      <c r="I16" s="16" t="s">
        <v>613</v>
      </c>
      <c r="J16" s="6" t="b">
        <v>1</v>
      </c>
      <c r="K16" s="6" t="e">
        <f>#VALUE!</f>
        <v>#VALUE!</v>
      </c>
      <c r="L16" s="6" t="e">
        <v>#N/A</v>
      </c>
      <c r="M16" s="7" t="e">
        <v>#DIV/0!</v>
      </c>
      <c r="N16" s="7" t="e">
        <v>#NAME?</v>
      </c>
      <c r="O16" s="7" t="e">
        <v>#NULL!</v>
      </c>
      <c r="P16" s="7" t="e">
        <v>#NUM!</v>
      </c>
      <c r="Q16" s="7" t="e">
        <v>#REF!</v>
      </c>
      <c r="R16" s="4">
        <f>CONVERT(C16,"C","F")</f>
        <v>55.400000000000006</v>
      </c>
      <c r="S16" s="4">
        <f t="shared" ref="S16:Z16" si="14">CONVERT(D16,"C","F")</f>
        <v>77</v>
      </c>
      <c r="T16" s="4">
        <f t="shared" si="14"/>
        <v>36.14</v>
      </c>
      <c r="U16" s="4">
        <f t="shared" si="14"/>
        <v>210.20000000000002</v>
      </c>
      <c r="V16" s="4">
        <f t="shared" si="14"/>
        <v>30.2</v>
      </c>
      <c r="W16" s="4">
        <f t="shared" si="14"/>
        <v>32</v>
      </c>
      <c r="X16" s="4">
        <f t="shared" si="14"/>
        <v>38.480000000000004</v>
      </c>
      <c r="Y16" s="4" t="e">
        <f>CONVERT(J16,"C","F")</f>
        <v>#VALUE!</v>
      </c>
      <c r="Z16" s="4" t="e">
        <f t="shared" si="14"/>
        <v>#VALUE!</v>
      </c>
      <c r="AA16" s="4" t="e">
        <f t="shared" ref="AA16:AF16" si="15">CONVERT(L16,"C","F")</f>
        <v>#N/A</v>
      </c>
      <c r="AB16" s="4" t="e">
        <f t="shared" si="15"/>
        <v>#DIV/0!</v>
      </c>
      <c r="AC16" s="4" t="e">
        <f t="shared" si="15"/>
        <v>#NAME?</v>
      </c>
      <c r="AD16" s="4" t="e">
        <f t="shared" si="15"/>
        <v>#NULL!</v>
      </c>
      <c r="AE16" s="4" t="e">
        <f t="shared" si="15"/>
        <v>#NUM!</v>
      </c>
      <c r="AF16" s="4" t="e">
        <f t="shared" si="15"/>
        <v>#REF!</v>
      </c>
      <c r="AG16" s="4" t="e">
        <f>CONVERT(C16:Q16,"C","F")</f>
        <v>#VALUE!</v>
      </c>
      <c r="AH16" s="4" t="e">
        <f t="array" ref="AH16:AW16">CONVERT(C16:Q16,"C","F")</f>
        <v>#VALUE!</v>
      </c>
      <c r="AI16" s="4" t="e">
        <v>#VALUE!</v>
      </c>
      <c r="AJ16" s="4" t="e">
        <v>#VALUE!</v>
      </c>
      <c r="AK16" s="4" t="e">
        <v>#VALUE!</v>
      </c>
      <c r="AL16" s="4" t="e">
        <v>#VALUE!</v>
      </c>
      <c r="AM16" s="4" t="e">
        <v>#VALUE!</v>
      </c>
      <c r="AN16" s="4" t="e">
        <v>#VALUE!</v>
      </c>
      <c r="AO16" s="4" t="e">
        <v>#VALUE!</v>
      </c>
      <c r="AP16" s="4" t="e">
        <v>#VALUE!</v>
      </c>
      <c r="AQ16" s="4" t="e">
        <v>#VALUE!</v>
      </c>
      <c r="AR16" s="4" t="e">
        <v>#VALUE!</v>
      </c>
      <c r="AS16" s="4" t="e">
        <v>#VALUE!</v>
      </c>
      <c r="AT16" s="4" t="e">
        <v>#VALUE!</v>
      </c>
      <c r="AU16" s="4" t="e">
        <v>#VALUE!</v>
      </c>
      <c r="AV16" s="4" t="e">
        <v>#VALUE!</v>
      </c>
      <c r="AW16" s="4" t="e">
        <v>#VALUE!</v>
      </c>
    </row>
    <row r="17" spans="1:49" x14ac:dyDescent="0.15">
      <c r="A17" s="35" t="s">
        <v>370</v>
      </c>
      <c r="B17" s="36" t="s">
        <v>541</v>
      </c>
      <c r="C17" s="4">
        <f>D17+1</f>
        <v>512.70000000000005</v>
      </c>
      <c r="D17" s="4">
        <v>511.7</v>
      </c>
      <c r="E17" s="4">
        <v>100</v>
      </c>
      <c r="F17" s="4">
        <f>-D17-1</f>
        <v>-512.70000000000005</v>
      </c>
      <c r="G17" s="4">
        <f>F17-1</f>
        <v>-513.70000000000005</v>
      </c>
      <c r="H17" s="6"/>
      <c r="I17" s="6" t="s">
        <v>410</v>
      </c>
      <c r="J17" s="6" t="b">
        <v>1</v>
      </c>
      <c r="K17" s="6" t="e">
        <f>#VALUE!</f>
        <v>#VALUE!</v>
      </c>
      <c r="L17" s="6" t="e">
        <v>#N/A</v>
      </c>
      <c r="M17" s="7" t="e">
        <v>#DIV/0!</v>
      </c>
      <c r="N17" s="7" t="e">
        <v>#NAME?</v>
      </c>
      <c r="O17" s="7" t="e">
        <v>#NULL!</v>
      </c>
      <c r="P17" s="7" t="e">
        <v>#NUM!</v>
      </c>
      <c r="Q17" s="7" t="e">
        <v>#REF!</v>
      </c>
      <c r="R17" s="6" t="e">
        <f>DEC2BIN(C17)</f>
        <v>#NUM!</v>
      </c>
      <c r="S17" s="6" t="str">
        <f t="shared" ref="S17:AF17" si="16">DEC2BIN(D17)</f>
        <v>111111111</v>
      </c>
      <c r="T17" s="6" t="e">
        <f>DEC2BIN(E17,1)</f>
        <v>#NUM!</v>
      </c>
      <c r="U17" s="6" t="str">
        <f t="shared" si="16"/>
        <v>1000000000</v>
      </c>
      <c r="V17" s="6" t="e">
        <f t="shared" si="16"/>
        <v>#NUM!</v>
      </c>
      <c r="W17" s="6" t="str">
        <f>DEC2BIN(H17,3)</f>
        <v>000</v>
      </c>
      <c r="X17" s="6" t="e">
        <f t="shared" si="16"/>
        <v>#VALUE!</v>
      </c>
      <c r="Y17" s="6" t="e">
        <f t="shared" si="16"/>
        <v>#VALUE!</v>
      </c>
      <c r="Z17" s="6" t="e">
        <f t="shared" si="16"/>
        <v>#VALUE!</v>
      </c>
      <c r="AA17" s="6" t="e">
        <f t="shared" si="16"/>
        <v>#N/A</v>
      </c>
      <c r="AB17" s="6" t="e">
        <f t="shared" si="16"/>
        <v>#DIV/0!</v>
      </c>
      <c r="AC17" s="6" t="e">
        <f t="shared" si="16"/>
        <v>#NAME?</v>
      </c>
      <c r="AD17" s="6" t="e">
        <f t="shared" si="16"/>
        <v>#NULL!</v>
      </c>
      <c r="AE17" s="6" t="e">
        <f t="shared" si="16"/>
        <v>#NUM!</v>
      </c>
      <c r="AF17" s="6" t="e">
        <f t="shared" si="16"/>
        <v>#REF!</v>
      </c>
    </row>
    <row r="18" spans="1:49" x14ac:dyDescent="0.15">
      <c r="A18" s="35" t="s">
        <v>371</v>
      </c>
      <c r="B18" s="36" t="s">
        <v>541</v>
      </c>
      <c r="C18" s="4">
        <f>D18+1</f>
        <v>549755813888.69995</v>
      </c>
      <c r="D18" s="4">
        <v>549755813887.70001</v>
      </c>
      <c r="E18" s="4">
        <v>100</v>
      </c>
      <c r="F18" s="4">
        <f>-D18-1</f>
        <v>-549755813888.69995</v>
      </c>
      <c r="G18" s="4">
        <f>F18-1</f>
        <v>-549755813889.69995</v>
      </c>
      <c r="H18" s="6"/>
      <c r="I18" s="6" t="s">
        <v>410</v>
      </c>
      <c r="J18" s="6" t="b">
        <v>1</v>
      </c>
      <c r="K18" s="6" t="e">
        <f>#VALUE!</f>
        <v>#VALUE!</v>
      </c>
      <c r="L18" s="6" t="e">
        <v>#N/A</v>
      </c>
      <c r="M18" s="7" t="e">
        <v>#DIV/0!</v>
      </c>
      <c r="N18" s="7" t="e">
        <v>#NAME?</v>
      </c>
      <c r="O18" s="7" t="e">
        <v>#NULL!</v>
      </c>
      <c r="P18" s="7" t="e">
        <v>#NUM!</v>
      </c>
      <c r="Q18" s="7" t="e">
        <v>#REF!</v>
      </c>
      <c r="R18" s="6" t="e">
        <f>DEC2HEX(C18)</f>
        <v>#NUM!</v>
      </c>
      <c r="S18" s="6" t="str">
        <f t="shared" ref="S18:AF18" si="17">DEC2HEX(D18)</f>
        <v>7FFFFFFFFF</v>
      </c>
      <c r="T18" s="6" t="e">
        <f>DEC2HEX(E18,1)</f>
        <v>#NUM!</v>
      </c>
      <c r="U18" s="6" t="str">
        <f t="shared" si="17"/>
        <v>8000000000</v>
      </c>
      <c r="V18" s="6" t="e">
        <f>DEC2HEX(G18)</f>
        <v>#NUM!</v>
      </c>
      <c r="W18" s="6" t="str">
        <f>DEC2HEX(H18,1)</f>
        <v>0</v>
      </c>
      <c r="X18" s="6" t="e">
        <f t="shared" si="17"/>
        <v>#VALUE!</v>
      </c>
      <c r="Y18" s="6" t="e">
        <f t="shared" si="17"/>
        <v>#VALUE!</v>
      </c>
      <c r="Z18" s="6" t="e">
        <f t="shared" si="17"/>
        <v>#VALUE!</v>
      </c>
      <c r="AA18" s="6" t="e">
        <f t="shared" si="17"/>
        <v>#N/A</v>
      </c>
      <c r="AB18" s="6" t="e">
        <f t="shared" si="17"/>
        <v>#DIV/0!</v>
      </c>
      <c r="AC18" s="6" t="e">
        <f t="shared" si="17"/>
        <v>#NAME?</v>
      </c>
      <c r="AD18" s="6" t="e">
        <f t="shared" si="17"/>
        <v>#NULL!</v>
      </c>
      <c r="AE18" s="6" t="e">
        <f t="shared" si="17"/>
        <v>#NUM!</v>
      </c>
      <c r="AF18" s="6" t="e">
        <f t="shared" si="17"/>
        <v>#REF!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9" x14ac:dyDescent="0.15">
      <c r="A19" s="35" t="s">
        <v>372</v>
      </c>
      <c r="B19" s="36" t="s">
        <v>541</v>
      </c>
      <c r="C19" s="4">
        <f>D19+1</f>
        <v>536870912.70000005</v>
      </c>
      <c r="D19" s="4">
        <v>536870911.69999999</v>
      </c>
      <c r="E19" s="4">
        <v>100</v>
      </c>
      <c r="F19" s="4">
        <f>-D19-1</f>
        <v>-536870912.70000005</v>
      </c>
      <c r="G19" s="4">
        <f>F19-1</f>
        <v>-536870913.70000005</v>
      </c>
      <c r="H19" s="6"/>
      <c r="I19" s="6" t="s">
        <v>410</v>
      </c>
      <c r="J19" s="6" t="b">
        <v>1</v>
      </c>
      <c r="K19" s="6" t="e">
        <f>#VALUE!</f>
        <v>#VALUE!</v>
      </c>
      <c r="L19" s="6" t="e">
        <v>#N/A</v>
      </c>
      <c r="M19" s="7" t="e">
        <v>#DIV/0!</v>
      </c>
      <c r="N19" s="7" t="e">
        <v>#NAME?</v>
      </c>
      <c r="O19" s="7" t="e">
        <v>#NULL!</v>
      </c>
      <c r="P19" s="7" t="e">
        <v>#NUM!</v>
      </c>
      <c r="Q19" s="7" t="e">
        <v>#REF!</v>
      </c>
      <c r="R19" s="6" t="e">
        <f>DEC2OCT(C19)</f>
        <v>#NUM!</v>
      </c>
      <c r="S19" s="6" t="str">
        <f t="shared" ref="S19:AF19" si="18">DEC2OCT(D19)</f>
        <v>3777777777</v>
      </c>
      <c r="T19" s="6" t="e">
        <f>DEC2OCT(E19,1)</f>
        <v>#NUM!</v>
      </c>
      <c r="U19" s="6" t="str">
        <f t="shared" si="18"/>
        <v>4000000000</v>
      </c>
      <c r="V19" s="6" t="e">
        <f t="shared" si="18"/>
        <v>#NUM!</v>
      </c>
      <c r="W19" s="6" t="e">
        <f>DEC2OCT(H19,0)</f>
        <v>#NUM!</v>
      </c>
      <c r="X19" s="6" t="e">
        <f t="shared" si="18"/>
        <v>#VALUE!</v>
      </c>
      <c r="Y19" s="6" t="e">
        <f t="shared" si="18"/>
        <v>#VALUE!</v>
      </c>
      <c r="Z19" s="6" t="e">
        <f t="shared" si="18"/>
        <v>#VALUE!</v>
      </c>
      <c r="AA19" s="6" t="e">
        <f t="shared" si="18"/>
        <v>#N/A</v>
      </c>
      <c r="AB19" s="6" t="e">
        <f t="shared" si="18"/>
        <v>#DIV/0!</v>
      </c>
      <c r="AC19" s="6" t="e">
        <f t="shared" si="18"/>
        <v>#NAME?</v>
      </c>
      <c r="AD19" s="6" t="e">
        <f t="shared" si="18"/>
        <v>#NULL!</v>
      </c>
      <c r="AE19" s="6" t="e">
        <f t="shared" si="18"/>
        <v>#NUM!</v>
      </c>
      <c r="AF19" s="6" t="e">
        <f t="shared" si="18"/>
        <v>#REF!</v>
      </c>
    </row>
    <row r="20" spans="1:49" x14ac:dyDescent="0.15">
      <c r="A20" s="35" t="s">
        <v>373</v>
      </c>
      <c r="B20" s="36" t="s">
        <v>541</v>
      </c>
      <c r="C20" s="4">
        <v>13</v>
      </c>
      <c r="D20" s="4">
        <v>0</v>
      </c>
      <c r="E20" s="4">
        <v>2.2999999999999998</v>
      </c>
      <c r="F20" s="4">
        <v>99</v>
      </c>
      <c r="G20" s="4">
        <v>-1</v>
      </c>
      <c r="H20" s="6"/>
      <c r="I20" s="16" t="s">
        <v>613</v>
      </c>
      <c r="J20" s="6" t="b">
        <v>0</v>
      </c>
      <c r="K20" s="6" t="e">
        <f>#VALUE!</f>
        <v>#VALUE!</v>
      </c>
      <c r="L20" s="6" t="e">
        <v>#N/A</v>
      </c>
      <c r="M20" s="7" t="e">
        <v>#DIV/0!</v>
      </c>
      <c r="N20" s="7" t="e">
        <v>#NAME?</v>
      </c>
      <c r="O20" s="7" t="e">
        <v>#NULL!</v>
      </c>
      <c r="P20" s="7" t="e">
        <v>#NUM!</v>
      </c>
      <c r="Q20" s="7" t="e">
        <v>#REF!</v>
      </c>
      <c r="R20" s="4">
        <f>DELTA(C20)</f>
        <v>0</v>
      </c>
      <c r="S20" s="4">
        <f t="shared" ref="S20:AF20" si="19">DELTA(D20)</f>
        <v>1</v>
      </c>
      <c r="T20" s="4">
        <f>DELTA(E20, "2.3")</f>
        <v>1</v>
      </c>
      <c r="U20" s="4">
        <f t="shared" si="19"/>
        <v>0</v>
      </c>
      <c r="V20" s="4">
        <f t="shared" si="19"/>
        <v>0</v>
      </c>
      <c r="W20" s="4">
        <f t="shared" si="19"/>
        <v>1</v>
      </c>
      <c r="X20" s="4">
        <f>DELTA(I20)</f>
        <v>0</v>
      </c>
      <c r="Y20" s="4" t="e">
        <f t="shared" si="19"/>
        <v>#VALUE!</v>
      </c>
      <c r="Z20" s="4" t="e">
        <f t="shared" si="19"/>
        <v>#VALUE!</v>
      </c>
      <c r="AA20" s="4" t="e">
        <f t="shared" si="19"/>
        <v>#N/A</v>
      </c>
      <c r="AB20" s="4" t="e">
        <f t="shared" si="19"/>
        <v>#DIV/0!</v>
      </c>
      <c r="AC20" s="4" t="e">
        <f t="shared" si="19"/>
        <v>#NAME?</v>
      </c>
      <c r="AD20" s="4" t="e">
        <f t="shared" si="19"/>
        <v>#NULL!</v>
      </c>
      <c r="AE20" s="4" t="e">
        <f t="shared" si="19"/>
        <v>#NUM!</v>
      </c>
      <c r="AF20" s="4" t="e">
        <f t="shared" si="19"/>
        <v>#REF!</v>
      </c>
      <c r="AG20" s="4" t="e">
        <f>DELTA(C20:I20)</f>
        <v>#VALUE!</v>
      </c>
      <c r="AH20" s="4" t="e">
        <f t="array" ref="AH20:AW20">DELTA(D20:G20)</f>
        <v>#VALUE!</v>
      </c>
      <c r="AI20" s="4" t="e">
        <v>#VALUE!</v>
      </c>
      <c r="AJ20" s="4" t="e">
        <v>#VALUE!</v>
      </c>
      <c r="AK20" s="4" t="e">
        <v>#VALUE!</v>
      </c>
      <c r="AL20" s="4" t="e">
        <v>#VALUE!</v>
      </c>
      <c r="AM20" s="4" t="e">
        <v>#VALUE!</v>
      </c>
      <c r="AN20" s="4" t="e">
        <v>#VALUE!</v>
      </c>
      <c r="AO20" s="4" t="e">
        <v>#VALUE!</v>
      </c>
      <c r="AP20" s="4" t="e">
        <v>#VALUE!</v>
      </c>
      <c r="AQ20" s="4" t="e">
        <v>#VALUE!</v>
      </c>
      <c r="AR20" s="4" t="e">
        <v>#VALUE!</v>
      </c>
      <c r="AS20" s="4" t="e">
        <v>#VALUE!</v>
      </c>
      <c r="AT20" s="4" t="e">
        <v>#VALUE!</v>
      </c>
      <c r="AU20" s="4" t="e">
        <v>#VALUE!</v>
      </c>
      <c r="AV20" s="4" t="e">
        <v>#VALUE!</v>
      </c>
      <c r="AW20" s="4" t="e">
        <v>#VALUE!</v>
      </c>
    </row>
    <row r="21" spans="1:49" ht="12" customHeight="1" x14ac:dyDescent="0.15">
      <c r="A21" s="35" t="s">
        <v>374</v>
      </c>
      <c r="B21" s="36" t="s">
        <v>541</v>
      </c>
      <c r="C21" s="4">
        <v>0</v>
      </c>
      <c r="D21" s="4">
        <v>0.2</v>
      </c>
      <c r="E21" s="4">
        <v>2.2999999999999998</v>
      </c>
      <c r="F21" s="4">
        <v>2</v>
      </c>
      <c r="G21" s="4">
        <v>-2E-3</v>
      </c>
      <c r="H21" s="6"/>
      <c r="I21" s="16" t="s">
        <v>778</v>
      </c>
      <c r="J21" s="6" t="b">
        <v>1</v>
      </c>
      <c r="K21" s="6" t="e">
        <f>#VALUE!</f>
        <v>#VALUE!</v>
      </c>
      <c r="L21" s="6" t="e">
        <v>#N/A</v>
      </c>
      <c r="M21" s="7" t="e">
        <v>#DIV/0!</v>
      </c>
      <c r="N21" s="7" t="e">
        <v>#NAME?</v>
      </c>
      <c r="O21" s="7" t="e">
        <v>#NULL!</v>
      </c>
      <c r="P21" s="7" t="e">
        <v>#NUM!</v>
      </c>
      <c r="Q21" s="7" t="e">
        <v>#REF!</v>
      </c>
      <c r="R21" s="4">
        <f>ERF(C21,D21)</f>
        <v>0.22270258921047847</v>
      </c>
      <c r="S21" s="4">
        <f t="shared" ref="S21:AF21" si="20">ERF(D21,E21)</f>
        <v>0.77615423419216489</v>
      </c>
      <c r="T21" s="4">
        <f t="shared" si="20"/>
        <v>-3.5345583836906558E-3</v>
      </c>
      <c r="U21" s="4">
        <f t="shared" si="20"/>
        <v>-0.99757902034413626</v>
      </c>
      <c r="V21" s="4">
        <f t="shared" si="20"/>
        <v>2.2567553251835238E-3</v>
      </c>
      <c r="W21" s="4">
        <f t="shared" si="20"/>
        <v>-0.91031397822963533</v>
      </c>
      <c r="X21" s="4" t="e">
        <f>ERF(I21,J21)</f>
        <v>#VALUE!</v>
      </c>
      <c r="Y21" s="4" t="e">
        <f>ERF(J21,G21)</f>
        <v>#VALUE!</v>
      </c>
      <c r="Z21" s="4" t="e">
        <f t="shared" si="20"/>
        <v>#VALUE!</v>
      </c>
      <c r="AA21" s="4" t="e">
        <f>ERF(L21,M21)</f>
        <v>#N/A</v>
      </c>
      <c r="AB21" s="4" t="e">
        <f t="shared" si="20"/>
        <v>#DIV/0!</v>
      </c>
      <c r="AC21" s="4" t="e">
        <f t="shared" si="20"/>
        <v>#NAME?</v>
      </c>
      <c r="AD21" s="4" t="e">
        <f t="shared" si="20"/>
        <v>#NULL!</v>
      </c>
      <c r="AE21" s="4" t="e">
        <f t="shared" si="20"/>
        <v>#NUM!</v>
      </c>
      <c r="AF21" s="4" t="e">
        <f t="shared" si="20"/>
        <v>#REF!</v>
      </c>
      <c r="AG21" s="4" t="e">
        <f>ERF(C21:I21)</f>
        <v>#VALUE!</v>
      </c>
      <c r="AH21" s="4" t="e">
        <f t="array" ref="AH21:AW21">ERF(C21:I21)</f>
        <v>#VALUE!</v>
      </c>
      <c r="AI21" s="4" t="e">
        <v>#VALUE!</v>
      </c>
      <c r="AJ21" s="4" t="e">
        <v>#VALUE!</v>
      </c>
      <c r="AK21" s="4" t="e">
        <v>#VALUE!</v>
      </c>
      <c r="AL21" s="4" t="e">
        <v>#VALUE!</v>
      </c>
      <c r="AM21" s="4" t="e">
        <v>#VALUE!</v>
      </c>
      <c r="AN21" s="4" t="e">
        <v>#VALUE!</v>
      </c>
      <c r="AO21" s="4" t="e">
        <v>#VALUE!</v>
      </c>
      <c r="AP21" s="4" t="e">
        <v>#VALUE!</v>
      </c>
      <c r="AQ21" s="4" t="e">
        <v>#VALUE!</v>
      </c>
      <c r="AR21" s="4" t="e">
        <v>#VALUE!</v>
      </c>
      <c r="AS21" s="4" t="e">
        <v>#VALUE!</v>
      </c>
      <c r="AT21" s="4" t="e">
        <v>#VALUE!</v>
      </c>
      <c r="AU21" s="4" t="e">
        <v>#VALUE!</v>
      </c>
      <c r="AV21" s="4" t="e">
        <v>#VALUE!</v>
      </c>
      <c r="AW21" s="4" t="e">
        <v>#VALUE!</v>
      </c>
    </row>
    <row r="22" spans="1:49" x14ac:dyDescent="0.15">
      <c r="A22" s="35" t="s">
        <v>375</v>
      </c>
      <c r="B22" s="36" t="s">
        <v>541</v>
      </c>
      <c r="C22" s="4">
        <v>0</v>
      </c>
      <c r="D22" s="4">
        <v>0.2</v>
      </c>
      <c r="E22" s="4">
        <v>2.2999999999999998</v>
      </c>
      <c r="F22" s="4">
        <v>2</v>
      </c>
      <c r="G22" s="4">
        <v>-2E-3</v>
      </c>
      <c r="H22" s="6"/>
      <c r="I22" s="16" t="s">
        <v>608</v>
      </c>
      <c r="J22" s="6" t="b">
        <v>1</v>
      </c>
      <c r="K22" s="6" t="e">
        <f>#VALUE!</f>
        <v>#VALUE!</v>
      </c>
      <c r="L22" s="6" t="e">
        <v>#N/A</v>
      </c>
      <c r="M22" s="7" t="e">
        <v>#DIV/0!</v>
      </c>
      <c r="N22" s="7" t="e">
        <v>#NAME?</v>
      </c>
      <c r="O22" s="7" t="e">
        <v>#NULL!</v>
      </c>
      <c r="P22" s="7" t="e">
        <v>#NUM!</v>
      </c>
      <c r="Q22" s="7" t="e">
        <v>#REF!</v>
      </c>
      <c r="R22" s="4">
        <f>_xlfn.ERF.PRECISE(C22)</f>
        <v>0</v>
      </c>
      <c r="S22" s="4">
        <f t="shared" ref="S22:AF22" si="21">_xlfn.ERF.PRECISE(D22)</f>
        <v>0.22270258921047847</v>
      </c>
      <c r="T22" s="4">
        <f t="shared" si="21"/>
        <v>0.99885682340264337</v>
      </c>
      <c r="U22" s="4">
        <f t="shared" si="21"/>
        <v>0.99532226501895271</v>
      </c>
      <c r="V22" s="4">
        <f t="shared" si="21"/>
        <v>-2.2567553251835238E-3</v>
      </c>
      <c r="W22" s="4">
        <f t="shared" si="21"/>
        <v>0</v>
      </c>
      <c r="X22" s="4">
        <f>_xlfn.ERF.PRECISE(I22)</f>
        <v>0.99999397423884828</v>
      </c>
      <c r="Y22" s="4" t="e">
        <f>_xlfn.ERF.PRECISE(J22)</f>
        <v>#VALUE!</v>
      </c>
      <c r="Z22" s="4" t="e">
        <f t="shared" si="21"/>
        <v>#VALUE!</v>
      </c>
      <c r="AA22" s="4" t="e">
        <f t="shared" si="21"/>
        <v>#N/A</v>
      </c>
      <c r="AB22" s="4" t="e">
        <f t="shared" si="21"/>
        <v>#DIV/0!</v>
      </c>
      <c r="AC22" s="4" t="e">
        <f t="shared" si="21"/>
        <v>#NAME?</v>
      </c>
      <c r="AD22" s="4" t="e">
        <f t="shared" si="21"/>
        <v>#NULL!</v>
      </c>
      <c r="AE22" s="4" t="e">
        <f t="shared" si="21"/>
        <v>#NUM!</v>
      </c>
      <c r="AF22" s="4" t="e">
        <f t="shared" si="21"/>
        <v>#REF!</v>
      </c>
      <c r="AG22" s="4" t="e">
        <f>_xlfn.ERF.PRECISE(C22:I22)</f>
        <v>#VALUE!</v>
      </c>
      <c r="AH22" s="4" t="e">
        <f t="array" ref="AH22:AW22">_xlfn.ERF.PRECISE(C22:I22)</f>
        <v>#VALUE!</v>
      </c>
      <c r="AI22" s="4" t="e">
        <v>#VALUE!</v>
      </c>
      <c r="AJ22" s="4" t="e">
        <v>#VALUE!</v>
      </c>
      <c r="AK22" s="4" t="e">
        <v>#VALUE!</v>
      </c>
      <c r="AL22" s="4" t="e">
        <v>#VALUE!</v>
      </c>
      <c r="AM22" s="4" t="e">
        <v>#VALUE!</v>
      </c>
      <c r="AN22" s="4" t="e">
        <v>#VALUE!</v>
      </c>
      <c r="AO22" s="4" t="e">
        <v>#VALUE!</v>
      </c>
      <c r="AP22" s="4" t="e">
        <v>#VALUE!</v>
      </c>
      <c r="AQ22" s="4" t="e">
        <v>#VALUE!</v>
      </c>
      <c r="AR22" s="4" t="e">
        <v>#VALUE!</v>
      </c>
      <c r="AS22" s="4" t="e">
        <v>#VALUE!</v>
      </c>
      <c r="AT22" s="4" t="e">
        <v>#VALUE!</v>
      </c>
      <c r="AU22" s="4" t="e">
        <v>#VALUE!</v>
      </c>
      <c r="AV22" s="4" t="e">
        <v>#VALUE!</v>
      </c>
      <c r="AW22" s="4" t="e">
        <v>#VALUE!</v>
      </c>
    </row>
    <row r="23" spans="1:49" x14ac:dyDescent="0.15">
      <c r="A23" s="37" t="s">
        <v>376</v>
      </c>
      <c r="B23" s="36" t="s">
        <v>541</v>
      </c>
      <c r="C23" s="4">
        <v>0</v>
      </c>
      <c r="D23" s="4">
        <v>0.2</v>
      </c>
      <c r="E23" s="4">
        <v>2.2999999999999998</v>
      </c>
      <c r="F23" s="4">
        <v>2</v>
      </c>
      <c r="G23" s="4">
        <v>-2E-3</v>
      </c>
      <c r="H23" s="6"/>
      <c r="I23" s="16" t="s">
        <v>608</v>
      </c>
      <c r="J23" s="6" t="b">
        <v>1</v>
      </c>
      <c r="K23" s="6" t="e">
        <f>#VALUE!</f>
        <v>#VALUE!</v>
      </c>
      <c r="L23" s="6" t="e">
        <v>#N/A</v>
      </c>
      <c r="M23" s="7" t="e">
        <v>#DIV/0!</v>
      </c>
      <c r="N23" s="7" t="e">
        <v>#NAME?</v>
      </c>
      <c r="O23" s="7" t="e">
        <v>#NULL!</v>
      </c>
      <c r="P23" s="7" t="e">
        <v>#NUM!</v>
      </c>
      <c r="Q23" s="7" t="e">
        <v>#REF!</v>
      </c>
      <c r="R23" s="4">
        <f>ERFC(C23)</f>
        <v>1</v>
      </c>
      <c r="S23" s="4">
        <f t="shared" ref="S23:AF23" si="22">ERFC(D23)</f>
        <v>0.77729741078952153</v>
      </c>
      <c r="T23" s="4">
        <f t="shared" si="22"/>
        <v>1.1431765973566527E-3</v>
      </c>
      <c r="U23" s="4">
        <f t="shared" si="22"/>
        <v>4.6777349810472645E-3</v>
      </c>
      <c r="V23" s="4">
        <f>ERFC(G23)</f>
        <v>1.0022567553251835</v>
      </c>
      <c r="W23" s="4">
        <f t="shared" si="22"/>
        <v>1</v>
      </c>
      <c r="X23" s="4">
        <f t="shared" si="22"/>
        <v>6.0257611517620834E-6</v>
      </c>
      <c r="Y23" s="4" t="e">
        <f t="shared" si="22"/>
        <v>#VALUE!</v>
      </c>
      <c r="Z23" s="4" t="e">
        <f t="shared" si="22"/>
        <v>#VALUE!</v>
      </c>
      <c r="AA23" s="4" t="e">
        <f t="shared" si="22"/>
        <v>#N/A</v>
      </c>
      <c r="AB23" s="4" t="e">
        <f t="shared" si="22"/>
        <v>#DIV/0!</v>
      </c>
      <c r="AC23" s="4" t="e">
        <f t="shared" si="22"/>
        <v>#NAME?</v>
      </c>
      <c r="AD23" s="4" t="e">
        <f t="shared" si="22"/>
        <v>#NULL!</v>
      </c>
      <c r="AE23" s="4" t="e">
        <f t="shared" si="22"/>
        <v>#NUM!</v>
      </c>
      <c r="AF23" s="4" t="e">
        <f t="shared" si="22"/>
        <v>#REF!</v>
      </c>
      <c r="AG23" s="4" t="e">
        <f>ERFC(C23:I23)</f>
        <v>#VALUE!</v>
      </c>
      <c r="AH23" s="4" t="e">
        <f t="array" ref="AH23:AW23">ERFC(C23:I23)</f>
        <v>#VALUE!</v>
      </c>
      <c r="AI23" s="4" t="e">
        <v>#VALUE!</v>
      </c>
      <c r="AJ23" s="4" t="e">
        <v>#VALUE!</v>
      </c>
      <c r="AK23" s="4" t="e">
        <v>#VALUE!</v>
      </c>
      <c r="AL23" s="4" t="e">
        <v>#VALUE!</v>
      </c>
      <c r="AM23" s="4" t="e">
        <v>#VALUE!</v>
      </c>
      <c r="AN23" s="4" t="e">
        <v>#VALUE!</v>
      </c>
      <c r="AO23" s="4" t="e">
        <v>#VALUE!</v>
      </c>
      <c r="AP23" s="4" t="e">
        <v>#VALUE!</v>
      </c>
      <c r="AQ23" s="4" t="e">
        <v>#VALUE!</v>
      </c>
      <c r="AR23" s="4" t="e">
        <v>#VALUE!</v>
      </c>
      <c r="AS23" s="4" t="e">
        <v>#VALUE!</v>
      </c>
      <c r="AT23" s="4" t="e">
        <v>#VALUE!</v>
      </c>
      <c r="AU23" s="4" t="e">
        <v>#VALUE!</v>
      </c>
      <c r="AV23" s="4" t="e">
        <v>#VALUE!</v>
      </c>
      <c r="AW23" s="4" t="e">
        <v>#VALUE!</v>
      </c>
    </row>
    <row r="24" spans="1:49" x14ac:dyDescent="0.15">
      <c r="A24" s="37" t="s">
        <v>377</v>
      </c>
      <c r="B24" s="36" t="s">
        <v>541</v>
      </c>
      <c r="C24" s="4">
        <v>0</v>
      </c>
      <c r="D24" s="4">
        <v>0.2</v>
      </c>
      <c r="E24" s="4">
        <v>2.2999999999999998</v>
      </c>
      <c r="F24" s="4">
        <v>2</v>
      </c>
      <c r="G24" s="4">
        <v>-2E-3</v>
      </c>
      <c r="H24" s="6"/>
      <c r="I24" s="16" t="s">
        <v>608</v>
      </c>
      <c r="J24" s="6" t="b">
        <v>1</v>
      </c>
      <c r="K24" s="6" t="e">
        <f>#VALUE!</f>
        <v>#VALUE!</v>
      </c>
      <c r="L24" s="6" t="e">
        <v>#N/A</v>
      </c>
      <c r="M24" s="7" t="e">
        <v>#DIV/0!</v>
      </c>
      <c r="N24" s="7" t="e">
        <v>#NAME?</v>
      </c>
      <c r="O24" s="7" t="e">
        <v>#NULL!</v>
      </c>
      <c r="P24" s="7" t="e">
        <v>#NUM!</v>
      </c>
      <c r="Q24" s="7" t="e">
        <v>#REF!</v>
      </c>
      <c r="R24" s="4">
        <f>_xlfn.ERFC.PRECISE(C24)</f>
        <v>1</v>
      </c>
      <c r="S24" s="4">
        <f t="shared" ref="S24:AF24" si="23">_xlfn.ERFC.PRECISE(D24)</f>
        <v>0.77729741078952153</v>
      </c>
      <c r="T24" s="4">
        <f t="shared" si="23"/>
        <v>1.1431765973566527E-3</v>
      </c>
      <c r="U24" s="4">
        <f t="shared" si="23"/>
        <v>4.6777349810472645E-3</v>
      </c>
      <c r="V24" s="4">
        <f>_xlfn.ERFC.PRECISE(G24)</f>
        <v>1.0022567553251835</v>
      </c>
      <c r="W24" s="4">
        <f t="shared" si="23"/>
        <v>1</v>
      </c>
      <c r="X24" s="4">
        <f t="shared" si="23"/>
        <v>6.0257611517620834E-6</v>
      </c>
      <c r="Y24" s="4" t="e">
        <f t="shared" si="23"/>
        <v>#VALUE!</v>
      </c>
      <c r="Z24" s="4" t="e">
        <f t="shared" si="23"/>
        <v>#VALUE!</v>
      </c>
      <c r="AA24" s="4" t="e">
        <f t="shared" si="23"/>
        <v>#N/A</v>
      </c>
      <c r="AB24" s="4" t="e">
        <f t="shared" si="23"/>
        <v>#DIV/0!</v>
      </c>
      <c r="AC24" s="4" t="e">
        <f t="shared" si="23"/>
        <v>#NAME?</v>
      </c>
      <c r="AD24" s="4" t="e">
        <f t="shared" si="23"/>
        <v>#NULL!</v>
      </c>
      <c r="AE24" s="4" t="e">
        <f t="shared" si="23"/>
        <v>#NUM!</v>
      </c>
      <c r="AF24" s="4" t="e">
        <f t="shared" si="23"/>
        <v>#REF!</v>
      </c>
      <c r="AG24" s="4" t="e">
        <f>_xlfn.ERFC.PRECISE(C24:I24)</f>
        <v>#VALUE!</v>
      </c>
      <c r="AH24" s="4" t="e">
        <f t="array" ref="AH24:AW24">_xlfn.ERFC.PRECISE(C24:I24)</f>
        <v>#VALUE!</v>
      </c>
      <c r="AI24" s="4" t="e">
        <v>#VALUE!</v>
      </c>
      <c r="AJ24" s="4" t="e">
        <v>#VALUE!</v>
      </c>
      <c r="AK24" s="4" t="e">
        <v>#VALUE!</v>
      </c>
      <c r="AL24" s="4" t="e">
        <v>#VALUE!</v>
      </c>
      <c r="AM24" s="4" t="e">
        <v>#VALUE!</v>
      </c>
      <c r="AN24" s="4" t="e">
        <v>#VALUE!</v>
      </c>
      <c r="AO24" s="4" t="e">
        <v>#VALUE!</v>
      </c>
      <c r="AP24" s="4" t="e">
        <v>#VALUE!</v>
      </c>
      <c r="AQ24" s="4" t="e">
        <v>#VALUE!</v>
      </c>
      <c r="AR24" s="4" t="e">
        <v>#VALUE!</v>
      </c>
      <c r="AS24" s="4" t="e">
        <v>#VALUE!</v>
      </c>
      <c r="AT24" s="4" t="e">
        <v>#VALUE!</v>
      </c>
      <c r="AU24" s="4" t="e">
        <v>#VALUE!</v>
      </c>
      <c r="AV24" s="4" t="e">
        <v>#VALUE!</v>
      </c>
      <c r="AW24" s="4" t="e">
        <v>#VALUE!</v>
      </c>
    </row>
    <row r="25" spans="1:49" x14ac:dyDescent="0.15">
      <c r="A25" s="37" t="s">
        <v>378</v>
      </c>
      <c r="B25" s="36" t="s">
        <v>541</v>
      </c>
      <c r="C25" s="4">
        <v>13</v>
      </c>
      <c r="D25" s="4">
        <v>25</v>
      </c>
      <c r="E25" s="4">
        <v>2.2999999999999998</v>
      </c>
      <c r="F25" s="4">
        <v>99</v>
      </c>
      <c r="G25" s="4">
        <v>-1</v>
      </c>
      <c r="H25" s="6"/>
      <c r="I25" s="16" t="s">
        <v>613</v>
      </c>
      <c r="J25" s="6" t="b">
        <v>1</v>
      </c>
      <c r="K25" s="6" t="e">
        <f>#VALUE!</f>
        <v>#VALUE!</v>
      </c>
      <c r="L25" s="6" t="e">
        <v>#N/A</v>
      </c>
      <c r="M25" s="7" t="e">
        <v>#DIV/0!</v>
      </c>
      <c r="N25" s="7" t="e">
        <v>#NAME?</v>
      </c>
      <c r="O25" s="7" t="e">
        <v>#NULL!</v>
      </c>
      <c r="P25" s="7" t="e">
        <v>#NUM!</v>
      </c>
      <c r="Q25" s="7" t="e">
        <v>#REF!</v>
      </c>
      <c r="R25" s="4">
        <f>GESTEP(C25)</f>
        <v>1</v>
      </c>
      <c r="S25" s="4">
        <f>GESTEP(D25,"30.2")</f>
        <v>0</v>
      </c>
      <c r="T25" s="4" t="e">
        <f>GESTEP(E25,"a")</f>
        <v>#VALUE!</v>
      </c>
      <c r="U25" s="4">
        <f t="shared" ref="U25:AF25" si="24">GESTEP(F25)</f>
        <v>1</v>
      </c>
      <c r="V25" s="4">
        <f t="shared" si="24"/>
        <v>0</v>
      </c>
      <c r="W25" s="4">
        <f t="shared" si="24"/>
        <v>1</v>
      </c>
      <c r="X25" s="4">
        <f t="shared" si="24"/>
        <v>1</v>
      </c>
      <c r="Y25" s="4" t="e">
        <f t="shared" si="24"/>
        <v>#VALUE!</v>
      </c>
      <c r="Z25" s="4" t="e">
        <f t="shared" si="24"/>
        <v>#VALUE!</v>
      </c>
      <c r="AA25" s="4" t="e">
        <f t="shared" si="24"/>
        <v>#N/A</v>
      </c>
      <c r="AB25" s="4" t="e">
        <f t="shared" si="24"/>
        <v>#DIV/0!</v>
      </c>
      <c r="AC25" s="4" t="e">
        <f t="shared" si="24"/>
        <v>#NAME?</v>
      </c>
      <c r="AD25" s="4" t="e">
        <f t="shared" si="24"/>
        <v>#NULL!</v>
      </c>
      <c r="AE25" s="4" t="e">
        <f t="shared" si="24"/>
        <v>#NUM!</v>
      </c>
      <c r="AF25" s="4" t="e">
        <f t="shared" si="24"/>
        <v>#REF!</v>
      </c>
      <c r="AG25" s="4" t="e">
        <f>GESTEP(C25:I25)</f>
        <v>#VALUE!</v>
      </c>
      <c r="AH25" s="4" t="e">
        <f t="array" ref="AH25:AW25">GESTEP(C25:I25)</f>
        <v>#VALUE!</v>
      </c>
      <c r="AI25" s="4" t="e">
        <v>#VALUE!</v>
      </c>
      <c r="AJ25" s="4" t="e">
        <v>#VALUE!</v>
      </c>
      <c r="AK25" s="4" t="e">
        <v>#VALUE!</v>
      </c>
      <c r="AL25" s="4" t="e">
        <v>#VALUE!</v>
      </c>
      <c r="AM25" s="4" t="e">
        <v>#VALUE!</v>
      </c>
      <c r="AN25" s="4" t="e">
        <v>#VALUE!</v>
      </c>
      <c r="AO25" s="4" t="e">
        <v>#VALUE!</v>
      </c>
      <c r="AP25" s="4" t="e">
        <v>#VALUE!</v>
      </c>
      <c r="AQ25" s="4" t="e">
        <v>#VALUE!</v>
      </c>
      <c r="AR25" s="4" t="e">
        <v>#VALUE!</v>
      </c>
      <c r="AS25" s="4" t="e">
        <v>#VALUE!</v>
      </c>
      <c r="AT25" s="4" t="e">
        <v>#VALUE!</v>
      </c>
      <c r="AU25" s="4" t="e">
        <v>#VALUE!</v>
      </c>
      <c r="AV25" s="4" t="e">
        <v>#VALUE!</v>
      </c>
      <c r="AW25" s="4" t="e">
        <v>#VALUE!</v>
      </c>
    </row>
    <row r="26" spans="1:49" x14ac:dyDescent="0.15">
      <c r="A26" s="37" t="s">
        <v>379</v>
      </c>
      <c r="B26" s="36" t="s">
        <v>541</v>
      </c>
      <c r="C26" s="4">
        <v>0</v>
      </c>
      <c r="D26" s="4">
        <v>9999999999</v>
      </c>
      <c r="E26" s="4">
        <v>2.2999999999999998</v>
      </c>
      <c r="F26" s="4">
        <v>11111111111</v>
      </c>
      <c r="G26" s="4">
        <v>-1</v>
      </c>
      <c r="H26" s="6"/>
      <c r="I26" s="6" t="s">
        <v>410</v>
      </c>
      <c r="J26" s="6" t="b">
        <v>1</v>
      </c>
      <c r="K26" s="6" t="e">
        <f>#VALUE!</f>
        <v>#VALUE!</v>
      </c>
      <c r="L26" s="6" t="e">
        <v>#N/A</v>
      </c>
      <c r="M26" s="7" t="e">
        <v>#DIV/0!</v>
      </c>
      <c r="N26" s="7" t="e">
        <v>#NAME?</v>
      </c>
      <c r="O26" s="7" t="e">
        <v>#NULL!</v>
      </c>
      <c r="P26" s="7" t="e">
        <v>#NUM!</v>
      </c>
      <c r="Q26" s="7" t="e">
        <v>#REF!</v>
      </c>
      <c r="R26" s="6" t="str">
        <f>HEX2BIN(C26)</f>
        <v>0</v>
      </c>
      <c r="S26" s="6" t="e">
        <f>HEX2BIN(D26)</f>
        <v>#NUM!</v>
      </c>
      <c r="T26" s="6" t="e">
        <f>HEX2BIN(E26)</f>
        <v>#NUM!</v>
      </c>
      <c r="U26" s="6" t="e">
        <f t="shared" ref="U26:AF26" si="25">HEX2BIN(F26)</f>
        <v>#NUM!</v>
      </c>
      <c r="V26" s="6" t="e">
        <f t="shared" si="25"/>
        <v>#NUM!</v>
      </c>
      <c r="W26" s="6" t="str">
        <f t="shared" si="25"/>
        <v>0</v>
      </c>
      <c r="X26" s="6" t="str">
        <f>HEX2BIN(I26)</f>
        <v>1111111110</v>
      </c>
      <c r="Y26" s="6" t="e">
        <f t="shared" si="25"/>
        <v>#VALUE!</v>
      </c>
      <c r="Z26" s="6" t="e">
        <f t="shared" si="25"/>
        <v>#VALUE!</v>
      </c>
      <c r="AA26" s="6" t="e">
        <f t="shared" si="25"/>
        <v>#N/A</v>
      </c>
      <c r="AB26" s="6" t="e">
        <f t="shared" si="25"/>
        <v>#DIV/0!</v>
      </c>
      <c r="AC26" s="6" t="e">
        <f t="shared" si="25"/>
        <v>#NAME?</v>
      </c>
      <c r="AD26" s="6" t="e">
        <f t="shared" si="25"/>
        <v>#NULL!</v>
      </c>
      <c r="AE26" s="6" t="e">
        <f t="shared" si="25"/>
        <v>#NUM!</v>
      </c>
      <c r="AF26" s="6" t="e">
        <f t="shared" si="25"/>
        <v>#REF!</v>
      </c>
      <c r="AG26" s="8"/>
      <c r="AH26" s="6" t="e">
        <f t="array" ref="AH26:AO26">HEX2BIN(C26:J26)</f>
        <v>#VALUE!</v>
      </c>
      <c r="AI26" s="6" t="e">
        <v>#VALUE!</v>
      </c>
      <c r="AJ26" s="6" t="e">
        <v>#VALUE!</v>
      </c>
      <c r="AK26" s="6" t="e">
        <v>#VALUE!</v>
      </c>
      <c r="AL26" s="6" t="e">
        <v>#VALUE!</v>
      </c>
      <c r="AM26" s="6" t="e">
        <v>#VALUE!</v>
      </c>
      <c r="AN26" s="6" t="e">
        <v>#VALUE!</v>
      </c>
      <c r="AO26" s="6" t="e">
        <v>#VALUE!</v>
      </c>
    </row>
    <row r="27" spans="1:49" x14ac:dyDescent="0.15">
      <c r="A27" s="37" t="s">
        <v>380</v>
      </c>
      <c r="B27" s="36" t="s">
        <v>541</v>
      </c>
      <c r="C27" s="4">
        <v>0</v>
      </c>
      <c r="D27" s="4">
        <v>9999999999</v>
      </c>
      <c r="E27" s="4">
        <v>2.2999999999999998</v>
      </c>
      <c r="F27" s="4">
        <v>11111111111</v>
      </c>
      <c r="G27" s="4">
        <v>-1</v>
      </c>
      <c r="H27" s="6"/>
      <c r="I27" s="6" t="s">
        <v>412</v>
      </c>
      <c r="J27" s="6" t="b">
        <v>1</v>
      </c>
      <c r="K27" s="6" t="e">
        <f>#VALUE!</f>
        <v>#VALUE!</v>
      </c>
      <c r="L27" s="6" t="e">
        <v>#N/A</v>
      </c>
      <c r="M27" s="7" t="e">
        <v>#DIV/0!</v>
      </c>
      <c r="N27" s="7" t="e">
        <v>#NAME?</v>
      </c>
      <c r="O27" s="7" t="e">
        <v>#NULL!</v>
      </c>
      <c r="P27" s="7" t="e">
        <v>#NUM!</v>
      </c>
      <c r="Q27" s="7" t="e">
        <v>#REF!</v>
      </c>
      <c r="R27" s="6">
        <f>HEX2DEC(C27)</f>
        <v>0</v>
      </c>
      <c r="S27" s="6">
        <f>HEX2DEC(D27)</f>
        <v>-439804651111</v>
      </c>
      <c r="T27" s="6" t="e">
        <f>HEX2DEC(E27)</f>
        <v>#NUM!</v>
      </c>
      <c r="U27" s="6" t="e">
        <f t="shared" ref="U27:AF27" si="26">HEX2DEC(F27)</f>
        <v>#NUM!</v>
      </c>
      <c r="V27" s="6" t="e">
        <f>HEX2DEC(G27)</f>
        <v>#NUM!</v>
      </c>
      <c r="W27" s="6">
        <f>HEX2DEC(H27)</f>
        <v>0</v>
      </c>
      <c r="X27" s="6">
        <f>HEX2DEC(I27)</f>
        <v>-68719476736</v>
      </c>
      <c r="Y27" s="6" t="e">
        <f>HEX2DEC(J27)</f>
        <v>#VALUE!</v>
      </c>
      <c r="Z27" s="6" t="e">
        <f t="shared" si="26"/>
        <v>#VALUE!</v>
      </c>
      <c r="AA27" s="6" t="e">
        <f t="shared" si="26"/>
        <v>#N/A</v>
      </c>
      <c r="AB27" s="6" t="e">
        <f t="shared" si="26"/>
        <v>#DIV/0!</v>
      </c>
      <c r="AC27" s="6" t="e">
        <f t="shared" si="26"/>
        <v>#NAME?</v>
      </c>
      <c r="AD27" s="6" t="e">
        <f t="shared" si="26"/>
        <v>#NULL!</v>
      </c>
      <c r="AE27" s="6" t="e">
        <f t="shared" si="26"/>
        <v>#NUM!</v>
      </c>
      <c r="AF27" s="6" t="e">
        <f t="shared" si="26"/>
        <v>#REF!</v>
      </c>
      <c r="AG27" s="8"/>
      <c r="AH27" s="6" t="e">
        <f t="array" ref="AH27:AO27">HEX2DEC(C27:J27)</f>
        <v>#VALUE!</v>
      </c>
      <c r="AI27" s="6" t="e">
        <v>#VALUE!</v>
      </c>
      <c r="AJ27" s="6" t="e">
        <v>#VALUE!</v>
      </c>
      <c r="AK27" s="6" t="e">
        <v>#VALUE!</v>
      </c>
      <c r="AL27" s="6" t="e">
        <v>#VALUE!</v>
      </c>
      <c r="AM27" s="6" t="e">
        <v>#VALUE!</v>
      </c>
      <c r="AN27" s="6" t="e">
        <v>#VALUE!</v>
      </c>
      <c r="AO27" s="6" t="e">
        <v>#VALUE!</v>
      </c>
      <c r="AP27" s="6"/>
      <c r="AQ27" s="6"/>
      <c r="AR27" s="6"/>
      <c r="AS27" s="6"/>
      <c r="AT27" s="6"/>
      <c r="AU27" s="6"/>
      <c r="AV27" s="6"/>
    </row>
    <row r="28" spans="1:49" x14ac:dyDescent="0.15">
      <c r="A28" s="37" t="s">
        <v>381</v>
      </c>
      <c r="B28" s="36" t="s">
        <v>541</v>
      </c>
      <c r="C28" s="4">
        <v>0</v>
      </c>
      <c r="D28" s="4">
        <v>9999999999</v>
      </c>
      <c r="E28" s="4">
        <v>2.2999999999999998</v>
      </c>
      <c r="F28" s="4">
        <v>11111111111</v>
      </c>
      <c r="G28" s="4">
        <v>-1</v>
      </c>
      <c r="H28" s="6"/>
      <c r="I28" s="6" t="s">
        <v>410</v>
      </c>
      <c r="J28" s="6" t="b">
        <v>1</v>
      </c>
      <c r="K28" s="6" t="e">
        <f>#VALUE!</f>
        <v>#VALUE!</v>
      </c>
      <c r="L28" s="6" t="e">
        <v>#N/A</v>
      </c>
      <c r="M28" s="7" t="e">
        <v>#DIV/0!</v>
      </c>
      <c r="N28" s="7" t="e">
        <v>#NAME?</v>
      </c>
      <c r="O28" s="7" t="e">
        <v>#NULL!</v>
      </c>
      <c r="P28" s="7" t="e">
        <v>#NUM!</v>
      </c>
      <c r="Q28" s="7" t="e">
        <v>#REF!</v>
      </c>
      <c r="R28" s="6" t="str">
        <f>HEX2OCT(C28)</f>
        <v>0</v>
      </c>
      <c r="S28" s="6" t="e">
        <f t="shared" ref="S28:AF28" si="27">HEX2OCT(D28)</f>
        <v>#NUM!</v>
      </c>
      <c r="T28" s="6" t="e">
        <f t="shared" si="27"/>
        <v>#NUM!</v>
      </c>
      <c r="U28" s="6" t="e">
        <f t="shared" si="27"/>
        <v>#NUM!</v>
      </c>
      <c r="V28" s="6" t="e">
        <f t="shared" si="27"/>
        <v>#NUM!</v>
      </c>
      <c r="W28" s="6" t="str">
        <f t="shared" si="27"/>
        <v>0</v>
      </c>
      <c r="X28" s="6" t="str">
        <f>HEX2OCT(I28)</f>
        <v>7777777776</v>
      </c>
      <c r="Y28" s="6" t="e">
        <f t="shared" si="27"/>
        <v>#VALUE!</v>
      </c>
      <c r="Z28" s="6" t="e">
        <f t="shared" si="27"/>
        <v>#VALUE!</v>
      </c>
      <c r="AA28" s="6" t="e">
        <f t="shared" si="27"/>
        <v>#N/A</v>
      </c>
      <c r="AB28" s="6" t="e">
        <f t="shared" si="27"/>
        <v>#DIV/0!</v>
      </c>
      <c r="AC28" s="6" t="e">
        <f t="shared" si="27"/>
        <v>#NAME?</v>
      </c>
      <c r="AD28" s="6" t="e">
        <f t="shared" si="27"/>
        <v>#NULL!</v>
      </c>
      <c r="AE28" s="6" t="e">
        <f t="shared" si="27"/>
        <v>#NUM!</v>
      </c>
      <c r="AF28" s="6" t="e">
        <f t="shared" si="27"/>
        <v>#REF!</v>
      </c>
      <c r="AG28" s="8"/>
      <c r="AH28" s="6" t="e">
        <f t="array" ref="AH28:AO28">HEX2OCT(C28:J28)</f>
        <v>#VALUE!</v>
      </c>
      <c r="AI28" s="6" t="e">
        <v>#VALUE!</v>
      </c>
      <c r="AJ28" s="6" t="e">
        <v>#VALUE!</v>
      </c>
      <c r="AK28" s="6" t="e">
        <v>#VALUE!</v>
      </c>
      <c r="AL28" s="6" t="e">
        <v>#VALUE!</v>
      </c>
      <c r="AM28" s="6" t="e">
        <v>#VALUE!</v>
      </c>
      <c r="AN28" s="6" t="e">
        <v>#VALUE!</v>
      </c>
      <c r="AO28" s="6" t="e">
        <v>#VALUE!</v>
      </c>
    </row>
    <row r="29" spans="1:49" x14ac:dyDescent="0.15">
      <c r="A29" s="37" t="s">
        <v>382</v>
      </c>
      <c r="B29" s="36" t="s">
        <v>541</v>
      </c>
      <c r="C29" s="4" t="s">
        <v>773</v>
      </c>
      <c r="D29" s="4" t="s">
        <v>774</v>
      </c>
      <c r="E29" s="4" t="s">
        <v>775</v>
      </c>
      <c r="F29" s="19" t="s">
        <v>776</v>
      </c>
      <c r="G29" s="19" t="s">
        <v>772</v>
      </c>
      <c r="I29" s="4" t="s">
        <v>777</v>
      </c>
      <c r="J29" s="4" t="b">
        <v>1</v>
      </c>
      <c r="K29" s="6" t="e">
        <f>#VALUE!</f>
        <v>#VALUE!</v>
      </c>
      <c r="L29" s="6" t="e">
        <v>#N/A</v>
      </c>
      <c r="M29" s="7" t="e">
        <v>#DIV/0!</v>
      </c>
      <c r="N29" s="7" t="e">
        <v>#NAME?</v>
      </c>
      <c r="O29" s="7" t="e">
        <v>#NULL!</v>
      </c>
      <c r="P29" s="7" t="e">
        <v>#NUM!</v>
      </c>
      <c r="Q29" s="7" t="e">
        <v>#REF!</v>
      </c>
      <c r="R29" s="4">
        <f>IMABS(C29)</f>
        <v>25.96150997149434</v>
      </c>
      <c r="S29" s="4">
        <f t="shared" ref="S29:AF29" si="28">IMABS(D29)</f>
        <v>13.928388277184119</v>
      </c>
      <c r="T29" s="4">
        <f t="shared" si="28"/>
        <v>3.6891733491393435</v>
      </c>
      <c r="U29" s="4">
        <f t="shared" si="28"/>
        <v>3.6055512754639896</v>
      </c>
      <c r="V29" s="4">
        <f>IMABS(G29)</f>
        <v>28.178005607210743</v>
      </c>
      <c r="W29" s="4">
        <f>IMABS(H29)</f>
        <v>0</v>
      </c>
      <c r="X29" s="4" t="e">
        <f>IMABS(I29)</f>
        <v>#NUM!</v>
      </c>
      <c r="Y29" s="4" t="e">
        <f t="shared" si="28"/>
        <v>#VALUE!</v>
      </c>
      <c r="Z29" s="4" t="e">
        <f t="shared" si="28"/>
        <v>#VALUE!</v>
      </c>
      <c r="AA29" s="4" t="e">
        <f t="shared" si="28"/>
        <v>#N/A</v>
      </c>
      <c r="AB29" s="4" t="e">
        <f t="shared" si="28"/>
        <v>#DIV/0!</v>
      </c>
      <c r="AC29" s="4" t="e">
        <f t="shared" si="28"/>
        <v>#NAME?</v>
      </c>
      <c r="AD29" s="4" t="e">
        <f t="shared" si="28"/>
        <v>#NULL!</v>
      </c>
      <c r="AE29" s="4" t="e">
        <f t="shared" si="28"/>
        <v>#NUM!</v>
      </c>
      <c r="AF29" s="4" t="e">
        <f t="shared" si="28"/>
        <v>#REF!</v>
      </c>
      <c r="AG29" s="4" t="e">
        <f>IMABS(C29:D29)</f>
        <v>#VALUE!</v>
      </c>
      <c r="AH29" s="21" t="e">
        <f t="array" ref="AH29:AW29">IMABS(C29:Q29)</f>
        <v>#VALUE!</v>
      </c>
      <c r="AI29" s="4" t="e">
        <v>#VALUE!</v>
      </c>
      <c r="AJ29" s="4" t="e">
        <v>#VALUE!</v>
      </c>
      <c r="AK29" s="4" t="e">
        <v>#VALUE!</v>
      </c>
      <c r="AL29" s="4" t="e">
        <v>#VALUE!</v>
      </c>
      <c r="AM29" s="4" t="e">
        <v>#VALUE!</v>
      </c>
      <c r="AN29" s="4" t="e">
        <v>#VALUE!</v>
      </c>
      <c r="AO29" s="4" t="e">
        <v>#VALUE!</v>
      </c>
      <c r="AP29" s="4" t="e">
        <v>#VALUE!</v>
      </c>
      <c r="AQ29" s="4" t="e">
        <v>#VALUE!</v>
      </c>
      <c r="AR29" s="4" t="e">
        <v>#VALUE!</v>
      </c>
      <c r="AS29" s="4" t="e">
        <v>#VALUE!</v>
      </c>
      <c r="AT29" s="4" t="e">
        <v>#VALUE!</v>
      </c>
      <c r="AU29" s="4" t="e">
        <v>#VALUE!</v>
      </c>
      <c r="AV29" s="4" t="e">
        <v>#VALUE!</v>
      </c>
      <c r="AW29" s="4" t="e">
        <v>#VALUE!</v>
      </c>
    </row>
    <row r="30" spans="1:49" x14ac:dyDescent="0.15">
      <c r="A30" s="37" t="s">
        <v>383</v>
      </c>
      <c r="B30" s="36" t="s">
        <v>541</v>
      </c>
      <c r="C30" s="4" t="s">
        <v>773</v>
      </c>
      <c r="D30" s="4" t="s">
        <v>774</v>
      </c>
      <c r="E30" s="4" t="s">
        <v>775</v>
      </c>
      <c r="F30" s="19" t="s">
        <v>776</v>
      </c>
      <c r="G30" s="19" t="s">
        <v>772</v>
      </c>
      <c r="I30" s="4" t="s">
        <v>777</v>
      </c>
      <c r="J30" s="4" t="b">
        <v>1</v>
      </c>
      <c r="K30" s="6" t="e">
        <f>#VALUE!</f>
        <v>#VALUE!</v>
      </c>
      <c r="L30" s="6" t="e">
        <v>#N/A</v>
      </c>
      <c r="M30" s="7" t="e">
        <v>#DIV/0!</v>
      </c>
      <c r="N30" s="7" t="e">
        <v>#NAME?</v>
      </c>
      <c r="O30" s="7" t="e">
        <v>#NULL!</v>
      </c>
      <c r="P30" s="7" t="e">
        <v>#NUM!</v>
      </c>
      <c r="Q30" s="7" t="e">
        <v>#REF!</v>
      </c>
      <c r="R30" s="4">
        <f>IMAGINARY(C30)</f>
        <v>25</v>
      </c>
      <c r="S30" s="4">
        <f t="shared" ref="S30:AF30" si="29">IMAGINARY(D30)</f>
        <v>5</v>
      </c>
      <c r="T30" s="4">
        <f t="shared" si="29"/>
        <v>2</v>
      </c>
      <c r="U30" s="4">
        <f t="shared" si="29"/>
        <v>2</v>
      </c>
      <c r="V30" s="4">
        <f t="shared" si="29"/>
        <v>25</v>
      </c>
      <c r="W30" s="4">
        <f>IMAGINARY(H30)</f>
        <v>0</v>
      </c>
      <c r="X30" s="4" t="e">
        <f t="shared" si="29"/>
        <v>#NUM!</v>
      </c>
      <c r="Y30" s="4" t="e">
        <f t="shared" si="29"/>
        <v>#VALUE!</v>
      </c>
      <c r="Z30" s="4" t="e">
        <f t="shared" si="29"/>
        <v>#VALUE!</v>
      </c>
      <c r="AA30" s="4" t="e">
        <f t="shared" si="29"/>
        <v>#N/A</v>
      </c>
      <c r="AB30" s="4" t="e">
        <f t="shared" si="29"/>
        <v>#DIV/0!</v>
      </c>
      <c r="AC30" s="4" t="e">
        <f t="shared" si="29"/>
        <v>#NAME?</v>
      </c>
      <c r="AD30" s="4" t="e">
        <f t="shared" si="29"/>
        <v>#NULL!</v>
      </c>
      <c r="AE30" s="4" t="e">
        <f t="shared" si="29"/>
        <v>#NUM!</v>
      </c>
      <c r="AF30" s="4" t="e">
        <f t="shared" si="29"/>
        <v>#REF!</v>
      </c>
      <c r="AG30" s="4" t="e">
        <f>IMAGINARY(C30:E30)</f>
        <v>#VALUE!</v>
      </c>
      <c r="AH30" s="4" t="e">
        <f t="array" ref="AH30:AW30">IMAGINARY(C30:E30)</f>
        <v>#VALUE!</v>
      </c>
      <c r="AI30" s="4" t="e">
        <v>#VALUE!</v>
      </c>
      <c r="AJ30" s="4" t="e">
        <v>#VALUE!</v>
      </c>
      <c r="AK30" s="4" t="e">
        <v>#VALUE!</v>
      </c>
      <c r="AL30" s="4" t="e">
        <v>#VALUE!</v>
      </c>
      <c r="AM30" s="4" t="e">
        <v>#VALUE!</v>
      </c>
      <c r="AN30" s="4" t="e">
        <v>#VALUE!</v>
      </c>
      <c r="AO30" s="4" t="e">
        <v>#VALUE!</v>
      </c>
      <c r="AP30" s="4" t="e">
        <v>#VALUE!</v>
      </c>
      <c r="AQ30" s="4" t="e">
        <v>#VALUE!</v>
      </c>
      <c r="AR30" s="4" t="e">
        <v>#VALUE!</v>
      </c>
      <c r="AS30" s="4" t="e">
        <v>#VALUE!</v>
      </c>
      <c r="AT30" s="4" t="e">
        <v>#VALUE!</v>
      </c>
      <c r="AU30" s="4" t="e">
        <v>#VALUE!</v>
      </c>
      <c r="AV30" s="4" t="e">
        <v>#VALUE!</v>
      </c>
      <c r="AW30" s="4" t="e">
        <v>#VALUE!</v>
      </c>
    </row>
    <row r="31" spans="1:49" x14ac:dyDescent="0.15">
      <c r="A31" s="37" t="s">
        <v>384</v>
      </c>
      <c r="B31" s="36" t="s">
        <v>541</v>
      </c>
      <c r="C31" s="4" t="s">
        <v>773</v>
      </c>
      <c r="D31" s="4" t="s">
        <v>774</v>
      </c>
      <c r="E31" s="4" t="s">
        <v>775</v>
      </c>
      <c r="F31" s="19" t="s">
        <v>776</v>
      </c>
      <c r="G31" s="19" t="s">
        <v>772</v>
      </c>
      <c r="I31" s="4" t="s">
        <v>777</v>
      </c>
      <c r="J31" s="4" t="b">
        <v>1</v>
      </c>
      <c r="K31" s="6" t="e">
        <f>#VALUE!</f>
        <v>#VALUE!</v>
      </c>
      <c r="L31" s="6" t="e">
        <v>#N/A</v>
      </c>
      <c r="M31" s="7" t="e">
        <v>#DIV/0!</v>
      </c>
      <c r="N31" s="7" t="e">
        <v>#NAME?</v>
      </c>
      <c r="O31" s="7" t="e">
        <v>#NULL!</v>
      </c>
      <c r="P31" s="7" t="e">
        <v>#NUM!</v>
      </c>
      <c r="Q31" s="7" t="e">
        <v>#REF!</v>
      </c>
      <c r="R31" s="4">
        <f>IMARGUMENT(C31)</f>
        <v>1.297787623708186</v>
      </c>
      <c r="S31" s="4">
        <f t="shared" ref="S31:AF31" si="30">IMARGUMENT(D31)</f>
        <v>0.36717383381821922</v>
      </c>
      <c r="T31" s="4">
        <f t="shared" si="30"/>
        <v>0.57296614288870618</v>
      </c>
      <c r="U31" s="4">
        <f t="shared" si="30"/>
        <v>2.5535900500422257</v>
      </c>
      <c r="V31" s="4">
        <f t="shared" si="30"/>
        <v>2.0503156187874927</v>
      </c>
      <c r="W31" s="4" t="e">
        <f>IMARGUMENT(H31)</f>
        <v>#DIV/0!</v>
      </c>
      <c r="X31" s="4" t="e">
        <f t="shared" si="30"/>
        <v>#NUM!</v>
      </c>
      <c r="Y31" s="4" t="e">
        <f t="shared" si="30"/>
        <v>#VALUE!</v>
      </c>
      <c r="Z31" s="4" t="e">
        <f t="shared" si="30"/>
        <v>#VALUE!</v>
      </c>
      <c r="AA31" s="4" t="e">
        <f t="shared" si="30"/>
        <v>#N/A</v>
      </c>
      <c r="AB31" s="4" t="e">
        <f t="shared" si="30"/>
        <v>#DIV/0!</v>
      </c>
      <c r="AC31" s="4" t="e">
        <f t="shared" si="30"/>
        <v>#NAME?</v>
      </c>
      <c r="AD31" s="4" t="e">
        <f t="shared" si="30"/>
        <v>#NULL!</v>
      </c>
      <c r="AE31" s="4" t="e">
        <f t="shared" si="30"/>
        <v>#NUM!</v>
      </c>
      <c r="AF31" s="4" t="e">
        <f t="shared" si="30"/>
        <v>#REF!</v>
      </c>
      <c r="AG31" s="4" t="e">
        <f>IMARGUMENT(C31:E31)</f>
        <v>#VALUE!</v>
      </c>
      <c r="AH31" s="4" t="e">
        <f t="array" ref="AH31:AW31">IMARGUMENT(C31:E31)</f>
        <v>#VALUE!</v>
      </c>
      <c r="AI31" s="4" t="e">
        <v>#VALUE!</v>
      </c>
      <c r="AJ31" s="4" t="e">
        <v>#VALUE!</v>
      </c>
      <c r="AK31" s="4" t="e">
        <v>#VALUE!</v>
      </c>
      <c r="AL31" s="4" t="e">
        <v>#VALUE!</v>
      </c>
      <c r="AM31" s="4" t="e">
        <v>#VALUE!</v>
      </c>
      <c r="AN31" s="4" t="e">
        <v>#VALUE!</v>
      </c>
      <c r="AO31" s="4" t="e">
        <v>#VALUE!</v>
      </c>
      <c r="AP31" s="4" t="e">
        <v>#VALUE!</v>
      </c>
      <c r="AQ31" s="4" t="e">
        <v>#VALUE!</v>
      </c>
      <c r="AR31" s="4" t="e">
        <v>#VALUE!</v>
      </c>
      <c r="AS31" s="4" t="e">
        <v>#VALUE!</v>
      </c>
      <c r="AT31" s="4" t="e">
        <v>#VALUE!</v>
      </c>
      <c r="AU31" s="4" t="e">
        <v>#VALUE!</v>
      </c>
      <c r="AV31" s="4" t="e">
        <v>#VALUE!</v>
      </c>
      <c r="AW31" s="4" t="e">
        <v>#VALUE!</v>
      </c>
    </row>
    <row r="32" spans="1:49" x14ac:dyDescent="0.15">
      <c r="A32" s="37" t="s">
        <v>385</v>
      </c>
      <c r="B32" s="36" t="s">
        <v>541</v>
      </c>
      <c r="C32" s="4" t="s">
        <v>773</v>
      </c>
      <c r="D32" s="4" t="s">
        <v>774</v>
      </c>
      <c r="E32" s="4" t="s">
        <v>775</v>
      </c>
      <c r="F32" s="19" t="s">
        <v>776</v>
      </c>
      <c r="G32" s="19" t="s">
        <v>772</v>
      </c>
      <c r="I32" s="4" t="s">
        <v>777</v>
      </c>
      <c r="J32" s="4" t="b">
        <v>1</v>
      </c>
      <c r="K32" s="6" t="e">
        <f>#VALUE!</f>
        <v>#VALUE!</v>
      </c>
      <c r="L32" s="6" t="e">
        <v>#N/A</v>
      </c>
      <c r="M32" s="7" t="e">
        <v>#DIV/0!</v>
      </c>
      <c r="N32" s="7" t="e">
        <v>#NAME?</v>
      </c>
      <c r="O32" s="7" t="e">
        <v>#NULL!</v>
      </c>
      <c r="P32" s="7" t="e">
        <v>#NUM!</v>
      </c>
      <c r="Q32" s="7" t="e">
        <v>#REF!</v>
      </c>
      <c r="R32" s="4" t="str">
        <f>IMCONJUGATE(C32)</f>
        <v>7-25j</v>
      </c>
      <c r="S32" s="4" t="str">
        <f t="shared" ref="S32:AF32" si="31">IMCONJUGATE(D32)</f>
        <v>13-5j</v>
      </c>
      <c r="T32" s="4" t="str">
        <f t="shared" si="31"/>
        <v>3.1-2j</v>
      </c>
      <c r="U32" s="4" t="str">
        <f t="shared" si="31"/>
        <v>-3-2i</v>
      </c>
      <c r="V32" s="4" t="str">
        <f t="shared" si="31"/>
        <v>-13-25j</v>
      </c>
      <c r="W32" s="4" t="str">
        <f>IMCONJUGATE(H32)</f>
        <v>0</v>
      </c>
      <c r="X32" s="4" t="e">
        <f t="shared" si="31"/>
        <v>#NUM!</v>
      </c>
      <c r="Y32" s="4" t="e">
        <f t="shared" si="31"/>
        <v>#VALUE!</v>
      </c>
      <c r="Z32" s="4" t="e">
        <f t="shared" si="31"/>
        <v>#VALUE!</v>
      </c>
      <c r="AA32" s="4" t="e">
        <f t="shared" si="31"/>
        <v>#N/A</v>
      </c>
      <c r="AB32" s="4" t="e">
        <f t="shared" si="31"/>
        <v>#DIV/0!</v>
      </c>
      <c r="AC32" s="4" t="e">
        <f t="shared" si="31"/>
        <v>#NAME?</v>
      </c>
      <c r="AD32" s="4" t="e">
        <f t="shared" si="31"/>
        <v>#NULL!</v>
      </c>
      <c r="AE32" s="4" t="e">
        <f t="shared" si="31"/>
        <v>#NUM!</v>
      </c>
      <c r="AF32" s="4" t="e">
        <f t="shared" si="31"/>
        <v>#REF!</v>
      </c>
      <c r="AG32" s="4" t="e">
        <f>IMCONJUGATE(C32:E32)</f>
        <v>#VALUE!</v>
      </c>
      <c r="AH32" s="4" t="e">
        <f t="array" ref="AH32:AW32">IMCONJUGATE(C32:E32)</f>
        <v>#VALUE!</v>
      </c>
      <c r="AI32" s="4" t="e">
        <v>#VALUE!</v>
      </c>
      <c r="AJ32" s="4" t="e">
        <v>#VALUE!</v>
      </c>
      <c r="AK32" s="4" t="e">
        <v>#VALUE!</v>
      </c>
      <c r="AL32" s="4" t="e">
        <v>#VALUE!</v>
      </c>
      <c r="AM32" s="4" t="e">
        <v>#VALUE!</v>
      </c>
      <c r="AN32" s="4" t="e">
        <v>#VALUE!</v>
      </c>
      <c r="AO32" s="4" t="e">
        <v>#VALUE!</v>
      </c>
      <c r="AP32" s="4" t="e">
        <v>#VALUE!</v>
      </c>
      <c r="AQ32" s="4" t="e">
        <v>#VALUE!</v>
      </c>
      <c r="AR32" s="4" t="e">
        <v>#VALUE!</v>
      </c>
      <c r="AS32" s="4" t="e">
        <v>#VALUE!</v>
      </c>
      <c r="AT32" s="4" t="e">
        <v>#VALUE!</v>
      </c>
      <c r="AU32" s="4" t="e">
        <v>#VALUE!</v>
      </c>
      <c r="AV32" s="4" t="e">
        <v>#VALUE!</v>
      </c>
      <c r="AW32" s="4" t="e">
        <v>#VALUE!</v>
      </c>
    </row>
    <row r="33" spans="1:49" x14ac:dyDescent="0.15">
      <c r="A33" s="37" t="s">
        <v>386</v>
      </c>
      <c r="B33" s="36" t="s">
        <v>541</v>
      </c>
      <c r="C33" s="4" t="s">
        <v>773</v>
      </c>
      <c r="D33" s="4" t="s">
        <v>774</v>
      </c>
      <c r="E33" s="4" t="s">
        <v>775</v>
      </c>
      <c r="F33" s="19" t="s">
        <v>776</v>
      </c>
      <c r="G33" s="19" t="s">
        <v>772</v>
      </c>
      <c r="I33" s="4" t="s">
        <v>777</v>
      </c>
      <c r="J33" s="4" t="b">
        <v>1</v>
      </c>
      <c r="K33" s="6" t="e">
        <f>#VALUE!</f>
        <v>#VALUE!</v>
      </c>
      <c r="L33" s="6" t="e">
        <v>#N/A</v>
      </c>
      <c r="M33" s="7" t="e">
        <v>#DIV/0!</v>
      </c>
      <c r="N33" s="7" t="e">
        <v>#NAME?</v>
      </c>
      <c r="O33" s="7" t="e">
        <v>#NULL!</v>
      </c>
      <c r="P33" s="7" t="e">
        <v>#NUM!</v>
      </c>
      <c r="Q33" s="7" t="e">
        <v>#REF!</v>
      </c>
      <c r="R33" s="4" t="str">
        <f>IMCOS(C33)</f>
        <v>27142327967.109-23653126953.379j</v>
      </c>
      <c r="S33" s="4" t="str">
        <f t="shared" ref="S33:AF33" si="32">IMCOS(D33)</f>
        <v>67.3415789404035-31.1777431114928j</v>
      </c>
      <c r="T33" s="4" t="str">
        <f t="shared" si="32"/>
        <v>-3.75894195716833-0.150807258311353j</v>
      </c>
      <c r="U33" s="4" t="str">
        <f t="shared" si="32"/>
        <v>-3.72454550491532+0.511822569987385i</v>
      </c>
      <c r="V33" s="4" t="str">
        <f t="shared" si="32"/>
        <v>32670307076.1781+15127042595.795j</v>
      </c>
      <c r="W33" s="4" t="str">
        <f>IMCOS(H33)</f>
        <v>1</v>
      </c>
      <c r="X33" s="4" t="e">
        <f t="shared" si="32"/>
        <v>#NUM!</v>
      </c>
      <c r="Y33" s="4" t="e">
        <f t="shared" si="32"/>
        <v>#VALUE!</v>
      </c>
      <c r="Z33" s="4" t="e">
        <f t="shared" si="32"/>
        <v>#VALUE!</v>
      </c>
      <c r="AA33" s="4" t="e">
        <f t="shared" si="32"/>
        <v>#N/A</v>
      </c>
      <c r="AB33" s="4" t="e">
        <f t="shared" si="32"/>
        <v>#DIV/0!</v>
      </c>
      <c r="AC33" s="4" t="e">
        <f t="shared" si="32"/>
        <v>#NAME?</v>
      </c>
      <c r="AD33" s="4" t="e">
        <f t="shared" si="32"/>
        <v>#NULL!</v>
      </c>
      <c r="AE33" s="4" t="e">
        <f t="shared" si="32"/>
        <v>#NUM!</v>
      </c>
      <c r="AF33" s="4" t="e">
        <f t="shared" si="32"/>
        <v>#REF!</v>
      </c>
      <c r="AG33" s="4" t="e">
        <f>IMCOS(C33:E33)</f>
        <v>#VALUE!</v>
      </c>
      <c r="AH33" s="4" t="e">
        <f t="array" ref="AH33:AW33">IMCOS(C33:E33)</f>
        <v>#VALUE!</v>
      </c>
      <c r="AI33" s="4" t="e">
        <v>#VALUE!</v>
      </c>
      <c r="AJ33" s="4" t="e">
        <v>#VALUE!</v>
      </c>
      <c r="AK33" s="4" t="e">
        <v>#VALUE!</v>
      </c>
      <c r="AL33" s="4" t="e">
        <v>#VALUE!</v>
      </c>
      <c r="AM33" s="4" t="e">
        <v>#VALUE!</v>
      </c>
      <c r="AN33" s="4" t="e">
        <v>#VALUE!</v>
      </c>
      <c r="AO33" s="4" t="e">
        <v>#VALUE!</v>
      </c>
      <c r="AP33" s="4" t="e">
        <v>#VALUE!</v>
      </c>
      <c r="AQ33" s="4" t="e">
        <v>#VALUE!</v>
      </c>
      <c r="AR33" s="4" t="e">
        <v>#VALUE!</v>
      </c>
      <c r="AS33" s="4" t="e">
        <v>#VALUE!</v>
      </c>
      <c r="AT33" s="4" t="e">
        <v>#VALUE!</v>
      </c>
      <c r="AU33" s="4" t="e">
        <v>#VALUE!</v>
      </c>
      <c r="AV33" s="4" t="e">
        <v>#VALUE!</v>
      </c>
      <c r="AW33" s="4" t="e">
        <v>#VALUE!</v>
      </c>
    </row>
    <row r="34" spans="1:49" x14ac:dyDescent="0.15">
      <c r="A34" s="37" t="s">
        <v>387</v>
      </c>
      <c r="B34" s="36" t="s">
        <v>541</v>
      </c>
      <c r="C34" s="4" t="s">
        <v>773</v>
      </c>
      <c r="D34" s="4" t="s">
        <v>774</v>
      </c>
      <c r="E34" s="4" t="s">
        <v>775</v>
      </c>
      <c r="F34" s="19" t="s">
        <v>776</v>
      </c>
      <c r="G34" s="19" t="s">
        <v>772</v>
      </c>
      <c r="I34" s="4" t="s">
        <v>777</v>
      </c>
      <c r="J34" s="4" t="b">
        <v>1</v>
      </c>
      <c r="K34" s="6" t="e">
        <f>#VALUE!</f>
        <v>#VALUE!</v>
      </c>
      <c r="L34" s="6" t="e">
        <v>#N/A</v>
      </c>
      <c r="M34" s="7" t="e">
        <v>#DIV/0!</v>
      </c>
      <c r="N34" s="7" t="e">
        <v>#NAME?</v>
      </c>
      <c r="O34" s="7" t="e">
        <v>#NULL!</v>
      </c>
      <c r="P34" s="7" t="e">
        <v>#NUM!</v>
      </c>
      <c r="Q34" s="7" t="e">
        <v>#REF!</v>
      </c>
      <c r="R34" s="4" t="str">
        <f>_xlfn.IMCOSH(C34)</f>
        <v>543.493387038489-72.5705985220404j</v>
      </c>
      <c r="S34" s="4" t="str">
        <f t="shared" ref="S34:AF34" si="33">_xlfn.IMCOSH(D34)</f>
        <v>62747.9748280453-212120.470515623j</v>
      </c>
      <c r="T34" s="4" t="str">
        <f t="shared" si="33"/>
        <v>-4.62817714333229+10.0717884285999j</v>
      </c>
      <c r="U34" s="4" t="str">
        <f t="shared" si="33"/>
        <v>-4.18962569096881-9.10922789375534i</v>
      </c>
      <c r="V34" s="4" t="str">
        <f t="shared" si="33"/>
        <v>219260.69908377+29277.0933493868j</v>
      </c>
      <c r="W34" s="4" t="str">
        <f>_xlfn.IMCOSH(H34)</f>
        <v>1</v>
      </c>
      <c r="X34" s="4" t="e">
        <f t="shared" si="33"/>
        <v>#NUM!</v>
      </c>
      <c r="Y34" s="4" t="e">
        <f t="shared" si="33"/>
        <v>#VALUE!</v>
      </c>
      <c r="Z34" s="4" t="e">
        <f t="shared" si="33"/>
        <v>#VALUE!</v>
      </c>
      <c r="AA34" s="4" t="e">
        <f t="shared" si="33"/>
        <v>#N/A</v>
      </c>
      <c r="AB34" s="4" t="e">
        <f t="shared" si="33"/>
        <v>#DIV/0!</v>
      </c>
      <c r="AC34" s="4" t="e">
        <f t="shared" si="33"/>
        <v>#NAME?</v>
      </c>
      <c r="AD34" s="4" t="e">
        <f t="shared" si="33"/>
        <v>#NULL!</v>
      </c>
      <c r="AE34" s="4" t="e">
        <f t="shared" si="33"/>
        <v>#NUM!</v>
      </c>
      <c r="AF34" s="4" t="e">
        <f t="shared" si="33"/>
        <v>#REF!</v>
      </c>
      <c r="AG34" s="4" t="e">
        <f>_xlfn.IMCOSH(C34:E34)</f>
        <v>#VALUE!</v>
      </c>
      <c r="AH34" s="4" t="e">
        <f t="array" ref="AH34:AW34">_xlfn.IMCOSH(C34:E34)</f>
        <v>#VALUE!</v>
      </c>
      <c r="AI34" s="4" t="e">
        <v>#VALUE!</v>
      </c>
      <c r="AJ34" s="4" t="e">
        <v>#VALUE!</v>
      </c>
      <c r="AK34" s="4" t="e">
        <v>#VALUE!</v>
      </c>
      <c r="AL34" s="4" t="e">
        <v>#VALUE!</v>
      </c>
      <c r="AM34" s="4" t="e">
        <v>#VALUE!</v>
      </c>
      <c r="AN34" s="4" t="e">
        <v>#VALUE!</v>
      </c>
      <c r="AO34" s="4" t="e">
        <v>#VALUE!</v>
      </c>
      <c r="AP34" s="4" t="e">
        <v>#VALUE!</v>
      </c>
      <c r="AQ34" s="4" t="e">
        <v>#VALUE!</v>
      </c>
      <c r="AR34" s="4" t="e">
        <v>#VALUE!</v>
      </c>
      <c r="AS34" s="4" t="e">
        <v>#VALUE!</v>
      </c>
      <c r="AT34" s="4" t="e">
        <v>#VALUE!</v>
      </c>
      <c r="AU34" s="4" t="e">
        <v>#VALUE!</v>
      </c>
      <c r="AV34" s="4" t="e">
        <v>#VALUE!</v>
      </c>
      <c r="AW34" s="4" t="e">
        <v>#VALUE!</v>
      </c>
    </row>
    <row r="35" spans="1:49" x14ac:dyDescent="0.15">
      <c r="A35" s="37" t="s">
        <v>388</v>
      </c>
      <c r="B35" s="36" t="s">
        <v>541</v>
      </c>
      <c r="C35" s="4" t="s">
        <v>773</v>
      </c>
      <c r="D35" s="4" t="s">
        <v>774</v>
      </c>
      <c r="E35" s="4" t="s">
        <v>775</v>
      </c>
      <c r="F35" s="19" t="s">
        <v>776</v>
      </c>
      <c r="G35" s="19" t="s">
        <v>772</v>
      </c>
      <c r="I35" s="4" t="s">
        <v>777</v>
      </c>
      <c r="J35" s="4" t="b">
        <v>1</v>
      </c>
      <c r="K35" s="6" t="e">
        <f>#VALUE!</f>
        <v>#VALUE!</v>
      </c>
      <c r="L35" s="6" t="e">
        <v>#N/A</v>
      </c>
      <c r="M35" s="7" t="e">
        <v>#DIV/0!</v>
      </c>
      <c r="N35" s="7" t="e">
        <v>#NAME?</v>
      </c>
      <c r="O35" s="7" t="e">
        <v>#NULL!</v>
      </c>
      <c r="P35" s="7" t="e">
        <v>#NUM!</v>
      </c>
      <c r="Q35" s="7" t="e">
        <v>#REF!</v>
      </c>
      <c r="R35" s="4" t="str">
        <f>_xlfn.IMCOT(C35)</f>
        <v>3.82126757337684E-22-j</v>
      </c>
      <c r="S35" s="4" t="str">
        <f t="shared" ref="S35:AF35" si="34">_xlfn.IMCOT(D35)</f>
        <v>0.0000692442674613868-1.00005873951153j</v>
      </c>
      <c r="T35" s="4" t="str">
        <f t="shared" si="34"/>
        <v>-0.00315788915435829-1.03717839601561j</v>
      </c>
      <c r="U35" s="4" t="str">
        <f t="shared" si="34"/>
        <v>0.0106047834703371-1.035746637765i</v>
      </c>
      <c r="V35" s="4" t="str">
        <f t="shared" si="34"/>
        <v>-2.94156899085227E-22-j</v>
      </c>
      <c r="W35" s="4" t="e">
        <f>_xlfn.IMCOT(H35)</f>
        <v>#NUM!</v>
      </c>
      <c r="X35" s="4" t="e">
        <f t="shared" si="34"/>
        <v>#NUM!</v>
      </c>
      <c r="Y35" s="4" t="e">
        <f t="shared" si="34"/>
        <v>#VALUE!</v>
      </c>
      <c r="Z35" s="4" t="e">
        <f t="shared" si="34"/>
        <v>#VALUE!</v>
      </c>
      <c r="AA35" s="4" t="e">
        <f t="shared" si="34"/>
        <v>#N/A</v>
      </c>
      <c r="AB35" s="4" t="e">
        <f t="shared" si="34"/>
        <v>#DIV/0!</v>
      </c>
      <c r="AC35" s="4" t="e">
        <f t="shared" si="34"/>
        <v>#NAME?</v>
      </c>
      <c r="AD35" s="4" t="e">
        <f t="shared" si="34"/>
        <v>#NULL!</v>
      </c>
      <c r="AE35" s="4" t="e">
        <f t="shared" si="34"/>
        <v>#NUM!</v>
      </c>
      <c r="AF35" s="4" t="e">
        <f t="shared" si="34"/>
        <v>#REF!</v>
      </c>
      <c r="AG35" s="4" t="e">
        <f>_xlfn.IMCOT(C35:E35)</f>
        <v>#VALUE!</v>
      </c>
      <c r="AH35" s="4" t="e">
        <f t="array" ref="AH35:AW35">_xlfn.IMCOT(C35:E35)</f>
        <v>#VALUE!</v>
      </c>
      <c r="AI35" s="4" t="e">
        <v>#VALUE!</v>
      </c>
      <c r="AJ35" s="4" t="e">
        <v>#VALUE!</v>
      </c>
      <c r="AK35" s="4" t="e">
        <v>#VALUE!</v>
      </c>
      <c r="AL35" s="4" t="e">
        <v>#VALUE!</v>
      </c>
      <c r="AM35" s="4" t="e">
        <v>#VALUE!</v>
      </c>
      <c r="AN35" s="4" t="e">
        <v>#VALUE!</v>
      </c>
      <c r="AO35" s="4" t="e">
        <v>#VALUE!</v>
      </c>
      <c r="AP35" s="4" t="e">
        <v>#VALUE!</v>
      </c>
      <c r="AQ35" s="4" t="e">
        <v>#VALUE!</v>
      </c>
      <c r="AR35" s="4" t="e">
        <v>#VALUE!</v>
      </c>
      <c r="AS35" s="4" t="e">
        <v>#VALUE!</v>
      </c>
      <c r="AT35" s="4" t="e">
        <v>#VALUE!</v>
      </c>
      <c r="AU35" s="4" t="e">
        <v>#VALUE!</v>
      </c>
      <c r="AV35" s="4" t="e">
        <v>#VALUE!</v>
      </c>
      <c r="AW35" s="4" t="e">
        <v>#VALUE!</v>
      </c>
    </row>
    <row r="36" spans="1:49" x14ac:dyDescent="0.15">
      <c r="A36" s="37" t="s">
        <v>389</v>
      </c>
      <c r="B36" s="36" t="s">
        <v>541</v>
      </c>
      <c r="C36" s="4" t="s">
        <v>773</v>
      </c>
      <c r="D36" s="4" t="s">
        <v>774</v>
      </c>
      <c r="E36" s="4" t="s">
        <v>775</v>
      </c>
      <c r="F36" s="19" t="s">
        <v>776</v>
      </c>
      <c r="G36" s="19" t="s">
        <v>772</v>
      </c>
      <c r="I36" s="4" t="s">
        <v>777</v>
      </c>
      <c r="J36" s="4" t="b">
        <v>1</v>
      </c>
      <c r="K36" s="6" t="e">
        <f>#VALUE!</f>
        <v>#VALUE!</v>
      </c>
      <c r="L36" s="6" t="e">
        <v>#N/A</v>
      </c>
      <c r="M36" s="7" t="e">
        <v>#DIV/0!</v>
      </c>
      <c r="N36" s="7" t="e">
        <v>#NAME?</v>
      </c>
      <c r="O36" s="7" t="e">
        <v>#NULL!</v>
      </c>
      <c r="P36" s="7" t="e">
        <v>#NUM!</v>
      </c>
      <c r="Q36" s="7" t="e">
        <v>#REF!</v>
      </c>
      <c r="R36" s="4" t="str">
        <f>_xlfn.IMCSC(C36)</f>
        <v>1.82483860060804E-11-2.09403043759793E-11j</v>
      </c>
      <c r="S36" s="4" t="str">
        <f t="shared" ref="S36:AF36" si="35">_xlfn.IMCSC(D36)</f>
        <v>0.00566271612725774-0.0122288197535638j</v>
      </c>
      <c r="T36" s="4" t="str">
        <f t="shared" si="35"/>
        <v>0.0118908807944521+0.275445903842597j</v>
      </c>
      <c r="U36" s="4" t="str">
        <f t="shared" si="35"/>
        <v>-0.0403005788568915+0.27254866146294i</v>
      </c>
      <c r="V36" s="4" t="str">
        <f t="shared" si="35"/>
        <v>-1.16705124427133E-11-2.52051399224452E-11j</v>
      </c>
      <c r="W36" s="4" t="e">
        <f t="shared" si="35"/>
        <v>#NUM!</v>
      </c>
      <c r="X36" s="4" t="e">
        <f t="shared" si="35"/>
        <v>#NUM!</v>
      </c>
      <c r="Y36" s="4" t="e">
        <f t="shared" si="35"/>
        <v>#VALUE!</v>
      </c>
      <c r="Z36" s="4" t="e">
        <f t="shared" si="35"/>
        <v>#VALUE!</v>
      </c>
      <c r="AA36" s="4" t="e">
        <f t="shared" si="35"/>
        <v>#N/A</v>
      </c>
      <c r="AB36" s="4" t="e">
        <f t="shared" si="35"/>
        <v>#DIV/0!</v>
      </c>
      <c r="AC36" s="4" t="e">
        <f t="shared" si="35"/>
        <v>#NAME?</v>
      </c>
      <c r="AD36" s="4" t="e">
        <f t="shared" si="35"/>
        <v>#NULL!</v>
      </c>
      <c r="AE36" s="4" t="e">
        <f t="shared" si="35"/>
        <v>#NUM!</v>
      </c>
      <c r="AF36" s="4" t="e">
        <f t="shared" si="35"/>
        <v>#REF!</v>
      </c>
      <c r="AG36" s="4" t="e">
        <f>_xlfn.IMCSC(C36:E36)</f>
        <v>#VALUE!</v>
      </c>
      <c r="AH36" s="4" t="e">
        <f t="array" ref="AH36:AW36">_xlfn.IMCSC(C36:E36)</f>
        <v>#VALUE!</v>
      </c>
      <c r="AI36" s="4" t="e">
        <v>#VALUE!</v>
      </c>
      <c r="AJ36" s="4" t="e">
        <v>#VALUE!</v>
      </c>
      <c r="AK36" s="4" t="e">
        <v>#VALUE!</v>
      </c>
      <c r="AL36" s="4" t="e">
        <v>#VALUE!</v>
      </c>
      <c r="AM36" s="4" t="e">
        <v>#VALUE!</v>
      </c>
      <c r="AN36" s="4" t="e">
        <v>#VALUE!</v>
      </c>
      <c r="AO36" s="4" t="e">
        <v>#VALUE!</v>
      </c>
      <c r="AP36" s="4" t="e">
        <v>#VALUE!</v>
      </c>
      <c r="AQ36" s="4" t="e">
        <v>#VALUE!</v>
      </c>
      <c r="AR36" s="4" t="e">
        <v>#VALUE!</v>
      </c>
      <c r="AS36" s="4" t="e">
        <v>#VALUE!</v>
      </c>
      <c r="AT36" s="4" t="e">
        <v>#VALUE!</v>
      </c>
      <c r="AU36" s="4" t="e">
        <v>#VALUE!</v>
      </c>
      <c r="AV36" s="4" t="e">
        <v>#VALUE!</v>
      </c>
      <c r="AW36" s="4" t="e">
        <v>#VALUE!</v>
      </c>
    </row>
    <row r="37" spans="1:49" x14ac:dyDescent="0.15">
      <c r="A37" s="37" t="s">
        <v>390</v>
      </c>
      <c r="B37" s="36" t="s">
        <v>541</v>
      </c>
      <c r="C37" s="4" t="s">
        <v>773</v>
      </c>
      <c r="D37" s="4" t="s">
        <v>774</v>
      </c>
      <c r="E37" s="4" t="s">
        <v>775</v>
      </c>
      <c r="F37" s="19" t="s">
        <v>776</v>
      </c>
      <c r="G37" s="19" t="s">
        <v>772</v>
      </c>
      <c r="I37" s="4" t="s">
        <v>777</v>
      </c>
      <c r="J37" s="4" t="b">
        <v>1</v>
      </c>
      <c r="K37" s="6" t="e">
        <f>#VALUE!</f>
        <v>#VALUE!</v>
      </c>
      <c r="L37" s="6" t="e">
        <v>#N/A</v>
      </c>
      <c r="M37" s="7" t="e">
        <v>#DIV/0!</v>
      </c>
      <c r="N37" s="7" t="e">
        <v>#NAME?</v>
      </c>
      <c r="O37" s="7" t="e">
        <v>#NULL!</v>
      </c>
      <c r="P37" s="7" t="e">
        <v>#NUM!</v>
      </c>
      <c r="Q37" s="7" t="e">
        <v>#REF!</v>
      </c>
      <c r="R37" s="4" t="str">
        <f>_xlfn.IMCSCH(C37)</f>
        <v>0.00180772133453839+0.000241378936123788j</v>
      </c>
      <c r="S37" s="4" t="str">
        <f t="shared" ref="S37:AF37" si="36">_xlfn.IMCSCH(D37)</f>
        <v>1.28233995888454E-06+4.33496947416312E-06j</v>
      </c>
      <c r="T37" s="4" t="str">
        <f t="shared" si="36"/>
        <v>-0.0373189117262454-0.0818749558100934j</v>
      </c>
      <c r="U37" s="4" t="str">
        <f t="shared" si="36"/>
        <v>0.0412009862885741-0.0904732097532074i</v>
      </c>
      <c r="V37" s="4" t="str">
        <f t="shared" si="36"/>
        <v>-4.48088972789593E-06+5.98317105631764E-07j</v>
      </c>
      <c r="W37" s="4" t="e">
        <f t="shared" si="36"/>
        <v>#NUM!</v>
      </c>
      <c r="X37" s="4" t="e">
        <f t="shared" si="36"/>
        <v>#NUM!</v>
      </c>
      <c r="Y37" s="4" t="e">
        <f t="shared" si="36"/>
        <v>#VALUE!</v>
      </c>
      <c r="Z37" s="4" t="e">
        <f t="shared" si="36"/>
        <v>#VALUE!</v>
      </c>
      <c r="AA37" s="4" t="e">
        <f t="shared" si="36"/>
        <v>#N/A</v>
      </c>
      <c r="AB37" s="4" t="e">
        <f t="shared" si="36"/>
        <v>#DIV/0!</v>
      </c>
      <c r="AC37" s="4" t="e">
        <f t="shared" si="36"/>
        <v>#NAME?</v>
      </c>
      <c r="AD37" s="4" t="e">
        <f t="shared" si="36"/>
        <v>#NULL!</v>
      </c>
      <c r="AE37" s="4" t="e">
        <f t="shared" si="36"/>
        <v>#NUM!</v>
      </c>
      <c r="AF37" s="4" t="e">
        <f t="shared" si="36"/>
        <v>#REF!</v>
      </c>
      <c r="AG37" s="4" t="e">
        <f>_xlfn.IMCSCH(C37:E37)</f>
        <v>#VALUE!</v>
      </c>
      <c r="AH37" s="4" t="e">
        <f t="array" ref="AH37:AW37">_xlfn.IMCSCH(C37:E37)</f>
        <v>#VALUE!</v>
      </c>
      <c r="AI37" s="4" t="e">
        <v>#VALUE!</v>
      </c>
      <c r="AJ37" s="4" t="e">
        <v>#VALUE!</v>
      </c>
      <c r="AK37" s="4" t="e">
        <v>#VALUE!</v>
      </c>
      <c r="AL37" s="4" t="e">
        <v>#VALUE!</v>
      </c>
      <c r="AM37" s="4" t="e">
        <v>#VALUE!</v>
      </c>
      <c r="AN37" s="4" t="e">
        <v>#VALUE!</v>
      </c>
      <c r="AO37" s="4" t="e">
        <v>#VALUE!</v>
      </c>
      <c r="AP37" s="4" t="e">
        <v>#VALUE!</v>
      </c>
      <c r="AQ37" s="4" t="e">
        <v>#VALUE!</v>
      </c>
      <c r="AR37" s="4" t="e">
        <v>#VALUE!</v>
      </c>
      <c r="AS37" s="4" t="e">
        <v>#VALUE!</v>
      </c>
      <c r="AT37" s="4" t="e">
        <v>#VALUE!</v>
      </c>
      <c r="AU37" s="4" t="e">
        <v>#VALUE!</v>
      </c>
      <c r="AV37" s="4" t="e">
        <v>#VALUE!</v>
      </c>
      <c r="AW37" s="4" t="e">
        <v>#VALUE!</v>
      </c>
    </row>
    <row r="38" spans="1:49" x14ac:dyDescent="0.15">
      <c r="A38" s="37" t="s">
        <v>391</v>
      </c>
      <c r="B38" s="36" t="s">
        <v>541</v>
      </c>
      <c r="C38" s="4" t="s">
        <v>773</v>
      </c>
      <c r="D38" s="4" t="s">
        <v>774</v>
      </c>
      <c r="E38" s="4" t="s">
        <v>775</v>
      </c>
      <c r="F38" s="19" t="s">
        <v>776</v>
      </c>
      <c r="G38" s="19" t="s">
        <v>772</v>
      </c>
      <c r="I38" s="4" t="s">
        <v>777</v>
      </c>
      <c r="J38" s="4" t="b">
        <v>1</v>
      </c>
      <c r="K38" s="6" t="e">
        <f>#VALUE!</f>
        <v>#VALUE!</v>
      </c>
      <c r="L38" s="6" t="e">
        <v>#N/A</v>
      </c>
      <c r="M38" s="7" t="e">
        <v>#DIV/0!</v>
      </c>
      <c r="N38" s="7" t="e">
        <v>#NAME?</v>
      </c>
      <c r="O38" s="7" t="e">
        <v>#NULL!</v>
      </c>
      <c r="P38" s="7" t="e">
        <v>#NUM!</v>
      </c>
      <c r="Q38" s="7" t="e">
        <v>#REF!</v>
      </c>
      <c r="R38" s="4" t="str">
        <f>IMDIV(C38,D38)</f>
        <v>1.11340206185567+1.49484536082474j</v>
      </c>
      <c r="S38" s="4" t="str">
        <f>IMDIV(D38,E38)</f>
        <v>3.69581190301249-0.771491550330639j</v>
      </c>
      <c r="T38" s="4" t="e">
        <f>IMDIV(E38,F38)</f>
        <v>#NUM!</v>
      </c>
      <c r="U38" s="4" t="e">
        <f>IMDIV(F38,G38)</f>
        <v>#NUM!</v>
      </c>
      <c r="V38" s="4" t="e">
        <f>IMDIV(G38,H38)</f>
        <v>#NUM!</v>
      </c>
      <c r="W38" s="4" t="e">
        <f t="shared" ref="W38:AF38" si="37">IMDIV(H38,I38)</f>
        <v>#NUM!</v>
      </c>
      <c r="X38" s="4" t="e">
        <f>IMDIV(I38,J38)</f>
        <v>#NUM!</v>
      </c>
      <c r="Y38" s="4" t="e">
        <f t="shared" si="37"/>
        <v>#VALUE!</v>
      </c>
      <c r="Z38" s="4" t="e">
        <f t="shared" si="37"/>
        <v>#VALUE!</v>
      </c>
      <c r="AA38" s="4" t="e">
        <f t="shared" si="37"/>
        <v>#N/A</v>
      </c>
      <c r="AB38" s="4" t="e">
        <f t="shared" si="37"/>
        <v>#DIV/0!</v>
      </c>
      <c r="AC38" s="4" t="e">
        <f t="shared" si="37"/>
        <v>#NAME?</v>
      </c>
      <c r="AD38" s="4" t="e">
        <f t="shared" si="37"/>
        <v>#NULL!</v>
      </c>
      <c r="AE38" s="4" t="e">
        <f t="shared" si="37"/>
        <v>#NUM!</v>
      </c>
      <c r="AF38" s="4" t="e">
        <f t="shared" si="37"/>
        <v>#REF!</v>
      </c>
      <c r="AG38" s="4" t="e">
        <f>IMDIV(C38:D38,C37:D37)</f>
        <v>#VALUE!</v>
      </c>
      <c r="AH38" s="4" t="e">
        <f t="array" ref="AH38:AW38">IMDIV(C38:D38,C37:D37)</f>
        <v>#VALUE!</v>
      </c>
      <c r="AI38" s="4" t="e">
        <v>#VALUE!</v>
      </c>
      <c r="AJ38" s="4" t="e">
        <v>#VALUE!</v>
      </c>
      <c r="AK38" s="4" t="e">
        <v>#VALUE!</v>
      </c>
      <c r="AL38" s="4" t="e">
        <v>#VALUE!</v>
      </c>
      <c r="AM38" s="4" t="e">
        <v>#VALUE!</v>
      </c>
      <c r="AN38" s="4" t="e">
        <v>#VALUE!</v>
      </c>
      <c r="AO38" s="4" t="e">
        <v>#VALUE!</v>
      </c>
      <c r="AP38" s="4" t="e">
        <v>#VALUE!</v>
      </c>
      <c r="AQ38" s="4" t="e">
        <v>#VALUE!</v>
      </c>
      <c r="AR38" s="4" t="e">
        <v>#VALUE!</v>
      </c>
      <c r="AS38" s="4" t="e">
        <v>#VALUE!</v>
      </c>
      <c r="AT38" s="4" t="e">
        <v>#VALUE!</v>
      </c>
      <c r="AU38" s="4" t="e">
        <v>#VALUE!</v>
      </c>
      <c r="AV38" s="4" t="e">
        <v>#VALUE!</v>
      </c>
      <c r="AW38" s="4" t="e">
        <v>#VALUE!</v>
      </c>
    </row>
    <row r="39" spans="1:49" x14ac:dyDescent="0.15">
      <c r="A39" s="37" t="s">
        <v>392</v>
      </c>
      <c r="B39" s="36" t="s">
        <v>541</v>
      </c>
      <c r="C39" s="4" t="s">
        <v>773</v>
      </c>
      <c r="D39" s="4" t="s">
        <v>774</v>
      </c>
      <c r="E39" s="4" t="s">
        <v>775</v>
      </c>
      <c r="F39" s="19" t="s">
        <v>776</v>
      </c>
      <c r="G39" s="19" t="s">
        <v>772</v>
      </c>
      <c r="I39" s="4" t="s">
        <v>777</v>
      </c>
      <c r="J39" s="4" t="b">
        <v>1</v>
      </c>
      <c r="K39" s="6" t="e">
        <f>#VALUE!</f>
        <v>#VALUE!</v>
      </c>
      <c r="L39" s="6" t="e">
        <v>#N/A</v>
      </c>
      <c r="M39" s="7" t="e">
        <v>#DIV/0!</v>
      </c>
      <c r="N39" s="7" t="e">
        <v>#NAME?</v>
      </c>
      <c r="O39" s="7" t="e">
        <v>#NULL!</v>
      </c>
      <c r="P39" s="7" t="e">
        <v>#NUM!</v>
      </c>
      <c r="Q39" s="7" t="e">
        <v>#REF!</v>
      </c>
      <c r="R39" s="4" t="str">
        <f>IMEXP(C39)</f>
        <v>1086.98587021701-145.141317733255j</v>
      </c>
      <c r="S39" s="4" t="str">
        <f t="shared" ref="S39:AF39" si="38">IMEXP(D39)</f>
        <v>125495.949655449-424240.941033413j</v>
      </c>
      <c r="T39" s="4" t="str">
        <f t="shared" si="38"/>
        <v>-9.23760720359952+20.1845399810167j</v>
      </c>
      <c r="U39" s="4" t="str">
        <f t="shared" si="38"/>
        <v>-0.0207187310022429+0.045271253156093i</v>
      </c>
      <c r="V39" s="4" t="str">
        <f t="shared" si="38"/>
        <v>2.24044486393732E-06-2.99158552811404E-07j</v>
      </c>
      <c r="W39" s="4" t="str">
        <f>IMEXP(H39)</f>
        <v>1</v>
      </c>
      <c r="X39" s="4" t="e">
        <f t="shared" si="38"/>
        <v>#NUM!</v>
      </c>
      <c r="Y39" s="4" t="e">
        <f t="shared" si="38"/>
        <v>#VALUE!</v>
      </c>
      <c r="Z39" s="4" t="e">
        <f t="shared" si="38"/>
        <v>#VALUE!</v>
      </c>
      <c r="AA39" s="4" t="e">
        <f t="shared" si="38"/>
        <v>#N/A</v>
      </c>
      <c r="AB39" s="4" t="e">
        <f t="shared" si="38"/>
        <v>#DIV/0!</v>
      </c>
      <c r="AC39" s="4" t="e">
        <f t="shared" si="38"/>
        <v>#NAME?</v>
      </c>
      <c r="AD39" s="4" t="e">
        <f t="shared" si="38"/>
        <v>#NULL!</v>
      </c>
      <c r="AE39" s="4" t="e">
        <f t="shared" si="38"/>
        <v>#NUM!</v>
      </c>
      <c r="AF39" s="4" t="e">
        <f t="shared" si="38"/>
        <v>#REF!</v>
      </c>
      <c r="AG39" s="4" t="e">
        <f>IMEXP(C39:E39)</f>
        <v>#VALUE!</v>
      </c>
      <c r="AH39" s="4" t="e">
        <f t="array" ref="AH39:AW39">IMEXP(C39:E39)</f>
        <v>#VALUE!</v>
      </c>
      <c r="AI39" s="4" t="e">
        <v>#VALUE!</v>
      </c>
      <c r="AJ39" s="4" t="e">
        <v>#VALUE!</v>
      </c>
      <c r="AK39" s="4" t="e">
        <v>#VALUE!</v>
      </c>
      <c r="AL39" s="4" t="e">
        <v>#VALUE!</v>
      </c>
      <c r="AM39" s="4" t="e">
        <v>#VALUE!</v>
      </c>
      <c r="AN39" s="4" t="e">
        <v>#VALUE!</v>
      </c>
      <c r="AO39" s="4" t="e">
        <v>#VALUE!</v>
      </c>
      <c r="AP39" s="4" t="e">
        <v>#VALUE!</v>
      </c>
      <c r="AQ39" s="4" t="e">
        <v>#VALUE!</v>
      </c>
      <c r="AR39" s="4" t="e">
        <v>#VALUE!</v>
      </c>
      <c r="AS39" s="4" t="e">
        <v>#VALUE!</v>
      </c>
      <c r="AT39" s="4" t="e">
        <v>#VALUE!</v>
      </c>
      <c r="AU39" s="4" t="e">
        <v>#VALUE!</v>
      </c>
      <c r="AV39" s="4" t="e">
        <v>#VALUE!</v>
      </c>
      <c r="AW39" s="4" t="e">
        <v>#VALUE!</v>
      </c>
    </row>
    <row r="40" spans="1:49" x14ac:dyDescent="0.15">
      <c r="A40" s="37" t="s">
        <v>393</v>
      </c>
      <c r="B40" s="36" t="s">
        <v>541</v>
      </c>
      <c r="C40" s="4" t="s">
        <v>773</v>
      </c>
      <c r="D40" s="4" t="s">
        <v>774</v>
      </c>
      <c r="E40" s="4" t="s">
        <v>775</v>
      </c>
      <c r="F40" s="19" t="s">
        <v>776</v>
      </c>
      <c r="G40" s="19" t="s">
        <v>772</v>
      </c>
      <c r="I40" s="4" t="s">
        <v>777</v>
      </c>
      <c r="J40" s="4" t="b">
        <v>1</v>
      </c>
      <c r="K40" s="6" t="e">
        <f>#VALUE!</f>
        <v>#VALUE!</v>
      </c>
      <c r="L40" s="6" t="e">
        <v>#N/A</v>
      </c>
      <c r="M40" s="7" t="e">
        <v>#DIV/0!</v>
      </c>
      <c r="N40" s="7" t="e">
        <v>#NAME?</v>
      </c>
      <c r="O40" s="7" t="e">
        <v>#NULL!</v>
      </c>
      <c r="P40" s="7" t="e">
        <v>#NUM!</v>
      </c>
      <c r="Q40" s="7" t="e">
        <v>#REF!</v>
      </c>
      <c r="R40" s="4" t="str">
        <f>IMLN(C40)</f>
        <v>3.25661505545615+1.29778762370819j</v>
      </c>
      <c r="S40" s="4" t="str">
        <f t="shared" ref="S40:AF40" si="39">IMLN(D40)</f>
        <v>2.63392907953166+0.367173833818219j</v>
      </c>
      <c r="T40" s="4" t="str">
        <f t="shared" si="39"/>
        <v>1.30540240833169+0.572966142888706j</v>
      </c>
      <c r="U40" s="4" t="str">
        <f t="shared" si="39"/>
        <v>1.28247467873077+2.55359005004223i</v>
      </c>
      <c r="V40" s="4" t="str">
        <f t="shared" si="39"/>
        <v>3.33854173062357+2.05031561878749j</v>
      </c>
      <c r="W40" s="4" t="e">
        <f t="shared" si="39"/>
        <v>#NUM!</v>
      </c>
      <c r="X40" s="4" t="e">
        <f t="shared" si="39"/>
        <v>#NUM!</v>
      </c>
      <c r="Y40" s="4" t="e">
        <f t="shared" si="39"/>
        <v>#VALUE!</v>
      </c>
      <c r="Z40" s="4" t="e">
        <f t="shared" si="39"/>
        <v>#VALUE!</v>
      </c>
      <c r="AA40" s="4" t="e">
        <f t="shared" si="39"/>
        <v>#N/A</v>
      </c>
      <c r="AB40" s="4" t="e">
        <f t="shared" si="39"/>
        <v>#DIV/0!</v>
      </c>
      <c r="AC40" s="4" t="e">
        <f t="shared" si="39"/>
        <v>#NAME?</v>
      </c>
      <c r="AD40" s="4" t="e">
        <f t="shared" si="39"/>
        <v>#NULL!</v>
      </c>
      <c r="AE40" s="4" t="e">
        <f t="shared" si="39"/>
        <v>#NUM!</v>
      </c>
      <c r="AF40" s="4" t="e">
        <f t="shared" si="39"/>
        <v>#REF!</v>
      </c>
      <c r="AG40" s="4" t="e">
        <f>IMLN(C40:E40)</f>
        <v>#VALUE!</v>
      </c>
      <c r="AH40" s="4" t="e">
        <f t="array" ref="AH40:AW40">IMLN(C40:E40)</f>
        <v>#VALUE!</v>
      </c>
      <c r="AI40" s="4" t="e">
        <v>#VALUE!</v>
      </c>
      <c r="AJ40" s="4" t="e">
        <v>#VALUE!</v>
      </c>
      <c r="AK40" s="4" t="e">
        <v>#VALUE!</v>
      </c>
      <c r="AL40" s="4" t="e">
        <v>#VALUE!</v>
      </c>
      <c r="AM40" s="4" t="e">
        <v>#VALUE!</v>
      </c>
      <c r="AN40" s="4" t="e">
        <v>#VALUE!</v>
      </c>
      <c r="AO40" s="4" t="e">
        <v>#VALUE!</v>
      </c>
      <c r="AP40" s="4" t="e">
        <v>#VALUE!</v>
      </c>
      <c r="AQ40" s="4" t="e">
        <v>#VALUE!</v>
      </c>
      <c r="AR40" s="4" t="e">
        <v>#VALUE!</v>
      </c>
      <c r="AS40" s="4" t="e">
        <v>#VALUE!</v>
      </c>
      <c r="AT40" s="4" t="e">
        <v>#VALUE!</v>
      </c>
      <c r="AU40" s="4" t="e">
        <v>#VALUE!</v>
      </c>
      <c r="AV40" s="4" t="e">
        <v>#VALUE!</v>
      </c>
      <c r="AW40" s="4" t="e">
        <v>#VALUE!</v>
      </c>
    </row>
    <row r="41" spans="1:49" x14ac:dyDescent="0.15">
      <c r="A41" s="37" t="s">
        <v>394</v>
      </c>
      <c r="B41" s="36" t="s">
        <v>541</v>
      </c>
      <c r="C41" s="21" t="s">
        <v>773</v>
      </c>
      <c r="D41" s="21" t="s">
        <v>774</v>
      </c>
      <c r="E41" s="21" t="s">
        <v>775</v>
      </c>
      <c r="F41" s="21" t="s">
        <v>776</v>
      </c>
      <c r="G41" s="21" t="s">
        <v>772</v>
      </c>
      <c r="H41" s="21"/>
      <c r="I41" s="21" t="s">
        <v>777</v>
      </c>
      <c r="J41" s="21" t="b">
        <v>1</v>
      </c>
      <c r="K41" s="10" t="e">
        <v>#VALUE!</v>
      </c>
      <c r="L41" s="10" t="e">
        <v>#N/A</v>
      </c>
      <c r="M41" s="7" t="e">
        <v>#DIV/0!</v>
      </c>
      <c r="N41" s="7" t="e">
        <v>#NAME?</v>
      </c>
      <c r="O41" s="7" t="e">
        <v>#NULL!</v>
      </c>
      <c r="P41" s="7" t="e">
        <v>#NUM!</v>
      </c>
      <c r="Q41" s="7" t="e">
        <v>#REF!</v>
      </c>
      <c r="R41" s="4" t="str">
        <f>IMLOG10(C41)</f>
        <v>1.41432994826766+0.563622003658799j</v>
      </c>
      <c r="S41" s="4" t="str">
        <f t="shared" ref="S41:AF41" si="40">IMLOG10(D41)</f>
        <v>1.14390086496511+0.159461569926514j</v>
      </c>
      <c r="T41" s="4" t="str">
        <f t="shared" si="40"/>
        <v>0.566929062601667+0.248836034173955j</v>
      </c>
      <c r="U41" s="4" t="str">
        <f t="shared" si="40"/>
        <v>0.556971676153418+1.10901006777639i</v>
      </c>
      <c r="V41" s="4" t="str">
        <f t="shared" si="40"/>
        <v>1.44991025121355+0.890440759399459j</v>
      </c>
      <c r="W41" s="4" t="e">
        <f t="shared" si="40"/>
        <v>#NUM!</v>
      </c>
      <c r="X41" s="4" t="e">
        <f t="shared" si="40"/>
        <v>#NUM!</v>
      </c>
      <c r="Y41" s="4" t="e">
        <f t="shared" si="40"/>
        <v>#VALUE!</v>
      </c>
      <c r="Z41" s="4" t="e">
        <f t="shared" si="40"/>
        <v>#VALUE!</v>
      </c>
      <c r="AA41" s="4" t="e">
        <f t="shared" si="40"/>
        <v>#N/A</v>
      </c>
      <c r="AB41" s="4" t="e">
        <f t="shared" si="40"/>
        <v>#DIV/0!</v>
      </c>
      <c r="AC41" s="4" t="e">
        <f t="shared" si="40"/>
        <v>#NAME?</v>
      </c>
      <c r="AD41" s="4" t="e">
        <f t="shared" si="40"/>
        <v>#NULL!</v>
      </c>
      <c r="AE41" s="4" t="e">
        <f t="shared" si="40"/>
        <v>#NUM!</v>
      </c>
      <c r="AF41" s="4" t="e">
        <f t="shared" si="40"/>
        <v>#REF!</v>
      </c>
      <c r="AG41" s="4" t="e">
        <f>IMLOG10(C41:E41)</f>
        <v>#VALUE!</v>
      </c>
      <c r="AH41" s="4" t="e">
        <f t="array" ref="AH41:AW41">IMLOG10(C41:E41)</f>
        <v>#VALUE!</v>
      </c>
      <c r="AI41" s="4" t="e">
        <v>#VALUE!</v>
      </c>
      <c r="AJ41" s="4" t="e">
        <v>#VALUE!</v>
      </c>
      <c r="AK41" s="4" t="e">
        <v>#VALUE!</v>
      </c>
      <c r="AL41" s="4" t="e">
        <v>#VALUE!</v>
      </c>
      <c r="AM41" s="4" t="e">
        <v>#VALUE!</v>
      </c>
      <c r="AN41" s="4" t="e">
        <v>#VALUE!</v>
      </c>
      <c r="AO41" s="4" t="e">
        <v>#VALUE!</v>
      </c>
      <c r="AP41" s="4" t="e">
        <v>#VALUE!</v>
      </c>
      <c r="AQ41" s="4" t="e">
        <v>#VALUE!</v>
      </c>
      <c r="AR41" s="4" t="e">
        <v>#VALUE!</v>
      </c>
      <c r="AS41" s="4" t="e">
        <v>#VALUE!</v>
      </c>
      <c r="AT41" s="4" t="e">
        <v>#VALUE!</v>
      </c>
      <c r="AU41" s="4" t="e">
        <v>#VALUE!</v>
      </c>
      <c r="AV41" s="4" t="e">
        <v>#VALUE!</v>
      </c>
      <c r="AW41" s="4" t="e">
        <v>#VALUE!</v>
      </c>
    </row>
    <row r="42" spans="1:49" x14ac:dyDescent="0.15">
      <c r="A42" s="37" t="s">
        <v>395</v>
      </c>
      <c r="B42" s="36" t="s">
        <v>541</v>
      </c>
      <c r="C42" s="21" t="s">
        <v>773</v>
      </c>
      <c r="D42" s="21" t="s">
        <v>774</v>
      </c>
      <c r="E42" s="21" t="s">
        <v>775</v>
      </c>
      <c r="F42" s="21" t="s">
        <v>776</v>
      </c>
      <c r="G42" s="21" t="s">
        <v>772</v>
      </c>
      <c r="H42" s="21"/>
      <c r="I42" s="21" t="s">
        <v>777</v>
      </c>
      <c r="J42" s="21" t="b">
        <v>1</v>
      </c>
      <c r="K42" s="10" t="e">
        <v>#VALUE!</v>
      </c>
      <c r="L42" s="10" t="e">
        <v>#N/A</v>
      </c>
      <c r="M42" s="7" t="e">
        <v>#DIV/0!</v>
      </c>
      <c r="N42" s="7" t="e">
        <v>#NAME?</v>
      </c>
      <c r="O42" s="7" t="e">
        <v>#NULL!</v>
      </c>
      <c r="P42" s="7" t="e">
        <v>#NUM!</v>
      </c>
      <c r="Q42" s="7" t="e">
        <v>#REF!</v>
      </c>
      <c r="R42" s="4" t="str">
        <f>IMLOG2(C42)</f>
        <v>4.69830239059093+1.87231176885087j</v>
      </c>
      <c r="S42" s="4" t="str">
        <f t="shared" ref="S42:AF42" si="41">IMLOG2(D42)</f>
        <v>3.79995642109356+0.529719869193733j</v>
      </c>
      <c r="T42" s="4" t="str">
        <f t="shared" si="41"/>
        <v>1.88329758086464+0.826615412942814j</v>
      </c>
      <c r="U42" s="4" t="str">
        <f t="shared" si="41"/>
        <v>1.85021985907055+3.68405170165932i</v>
      </c>
      <c r="V42" s="4" t="str">
        <f t="shared" si="41"/>
        <v>4.81649759857148+2.9579801754819j</v>
      </c>
      <c r="W42" s="4" t="e">
        <f t="shared" si="41"/>
        <v>#NUM!</v>
      </c>
      <c r="X42" s="4" t="e">
        <f t="shared" si="41"/>
        <v>#NUM!</v>
      </c>
      <c r="Y42" s="4" t="e">
        <f t="shared" si="41"/>
        <v>#VALUE!</v>
      </c>
      <c r="Z42" s="4" t="e">
        <f t="shared" si="41"/>
        <v>#VALUE!</v>
      </c>
      <c r="AA42" s="4" t="e">
        <f t="shared" si="41"/>
        <v>#N/A</v>
      </c>
      <c r="AB42" s="4" t="e">
        <f t="shared" si="41"/>
        <v>#DIV/0!</v>
      </c>
      <c r="AC42" s="4" t="e">
        <f t="shared" si="41"/>
        <v>#NAME?</v>
      </c>
      <c r="AD42" s="4" t="e">
        <f t="shared" si="41"/>
        <v>#NULL!</v>
      </c>
      <c r="AE42" s="4" t="e">
        <f t="shared" si="41"/>
        <v>#NUM!</v>
      </c>
      <c r="AF42" s="4" t="e">
        <f t="shared" si="41"/>
        <v>#REF!</v>
      </c>
      <c r="AG42" s="4" t="e">
        <f>IMLOG2(C42:E42)</f>
        <v>#VALUE!</v>
      </c>
      <c r="AH42" s="4" t="e">
        <f t="array" ref="AH42:AW42">IMLOG2(C42:E42)</f>
        <v>#VALUE!</v>
      </c>
      <c r="AI42" s="4" t="e">
        <v>#VALUE!</v>
      </c>
      <c r="AJ42" s="4" t="e">
        <v>#VALUE!</v>
      </c>
      <c r="AK42" s="4" t="e">
        <v>#VALUE!</v>
      </c>
      <c r="AL42" s="4" t="e">
        <v>#VALUE!</v>
      </c>
      <c r="AM42" s="4" t="e">
        <v>#VALUE!</v>
      </c>
      <c r="AN42" s="4" t="e">
        <v>#VALUE!</v>
      </c>
      <c r="AO42" s="4" t="e">
        <v>#VALUE!</v>
      </c>
      <c r="AP42" s="4" t="e">
        <v>#VALUE!</v>
      </c>
      <c r="AQ42" s="4" t="e">
        <v>#VALUE!</v>
      </c>
      <c r="AR42" s="4" t="e">
        <v>#VALUE!</v>
      </c>
      <c r="AS42" s="4" t="e">
        <v>#VALUE!</v>
      </c>
      <c r="AT42" s="4" t="e">
        <v>#VALUE!</v>
      </c>
      <c r="AU42" s="4" t="e">
        <v>#VALUE!</v>
      </c>
      <c r="AV42" s="4" t="e">
        <v>#VALUE!</v>
      </c>
      <c r="AW42" s="4" t="e">
        <v>#VALUE!</v>
      </c>
    </row>
    <row r="43" spans="1:49" x14ac:dyDescent="0.15">
      <c r="A43" s="37" t="s">
        <v>396</v>
      </c>
      <c r="B43" s="36" t="s">
        <v>541</v>
      </c>
      <c r="C43" s="21" t="s">
        <v>773</v>
      </c>
      <c r="D43" s="21" t="s">
        <v>774</v>
      </c>
      <c r="E43" s="21" t="s">
        <v>775</v>
      </c>
      <c r="F43" s="21" t="s">
        <v>776</v>
      </c>
      <c r="G43" s="21" t="s">
        <v>772</v>
      </c>
      <c r="H43" s="21"/>
      <c r="I43" s="21" t="s">
        <v>777</v>
      </c>
      <c r="J43" s="21" t="b">
        <v>1</v>
      </c>
      <c r="K43" s="10" t="e">
        <v>#VALUE!</v>
      </c>
      <c r="L43" s="10" t="e">
        <v>#N/A</v>
      </c>
      <c r="M43" s="7" t="e">
        <v>#DIV/0!</v>
      </c>
      <c r="N43" s="7" t="e">
        <v>#NAME?</v>
      </c>
      <c r="O43" s="7" t="e">
        <v>#NULL!</v>
      </c>
      <c r="P43" s="7" t="e">
        <v>#NUM!</v>
      </c>
      <c r="Q43" s="7" t="e">
        <v>#REF!</v>
      </c>
      <c r="R43" s="4" t="str">
        <f>IMPOWER(C43,2.3)</f>
        <v>-1768.5045629583+279.381198142491j</v>
      </c>
      <c r="S43" s="4" t="str">
        <f t="shared" ref="S43:AF43" si="42">IMPOWER(D43,2.3)</f>
        <v>283.928474828384+319.642085799475j</v>
      </c>
      <c r="T43" s="4" t="str">
        <f t="shared" si="42"/>
        <v>5.03930876927936+19.4934855764421j</v>
      </c>
      <c r="U43" s="4" t="str">
        <f t="shared" si="42"/>
        <v>17.5176143915122-7.61220636461807i</v>
      </c>
      <c r="V43" s="4" t="str">
        <f t="shared" si="42"/>
        <v>7.21342528017647-2161.67878229695j</v>
      </c>
      <c r="W43" s="4" t="str">
        <f t="shared" si="42"/>
        <v>0</v>
      </c>
      <c r="X43" s="4" t="e">
        <f t="shared" si="42"/>
        <v>#NUM!</v>
      </c>
      <c r="Y43" s="4" t="e">
        <f t="shared" si="42"/>
        <v>#VALUE!</v>
      </c>
      <c r="Z43" s="4" t="e">
        <f t="shared" si="42"/>
        <v>#VALUE!</v>
      </c>
      <c r="AA43" s="4" t="e">
        <f t="shared" si="42"/>
        <v>#N/A</v>
      </c>
      <c r="AB43" s="4" t="e">
        <f t="shared" si="42"/>
        <v>#DIV/0!</v>
      </c>
      <c r="AC43" s="4" t="e">
        <f t="shared" si="42"/>
        <v>#NAME?</v>
      </c>
      <c r="AD43" s="4" t="e">
        <f t="shared" si="42"/>
        <v>#NULL!</v>
      </c>
      <c r="AE43" s="4" t="e">
        <f t="shared" si="42"/>
        <v>#NUM!</v>
      </c>
      <c r="AF43" s="4" t="e">
        <f t="shared" si="42"/>
        <v>#REF!</v>
      </c>
      <c r="AG43" s="4" t="e">
        <f>IMPOWER(C43:E43,2.3)</f>
        <v>#VALUE!</v>
      </c>
      <c r="AH43" s="4" t="e">
        <f t="array" ref="AH43:AW43">IMPOWER(C43:E43,2.3)</f>
        <v>#VALUE!</v>
      </c>
      <c r="AI43" s="4" t="e">
        <v>#VALUE!</v>
      </c>
      <c r="AJ43" s="4" t="e">
        <v>#VALUE!</v>
      </c>
      <c r="AK43" s="4" t="e">
        <v>#VALUE!</v>
      </c>
      <c r="AL43" s="4" t="e">
        <v>#VALUE!</v>
      </c>
      <c r="AM43" s="4" t="e">
        <v>#VALUE!</v>
      </c>
      <c r="AN43" s="4" t="e">
        <v>#VALUE!</v>
      </c>
      <c r="AO43" s="4" t="e">
        <v>#VALUE!</v>
      </c>
      <c r="AP43" s="4" t="e">
        <v>#VALUE!</v>
      </c>
      <c r="AQ43" s="4" t="e">
        <v>#VALUE!</v>
      </c>
      <c r="AR43" s="4" t="e">
        <v>#VALUE!</v>
      </c>
      <c r="AS43" s="4" t="e">
        <v>#VALUE!</v>
      </c>
      <c r="AT43" s="4" t="e">
        <v>#VALUE!</v>
      </c>
      <c r="AU43" s="4" t="e">
        <v>#VALUE!</v>
      </c>
      <c r="AV43" s="4" t="e">
        <v>#VALUE!</v>
      </c>
      <c r="AW43" s="4" t="e">
        <v>#VALUE!</v>
      </c>
    </row>
    <row r="44" spans="1:49" x14ac:dyDescent="0.15">
      <c r="A44" s="37" t="s">
        <v>397</v>
      </c>
      <c r="B44" s="36" t="s">
        <v>541</v>
      </c>
      <c r="C44" s="21" t="s">
        <v>773</v>
      </c>
      <c r="D44" s="21" t="s">
        <v>774</v>
      </c>
      <c r="E44" s="21" t="s">
        <v>775</v>
      </c>
      <c r="F44" s="21" t="s">
        <v>776</v>
      </c>
      <c r="G44" s="21" t="s">
        <v>772</v>
      </c>
      <c r="H44" s="21"/>
      <c r="I44" s="21" t="s">
        <v>777</v>
      </c>
      <c r="J44" s="21" t="b">
        <v>1</v>
      </c>
      <c r="K44" s="10" t="e">
        <v>#VALUE!</v>
      </c>
      <c r="L44" s="10" t="e">
        <v>#N/A</v>
      </c>
      <c r="M44" s="7" t="e">
        <v>#DIV/0!</v>
      </c>
      <c r="N44" s="7" t="e">
        <v>#NAME?</v>
      </c>
      <c r="O44" s="7" t="e">
        <v>#NULL!</v>
      </c>
      <c r="P44" s="7" t="e">
        <v>#NUM!</v>
      </c>
      <c r="Q44" s="7" t="e">
        <v>#REF!</v>
      </c>
      <c r="R44" s="4" t="str">
        <f>IMPRODUCT(C44, D44,E44)</f>
        <v>-825.4+1048j</v>
      </c>
      <c r="S44" s="4" t="str">
        <f>IMPRODUCT( E44,D44)</f>
        <v>30.3+41.5j</v>
      </c>
      <c r="T44" s="4" t="e">
        <f>IMPRODUCT( F44,E44)</f>
        <v>#VALUE!</v>
      </c>
      <c r="U44" s="4" t="e">
        <f>IMPRODUCT( G44,F44)</f>
        <v>#VALUE!</v>
      </c>
      <c r="V44" s="4" t="str">
        <f>IMPRODUCT( H44,G44)</f>
        <v>0</v>
      </c>
      <c r="W44" s="4" t="e">
        <f>IMPRODUCT( I44,H44)</f>
        <v>#NUM!</v>
      </c>
      <c r="X44" s="4" t="e">
        <f t="shared" ref="X44:AF44" si="43">IMPRODUCT( J44,I44)</f>
        <v>#VALUE!</v>
      </c>
      <c r="Y44" s="4" t="e">
        <f t="shared" si="43"/>
        <v>#VALUE!</v>
      </c>
      <c r="Z44" s="4" t="e">
        <f t="shared" si="43"/>
        <v>#N/A</v>
      </c>
      <c r="AA44" s="4" t="e">
        <f>IMPRODUCT( M44,L44)</f>
        <v>#DIV/0!</v>
      </c>
      <c r="AB44" s="4" t="e">
        <f t="shared" si="43"/>
        <v>#NAME?</v>
      </c>
      <c r="AC44" s="4" t="e">
        <f t="shared" si="43"/>
        <v>#NULL!</v>
      </c>
      <c r="AD44" s="4" t="e">
        <f t="shared" si="43"/>
        <v>#NUM!</v>
      </c>
      <c r="AE44" s="4" t="e">
        <f t="shared" si="43"/>
        <v>#REF!</v>
      </c>
      <c r="AF44" s="4" t="e">
        <f t="shared" si="43"/>
        <v>#REF!</v>
      </c>
      <c r="AG44" s="4" t="str">
        <f>IMPRODUCT( C44:E44)</f>
        <v>-825.4+1048j</v>
      </c>
      <c r="AH44" s="4" t="str">
        <f t="array" ref="AH44:AW44">IMPRODUCT( C44:E44)</f>
        <v>-825.4+1048j</v>
      </c>
      <c r="AI44" s="4" t="str">
        <v>-825.4+1048j</v>
      </c>
      <c r="AJ44" s="4" t="str">
        <v>-825.4+1048j</v>
      </c>
      <c r="AK44" s="4" t="str">
        <v>-825.4+1048j</v>
      </c>
      <c r="AL44" s="4" t="str">
        <v>-825.4+1048j</v>
      </c>
      <c r="AM44" s="4" t="str">
        <v>-825.4+1048j</v>
      </c>
      <c r="AN44" s="4" t="str">
        <v>-825.4+1048j</v>
      </c>
      <c r="AO44" s="4" t="str">
        <v>-825.4+1048j</v>
      </c>
      <c r="AP44" s="4" t="str">
        <v>-825.4+1048j</v>
      </c>
      <c r="AQ44" s="4" t="str">
        <v>-825.4+1048j</v>
      </c>
      <c r="AR44" s="4" t="str">
        <v>-825.4+1048j</v>
      </c>
      <c r="AS44" s="4" t="str">
        <v>-825.4+1048j</v>
      </c>
      <c r="AT44" s="4" t="str">
        <v>-825.4+1048j</v>
      </c>
      <c r="AU44" s="4" t="str">
        <v>-825.4+1048j</v>
      </c>
      <c r="AV44" s="4" t="str">
        <v>-825.4+1048j</v>
      </c>
      <c r="AW44" s="4" t="str">
        <v>-825.4+1048j</v>
      </c>
    </row>
    <row r="45" spans="1:49" x14ac:dyDescent="0.15">
      <c r="A45" s="37" t="s">
        <v>398</v>
      </c>
      <c r="B45" s="36" t="s">
        <v>541</v>
      </c>
      <c r="C45" s="21" t="s">
        <v>773</v>
      </c>
      <c r="D45" s="21" t="s">
        <v>774</v>
      </c>
      <c r="E45" s="21" t="s">
        <v>775</v>
      </c>
      <c r="F45" s="21" t="s">
        <v>776</v>
      </c>
      <c r="G45" s="21" t="s">
        <v>772</v>
      </c>
      <c r="H45" s="21"/>
      <c r="I45" s="21" t="s">
        <v>777</v>
      </c>
      <c r="J45" s="21" t="b">
        <v>1</v>
      </c>
      <c r="K45" s="10" t="e">
        <v>#VALUE!</v>
      </c>
      <c r="L45" s="10" t="e">
        <v>#N/A</v>
      </c>
      <c r="M45" s="7" t="e">
        <v>#DIV/0!</v>
      </c>
      <c r="N45" s="7" t="e">
        <v>#NAME?</v>
      </c>
      <c r="O45" s="7" t="e">
        <v>#NULL!</v>
      </c>
      <c r="P45" s="7" t="e">
        <v>#NUM!</v>
      </c>
      <c r="Q45" s="7" t="e">
        <v>#REF!</v>
      </c>
      <c r="R45" s="4">
        <f>IMREAL(C45)</f>
        <v>7</v>
      </c>
      <c r="S45" s="4">
        <f t="shared" ref="S45:AF45" si="44">IMREAL(D45)</f>
        <v>13</v>
      </c>
      <c r="T45" s="4">
        <f t="shared" si="44"/>
        <v>3.1</v>
      </c>
      <c r="U45" s="4">
        <f t="shared" si="44"/>
        <v>-3</v>
      </c>
      <c r="V45" s="4">
        <f t="shared" si="44"/>
        <v>-13</v>
      </c>
      <c r="W45" s="4">
        <f t="shared" si="44"/>
        <v>0</v>
      </c>
      <c r="X45" s="4" t="e">
        <f t="shared" si="44"/>
        <v>#NUM!</v>
      </c>
      <c r="Y45" s="4" t="e">
        <f t="shared" si="44"/>
        <v>#VALUE!</v>
      </c>
      <c r="Z45" s="4" t="e">
        <f t="shared" si="44"/>
        <v>#VALUE!</v>
      </c>
      <c r="AA45" s="4" t="e">
        <f t="shared" si="44"/>
        <v>#N/A</v>
      </c>
      <c r="AB45" s="4" t="e">
        <f t="shared" si="44"/>
        <v>#DIV/0!</v>
      </c>
      <c r="AC45" s="4" t="e">
        <f t="shared" si="44"/>
        <v>#NAME?</v>
      </c>
      <c r="AD45" s="4" t="e">
        <f t="shared" si="44"/>
        <v>#NULL!</v>
      </c>
      <c r="AE45" s="4" t="e">
        <f t="shared" si="44"/>
        <v>#NUM!</v>
      </c>
      <c r="AF45" s="4" t="e">
        <f t="shared" si="44"/>
        <v>#REF!</v>
      </c>
      <c r="AG45" s="4" t="e">
        <f>IMREAL(C45:E45)</f>
        <v>#VALUE!</v>
      </c>
      <c r="AH45" s="4" t="e">
        <f t="array" ref="AH45:AW45">IMREAL(C45:E45)</f>
        <v>#VALUE!</v>
      </c>
      <c r="AI45" s="4" t="e">
        <v>#VALUE!</v>
      </c>
      <c r="AJ45" s="4" t="e">
        <v>#VALUE!</v>
      </c>
      <c r="AK45" s="4" t="e">
        <v>#VALUE!</v>
      </c>
      <c r="AL45" s="4" t="e">
        <v>#VALUE!</v>
      </c>
      <c r="AM45" s="4" t="e">
        <v>#VALUE!</v>
      </c>
      <c r="AN45" s="4" t="e">
        <v>#VALUE!</v>
      </c>
      <c r="AO45" s="4" t="e">
        <v>#VALUE!</v>
      </c>
      <c r="AP45" s="4" t="e">
        <v>#VALUE!</v>
      </c>
      <c r="AQ45" s="4" t="e">
        <v>#VALUE!</v>
      </c>
      <c r="AR45" s="4" t="e">
        <v>#VALUE!</v>
      </c>
      <c r="AS45" s="4" t="e">
        <v>#VALUE!</v>
      </c>
      <c r="AT45" s="4" t="e">
        <v>#VALUE!</v>
      </c>
      <c r="AU45" s="4" t="e">
        <v>#VALUE!</v>
      </c>
      <c r="AV45" s="4" t="e">
        <v>#VALUE!</v>
      </c>
      <c r="AW45" s="4" t="e">
        <v>#VALUE!</v>
      </c>
    </row>
    <row r="46" spans="1:49" x14ac:dyDescent="0.15">
      <c r="A46" s="37" t="s">
        <v>399</v>
      </c>
      <c r="B46" s="36" t="s">
        <v>541</v>
      </c>
      <c r="C46" s="21" t="s">
        <v>773</v>
      </c>
      <c r="D46" s="21" t="s">
        <v>774</v>
      </c>
      <c r="E46" s="21" t="s">
        <v>775</v>
      </c>
      <c r="F46" s="21" t="s">
        <v>776</v>
      </c>
      <c r="G46" s="21" t="s">
        <v>772</v>
      </c>
      <c r="H46" s="21"/>
      <c r="I46" s="21" t="s">
        <v>777</v>
      </c>
      <c r="J46" s="21" t="b">
        <v>1</v>
      </c>
      <c r="K46" s="10" t="e">
        <v>#VALUE!</v>
      </c>
      <c r="L46" s="10" t="e">
        <v>#N/A</v>
      </c>
      <c r="M46" s="7" t="e">
        <v>#DIV/0!</v>
      </c>
      <c r="N46" s="7" t="e">
        <v>#NAME?</v>
      </c>
      <c r="O46" s="7" t="e">
        <v>#NULL!</v>
      </c>
      <c r="P46" s="7" t="e">
        <v>#NUM!</v>
      </c>
      <c r="Q46" s="7" t="e">
        <v>#REF!</v>
      </c>
      <c r="R46" s="4" t="str">
        <f>_xlfn.IMSEC(C46)</f>
        <v>2.09403043759793E-11+1.82483860060804E-11j</v>
      </c>
      <c r="S46" s="4" t="str">
        <f t="shared" ref="S46:AF46" si="45">_xlfn.IMSEC(D46)</f>
        <v>0.0122284934867993+0.00566153681827686j</v>
      </c>
      <c r="T46" s="4" t="str">
        <f t="shared" si="45"/>
        <v>-0.26560479396574+0.0106559588386141j</v>
      </c>
      <c r="U46" s="4" t="str">
        <f t="shared" si="45"/>
        <v>-0.263512975158389-0.0362116365587685i</v>
      </c>
      <c r="V46" s="4" t="str">
        <f t="shared" si="45"/>
        <v>2.52051399224452E-11-1.16705124427133E-11j</v>
      </c>
      <c r="W46" s="4" t="str">
        <f t="shared" si="45"/>
        <v>1</v>
      </c>
      <c r="X46" s="4" t="e">
        <f t="shared" si="45"/>
        <v>#NUM!</v>
      </c>
      <c r="Y46" s="4" t="e">
        <f t="shared" si="45"/>
        <v>#VALUE!</v>
      </c>
      <c r="Z46" s="4" t="e">
        <f t="shared" si="45"/>
        <v>#VALUE!</v>
      </c>
      <c r="AA46" s="4" t="e">
        <f t="shared" si="45"/>
        <v>#N/A</v>
      </c>
      <c r="AB46" s="4" t="e">
        <f t="shared" si="45"/>
        <v>#DIV/0!</v>
      </c>
      <c r="AC46" s="4" t="e">
        <f t="shared" si="45"/>
        <v>#NAME?</v>
      </c>
      <c r="AD46" s="4" t="e">
        <f t="shared" si="45"/>
        <v>#NULL!</v>
      </c>
      <c r="AE46" s="4" t="e">
        <f t="shared" si="45"/>
        <v>#NUM!</v>
      </c>
      <c r="AF46" s="4" t="e">
        <f t="shared" si="45"/>
        <v>#REF!</v>
      </c>
      <c r="AG46" s="4" t="e">
        <f>_xlfn.IMSEC(C46:E46)</f>
        <v>#VALUE!</v>
      </c>
      <c r="AH46" s="4" t="e">
        <f t="array" ref="AH46:AW46">_xlfn.IMSEC(C46:E46)</f>
        <v>#VALUE!</v>
      </c>
      <c r="AI46" s="4" t="e">
        <v>#VALUE!</v>
      </c>
      <c r="AJ46" s="4" t="e">
        <v>#VALUE!</v>
      </c>
      <c r="AK46" s="4" t="e">
        <v>#VALUE!</v>
      </c>
      <c r="AL46" s="4" t="e">
        <v>#VALUE!</v>
      </c>
      <c r="AM46" s="4" t="e">
        <v>#VALUE!</v>
      </c>
      <c r="AN46" s="4" t="e">
        <v>#VALUE!</v>
      </c>
      <c r="AO46" s="4" t="e">
        <v>#VALUE!</v>
      </c>
      <c r="AP46" s="4" t="e">
        <v>#VALUE!</v>
      </c>
      <c r="AQ46" s="4" t="e">
        <v>#VALUE!</v>
      </c>
      <c r="AR46" s="4" t="e">
        <v>#VALUE!</v>
      </c>
      <c r="AS46" s="4" t="e">
        <v>#VALUE!</v>
      </c>
      <c r="AT46" s="4" t="e">
        <v>#VALUE!</v>
      </c>
      <c r="AU46" s="4" t="e">
        <v>#VALUE!</v>
      </c>
      <c r="AV46" s="4" t="e">
        <v>#VALUE!</v>
      </c>
      <c r="AW46" s="4" t="e">
        <v>#VALUE!</v>
      </c>
    </row>
    <row r="47" spans="1:49" x14ac:dyDescent="0.15">
      <c r="A47" s="37" t="s">
        <v>400</v>
      </c>
      <c r="B47" s="36" t="s">
        <v>541</v>
      </c>
      <c r="C47" s="21" t="s">
        <v>773</v>
      </c>
      <c r="D47" s="21" t="s">
        <v>774</v>
      </c>
      <c r="E47" s="21" t="s">
        <v>775</v>
      </c>
      <c r="F47" s="21" t="s">
        <v>776</v>
      </c>
      <c r="G47" s="21" t="s">
        <v>772</v>
      </c>
      <c r="H47" s="21"/>
      <c r="I47" s="21" t="s">
        <v>777</v>
      </c>
      <c r="J47" s="21" t="b">
        <v>1</v>
      </c>
      <c r="K47" s="10" t="e">
        <v>#VALUE!</v>
      </c>
      <c r="L47" s="10" t="e">
        <v>#N/A</v>
      </c>
      <c r="M47" s="7" t="e">
        <v>#DIV/0!</v>
      </c>
      <c r="N47" s="7" t="e">
        <v>#NAME?</v>
      </c>
      <c r="O47" s="7" t="e">
        <v>#NULL!</v>
      </c>
      <c r="P47" s="7" t="e">
        <v>#NUM!</v>
      </c>
      <c r="Q47" s="7" t="e">
        <v>#REF!</v>
      </c>
      <c r="R47" s="4" t="str">
        <f>_xlfn.IMSECH(C47)</f>
        <v>0.00180771853884451+0.000241377759972715j</v>
      </c>
      <c r="S47" s="4" t="str">
        <f t="shared" ref="S47:AF47" si="46">_xlfn.IMSECH(D47)</f>
        <v>1.28233995891963E-06+4.33496947419316E-06j</v>
      </c>
      <c r="T47" s="4" t="str">
        <f t="shared" si="46"/>
        <v>-0.0376700432543674-0.0819771357068288j</v>
      </c>
      <c r="U47" s="4" t="str">
        <f t="shared" si="46"/>
        <v>-0.0416749644111443+0.0906111371962376i</v>
      </c>
      <c r="V47" s="4" t="str">
        <f t="shared" si="46"/>
        <v>4.48088972785335E-06-5.98317105613852E-07j</v>
      </c>
      <c r="W47" s="4" t="str">
        <f t="shared" si="46"/>
        <v>1</v>
      </c>
      <c r="X47" s="4" t="e">
        <f t="shared" si="46"/>
        <v>#NUM!</v>
      </c>
      <c r="Y47" s="4" t="e">
        <f t="shared" si="46"/>
        <v>#VALUE!</v>
      </c>
      <c r="Z47" s="4" t="e">
        <f t="shared" si="46"/>
        <v>#VALUE!</v>
      </c>
      <c r="AA47" s="4" t="e">
        <f t="shared" si="46"/>
        <v>#N/A</v>
      </c>
      <c r="AB47" s="4" t="e">
        <f t="shared" si="46"/>
        <v>#DIV/0!</v>
      </c>
      <c r="AC47" s="4" t="e">
        <f t="shared" si="46"/>
        <v>#NAME?</v>
      </c>
      <c r="AD47" s="4" t="e">
        <f t="shared" si="46"/>
        <v>#NULL!</v>
      </c>
      <c r="AE47" s="4" t="e">
        <f t="shared" si="46"/>
        <v>#NUM!</v>
      </c>
      <c r="AF47" s="4" t="e">
        <f t="shared" si="46"/>
        <v>#REF!</v>
      </c>
      <c r="AG47" s="4" t="e">
        <f>_xlfn.IMSECH(C47:E47)</f>
        <v>#VALUE!</v>
      </c>
      <c r="AH47" s="4" t="e">
        <f t="array" ref="AH47:AW47">_xlfn.IMSECH(C47:E47)</f>
        <v>#VALUE!</v>
      </c>
      <c r="AI47" s="4" t="e">
        <v>#VALUE!</v>
      </c>
      <c r="AJ47" s="4" t="e">
        <v>#VALUE!</v>
      </c>
      <c r="AK47" s="4" t="e">
        <v>#VALUE!</v>
      </c>
      <c r="AL47" s="4" t="e">
        <v>#VALUE!</v>
      </c>
      <c r="AM47" s="4" t="e">
        <v>#VALUE!</v>
      </c>
      <c r="AN47" s="4" t="e">
        <v>#VALUE!</v>
      </c>
      <c r="AO47" s="4" t="e">
        <v>#VALUE!</v>
      </c>
      <c r="AP47" s="4" t="e">
        <v>#VALUE!</v>
      </c>
      <c r="AQ47" s="4" t="e">
        <v>#VALUE!</v>
      </c>
      <c r="AR47" s="4" t="e">
        <v>#VALUE!</v>
      </c>
      <c r="AS47" s="4" t="e">
        <v>#VALUE!</v>
      </c>
      <c r="AT47" s="4" t="e">
        <v>#VALUE!</v>
      </c>
      <c r="AU47" s="4" t="e">
        <v>#VALUE!</v>
      </c>
      <c r="AV47" s="4" t="e">
        <v>#VALUE!</v>
      </c>
      <c r="AW47" s="4" t="e">
        <v>#VALUE!</v>
      </c>
    </row>
    <row r="48" spans="1:49" x14ac:dyDescent="0.15">
      <c r="A48" s="37" t="s">
        <v>401</v>
      </c>
      <c r="B48" s="36" t="s">
        <v>541</v>
      </c>
      <c r="C48" s="21" t="s">
        <v>773</v>
      </c>
      <c r="D48" s="21" t="s">
        <v>774</v>
      </c>
      <c r="E48" s="21" t="s">
        <v>775</v>
      </c>
      <c r="F48" s="21" t="s">
        <v>776</v>
      </c>
      <c r="G48" s="21" t="s">
        <v>772</v>
      </c>
      <c r="H48" s="21"/>
      <c r="I48" s="21" t="s">
        <v>777</v>
      </c>
      <c r="J48" s="21" t="b">
        <v>1</v>
      </c>
      <c r="K48" s="10" t="e">
        <v>#VALUE!</v>
      </c>
      <c r="L48" s="10" t="e">
        <v>#N/A</v>
      </c>
      <c r="M48" s="7" t="e">
        <v>#DIV/0!</v>
      </c>
      <c r="N48" s="7" t="e">
        <v>#NAME?</v>
      </c>
      <c r="O48" s="7" t="e">
        <v>#NULL!</v>
      </c>
      <c r="P48" s="7" t="e">
        <v>#NUM!</v>
      </c>
      <c r="Q48" s="7" t="e">
        <v>#REF!</v>
      </c>
      <c r="R48" s="4" t="str">
        <f>IMSIN(C48)</f>
        <v>23653126953.379+27142327967.109j</v>
      </c>
      <c r="S48" s="4" t="str">
        <f t="shared" ref="S48:AF48" si="47">IMSIN(D48)</f>
        <v>31.1805741747177+67.3354646120856j</v>
      </c>
      <c r="T48" s="4" t="str">
        <f t="shared" si="47"/>
        <v>0.156434589038929-3.62372371861444j</v>
      </c>
      <c r="U48" s="4" t="str">
        <f t="shared" si="47"/>
        <v>-0.53092108624852-3.59056458998578i</v>
      </c>
      <c r="V48" s="4" t="str">
        <f t="shared" si="47"/>
        <v>-15127042595.795+32670307076.1781j</v>
      </c>
      <c r="W48" s="4" t="str">
        <f t="shared" si="47"/>
        <v>0</v>
      </c>
      <c r="X48" s="4" t="e">
        <f t="shared" si="47"/>
        <v>#NUM!</v>
      </c>
      <c r="Y48" s="4" t="e">
        <f t="shared" si="47"/>
        <v>#VALUE!</v>
      </c>
      <c r="Z48" s="4" t="e">
        <f t="shared" si="47"/>
        <v>#VALUE!</v>
      </c>
      <c r="AA48" s="4" t="e">
        <f t="shared" si="47"/>
        <v>#N/A</v>
      </c>
      <c r="AB48" s="4" t="e">
        <f t="shared" si="47"/>
        <v>#DIV/0!</v>
      </c>
      <c r="AC48" s="4" t="e">
        <f t="shared" si="47"/>
        <v>#NAME?</v>
      </c>
      <c r="AD48" s="4" t="e">
        <f t="shared" si="47"/>
        <v>#NULL!</v>
      </c>
      <c r="AE48" s="4" t="e">
        <f t="shared" si="47"/>
        <v>#NUM!</v>
      </c>
      <c r="AF48" s="4" t="e">
        <f t="shared" si="47"/>
        <v>#REF!</v>
      </c>
      <c r="AG48" s="4" t="e">
        <f>IMSIN(C48:E48)</f>
        <v>#VALUE!</v>
      </c>
      <c r="AH48" s="4" t="e">
        <f t="array" ref="AH48:AW48">IMSIN(C48:E48)</f>
        <v>#VALUE!</v>
      </c>
      <c r="AI48" s="4" t="e">
        <v>#VALUE!</v>
      </c>
      <c r="AJ48" s="4" t="e">
        <v>#VALUE!</v>
      </c>
      <c r="AK48" s="4" t="e">
        <v>#VALUE!</v>
      </c>
      <c r="AL48" s="4" t="e">
        <v>#VALUE!</v>
      </c>
      <c r="AM48" s="4" t="e">
        <v>#VALUE!</v>
      </c>
      <c r="AN48" s="4" t="e">
        <v>#VALUE!</v>
      </c>
      <c r="AO48" s="4" t="e">
        <v>#VALUE!</v>
      </c>
      <c r="AP48" s="4" t="e">
        <v>#VALUE!</v>
      </c>
      <c r="AQ48" s="4" t="e">
        <v>#VALUE!</v>
      </c>
      <c r="AR48" s="4" t="e">
        <v>#VALUE!</v>
      </c>
      <c r="AS48" s="4" t="e">
        <v>#VALUE!</v>
      </c>
      <c r="AT48" s="4" t="e">
        <v>#VALUE!</v>
      </c>
      <c r="AU48" s="4" t="e">
        <v>#VALUE!</v>
      </c>
      <c r="AV48" s="4" t="e">
        <v>#VALUE!</v>
      </c>
      <c r="AW48" s="4" t="e">
        <v>#VALUE!</v>
      </c>
    </row>
    <row r="49" spans="1:49" x14ac:dyDescent="0.15">
      <c r="A49" s="37" t="s">
        <v>402</v>
      </c>
      <c r="B49" s="36" t="s">
        <v>541</v>
      </c>
      <c r="C49" s="21" t="s">
        <v>773</v>
      </c>
      <c r="D49" s="21" t="s">
        <v>774</v>
      </c>
      <c r="E49" s="21" t="s">
        <v>775</v>
      </c>
      <c r="F49" s="21" t="s">
        <v>776</v>
      </c>
      <c r="G49" s="21" t="s">
        <v>772</v>
      </c>
      <c r="H49" s="21"/>
      <c r="I49" s="21" t="s">
        <v>777</v>
      </c>
      <c r="J49" s="21" t="b">
        <v>1</v>
      </c>
      <c r="K49" s="10" t="e">
        <v>#VALUE!</v>
      </c>
      <c r="L49" s="10" t="e">
        <v>#N/A</v>
      </c>
      <c r="M49" s="7" t="e">
        <v>#DIV/0!</v>
      </c>
      <c r="N49" s="7" t="e">
        <v>#NAME?</v>
      </c>
      <c r="O49" s="7" t="e">
        <v>#NULL!</v>
      </c>
      <c r="P49" s="7" t="e">
        <v>#NUM!</v>
      </c>
      <c r="Q49" s="7" t="e">
        <v>#REF!</v>
      </c>
      <c r="R49" s="4" t="str">
        <f>_xlfn.IMSINH(C49)</f>
        <v>543.492483178521-72.5707192112145j</v>
      </c>
      <c r="S49" s="4" t="str">
        <f t="shared" ref="S49:AF49" si="48">_xlfn.IMSINH(D49)</f>
        <v>62747.9748274041-212120.47051779j</v>
      </c>
      <c r="T49" s="4" t="str">
        <f t="shared" si="48"/>
        <v>-4.60943006026724+10.1127515524169j</v>
      </c>
      <c r="U49" s="4" t="str">
        <f t="shared" si="48"/>
        <v>4.16890695996656+9.15449914691143i</v>
      </c>
      <c r="V49" s="4" t="str">
        <f t="shared" si="48"/>
        <v>-219260.699081529-29277.093349686j</v>
      </c>
      <c r="W49" s="4" t="str">
        <f t="shared" si="48"/>
        <v>0</v>
      </c>
      <c r="X49" s="4" t="e">
        <f t="shared" si="48"/>
        <v>#NUM!</v>
      </c>
      <c r="Y49" s="4" t="e">
        <f t="shared" si="48"/>
        <v>#VALUE!</v>
      </c>
      <c r="Z49" s="4" t="e">
        <f t="shared" si="48"/>
        <v>#VALUE!</v>
      </c>
      <c r="AA49" s="4" t="e">
        <f t="shared" si="48"/>
        <v>#N/A</v>
      </c>
      <c r="AB49" s="4" t="e">
        <f t="shared" si="48"/>
        <v>#DIV/0!</v>
      </c>
      <c r="AC49" s="4" t="e">
        <f t="shared" si="48"/>
        <v>#NAME?</v>
      </c>
      <c r="AD49" s="4" t="e">
        <f t="shared" si="48"/>
        <v>#NULL!</v>
      </c>
      <c r="AE49" s="4" t="e">
        <f t="shared" si="48"/>
        <v>#NUM!</v>
      </c>
      <c r="AF49" s="4" t="e">
        <f t="shared" si="48"/>
        <v>#REF!</v>
      </c>
      <c r="AG49" s="4" t="e">
        <f>_xlfn.IMSINH(C49:E49)</f>
        <v>#VALUE!</v>
      </c>
      <c r="AH49" s="4" t="e">
        <f t="array" ref="AH49:AW49">_xlfn.IMSINH(C49:E49)</f>
        <v>#VALUE!</v>
      </c>
      <c r="AI49" s="4" t="e">
        <v>#VALUE!</v>
      </c>
      <c r="AJ49" s="4" t="e">
        <v>#VALUE!</v>
      </c>
      <c r="AK49" s="4" t="e">
        <v>#VALUE!</v>
      </c>
      <c r="AL49" s="4" t="e">
        <v>#VALUE!</v>
      </c>
      <c r="AM49" s="4" t="e">
        <v>#VALUE!</v>
      </c>
      <c r="AN49" s="4" t="e">
        <v>#VALUE!</v>
      </c>
      <c r="AO49" s="4" t="e">
        <v>#VALUE!</v>
      </c>
      <c r="AP49" s="4" t="e">
        <v>#VALUE!</v>
      </c>
      <c r="AQ49" s="4" t="e">
        <v>#VALUE!</v>
      </c>
      <c r="AR49" s="4" t="e">
        <v>#VALUE!</v>
      </c>
      <c r="AS49" s="4" t="e">
        <v>#VALUE!</v>
      </c>
      <c r="AT49" s="4" t="e">
        <v>#VALUE!</v>
      </c>
      <c r="AU49" s="4" t="e">
        <v>#VALUE!</v>
      </c>
      <c r="AV49" s="4" t="e">
        <v>#VALUE!</v>
      </c>
      <c r="AW49" s="4" t="e">
        <v>#VALUE!</v>
      </c>
    </row>
    <row r="50" spans="1:49" x14ac:dyDescent="0.15">
      <c r="A50" s="37" t="s">
        <v>403</v>
      </c>
      <c r="B50" s="36" t="s">
        <v>541</v>
      </c>
      <c r="C50" s="21" t="s">
        <v>773</v>
      </c>
      <c r="D50" s="21" t="s">
        <v>774</v>
      </c>
      <c r="E50" s="21" t="s">
        <v>775</v>
      </c>
      <c r="F50" s="21" t="s">
        <v>776</v>
      </c>
      <c r="G50" s="21" t="s">
        <v>772</v>
      </c>
      <c r="H50" s="21"/>
      <c r="I50" s="21" t="s">
        <v>777</v>
      </c>
      <c r="J50" s="21" t="b">
        <v>1</v>
      </c>
      <c r="K50" s="10" t="e">
        <v>#VALUE!</v>
      </c>
      <c r="L50" s="10" t="e">
        <v>#N/A</v>
      </c>
      <c r="M50" s="7" t="e">
        <v>#DIV/0!</v>
      </c>
      <c r="N50" s="7" t="e">
        <v>#NAME?</v>
      </c>
      <c r="O50" s="7" t="e">
        <v>#NULL!</v>
      </c>
      <c r="P50" s="7" t="e">
        <v>#NUM!</v>
      </c>
      <c r="Q50" s="7" t="e">
        <v>#REF!</v>
      </c>
      <c r="R50" s="4" t="str">
        <f>IMSQRT(C50)</f>
        <v>4.05964961366707+3.07908346521285j</v>
      </c>
      <c r="S50" s="4" t="str">
        <f t="shared" ref="S50:AF50" si="49">IMSQRT(D50)</f>
        <v>3.66935881845753+0.681317942367629j</v>
      </c>
      <c r="T50" s="4" t="str">
        <f t="shared" si="49"/>
        <v>1.84244041275957+0.542758394287616j</v>
      </c>
      <c r="U50" s="4" t="str">
        <f t="shared" si="49"/>
        <v>0.550250522700337+1.81735402102397i</v>
      </c>
      <c r="V50" s="4" t="str">
        <f t="shared" si="49"/>
        <v>2.75481447716636+4.53751063950327j</v>
      </c>
      <c r="W50" s="4" t="str">
        <f t="shared" si="49"/>
        <v>0</v>
      </c>
      <c r="X50" s="4" t="e">
        <f t="shared" si="49"/>
        <v>#NUM!</v>
      </c>
      <c r="Y50" s="4" t="e">
        <f t="shared" si="49"/>
        <v>#VALUE!</v>
      </c>
      <c r="Z50" s="4" t="e">
        <f t="shared" si="49"/>
        <v>#VALUE!</v>
      </c>
      <c r="AA50" s="4" t="e">
        <f t="shared" si="49"/>
        <v>#N/A</v>
      </c>
      <c r="AB50" s="4" t="e">
        <f t="shared" si="49"/>
        <v>#DIV/0!</v>
      </c>
      <c r="AC50" s="4" t="e">
        <f t="shared" si="49"/>
        <v>#NAME?</v>
      </c>
      <c r="AD50" s="4" t="e">
        <f t="shared" si="49"/>
        <v>#NULL!</v>
      </c>
      <c r="AE50" s="4" t="e">
        <f t="shared" si="49"/>
        <v>#NUM!</v>
      </c>
      <c r="AF50" s="4" t="e">
        <f t="shared" si="49"/>
        <v>#REF!</v>
      </c>
      <c r="AG50" s="4" t="e">
        <f>IMSQRT(C50:E50)</f>
        <v>#VALUE!</v>
      </c>
      <c r="AH50" s="4" t="e">
        <f t="array" ref="AH50:AW50">IMSQRT(C50:E50)</f>
        <v>#VALUE!</v>
      </c>
      <c r="AI50" s="4" t="e">
        <v>#VALUE!</v>
      </c>
      <c r="AJ50" s="4" t="e">
        <v>#VALUE!</v>
      </c>
      <c r="AK50" s="4" t="e">
        <v>#VALUE!</v>
      </c>
      <c r="AL50" s="4" t="e">
        <v>#VALUE!</v>
      </c>
      <c r="AM50" s="4" t="e">
        <v>#VALUE!</v>
      </c>
      <c r="AN50" s="4" t="e">
        <v>#VALUE!</v>
      </c>
      <c r="AO50" s="4" t="e">
        <v>#VALUE!</v>
      </c>
      <c r="AP50" s="4" t="e">
        <v>#VALUE!</v>
      </c>
      <c r="AQ50" s="4" t="e">
        <v>#VALUE!</v>
      </c>
      <c r="AR50" s="4" t="e">
        <v>#VALUE!</v>
      </c>
      <c r="AS50" s="4" t="e">
        <v>#VALUE!</v>
      </c>
      <c r="AT50" s="4" t="e">
        <v>#VALUE!</v>
      </c>
      <c r="AU50" s="4" t="e">
        <v>#VALUE!</v>
      </c>
      <c r="AV50" s="4" t="e">
        <v>#VALUE!</v>
      </c>
      <c r="AW50" s="4" t="e">
        <v>#VALUE!</v>
      </c>
    </row>
    <row r="51" spans="1:49" x14ac:dyDescent="0.15">
      <c r="A51" s="37" t="s">
        <v>404</v>
      </c>
      <c r="B51" s="36" t="s">
        <v>541</v>
      </c>
      <c r="C51" s="21" t="s">
        <v>773</v>
      </c>
      <c r="D51" s="21" t="s">
        <v>774</v>
      </c>
      <c r="E51" s="21" t="s">
        <v>775</v>
      </c>
      <c r="F51" s="21" t="s">
        <v>776</v>
      </c>
      <c r="G51" s="21" t="s">
        <v>772</v>
      </c>
      <c r="H51" s="21"/>
      <c r="I51" s="21" t="s">
        <v>777</v>
      </c>
      <c r="J51" s="21" t="b">
        <v>1</v>
      </c>
      <c r="K51" s="10" t="e">
        <v>#VALUE!</v>
      </c>
      <c r="L51" s="10" t="e">
        <v>#N/A</v>
      </c>
      <c r="M51" s="7" t="e">
        <v>#DIV/0!</v>
      </c>
      <c r="N51" s="7" t="e">
        <v>#NAME?</v>
      </c>
      <c r="O51" s="7" t="e">
        <v>#NULL!</v>
      </c>
      <c r="P51" s="7" t="e">
        <v>#NUM!</v>
      </c>
      <c r="Q51" s="7" t="e">
        <v>#REF!</v>
      </c>
      <c r="R51" s="4" t="str">
        <f t="shared" ref="R51:AF51" si="50">IMSUB(C51,D51)</f>
        <v>-6+20j</v>
      </c>
      <c r="S51" s="4" t="str">
        <f t="shared" si="50"/>
        <v>9.9+3j</v>
      </c>
      <c r="T51" s="4" t="e">
        <f t="shared" si="50"/>
        <v>#NUM!</v>
      </c>
      <c r="U51" s="4" t="e">
        <f t="shared" si="50"/>
        <v>#NUM!</v>
      </c>
      <c r="V51" s="4" t="str">
        <f t="shared" si="50"/>
        <v>-13+25j</v>
      </c>
      <c r="W51" s="4" t="e">
        <f t="shared" si="50"/>
        <v>#NUM!</v>
      </c>
      <c r="X51" s="4" t="e">
        <f t="shared" si="50"/>
        <v>#NUM!</v>
      </c>
      <c r="Y51" s="4" t="e">
        <f t="shared" si="50"/>
        <v>#VALUE!</v>
      </c>
      <c r="Z51" s="4" t="e">
        <f t="shared" si="50"/>
        <v>#VALUE!</v>
      </c>
      <c r="AA51" s="4" t="e">
        <f t="shared" si="50"/>
        <v>#N/A</v>
      </c>
      <c r="AB51" s="4" t="e">
        <f t="shared" si="50"/>
        <v>#DIV/0!</v>
      </c>
      <c r="AC51" s="4" t="e">
        <f t="shared" si="50"/>
        <v>#NAME?</v>
      </c>
      <c r="AD51" s="4" t="e">
        <f t="shared" si="50"/>
        <v>#NULL!</v>
      </c>
      <c r="AE51" s="4" t="e">
        <f t="shared" si="50"/>
        <v>#NUM!</v>
      </c>
      <c r="AF51" s="4" t="e">
        <f t="shared" si="50"/>
        <v>#REF!</v>
      </c>
      <c r="AG51" s="4" t="e">
        <f>IMSUB(C51:E51,C50:E50)</f>
        <v>#VALUE!</v>
      </c>
      <c r="AH51" s="4" t="e">
        <f t="array" ref="AH51:AW51">IMSUB(C51:E51,C50:E50)</f>
        <v>#VALUE!</v>
      </c>
      <c r="AI51" s="4" t="e">
        <v>#VALUE!</v>
      </c>
      <c r="AJ51" s="4" t="e">
        <v>#VALUE!</v>
      </c>
      <c r="AK51" s="4" t="e">
        <v>#VALUE!</v>
      </c>
      <c r="AL51" s="4" t="e">
        <v>#VALUE!</v>
      </c>
      <c r="AM51" s="4" t="e">
        <v>#VALUE!</v>
      </c>
      <c r="AN51" s="4" t="e">
        <v>#VALUE!</v>
      </c>
      <c r="AO51" s="4" t="e">
        <v>#VALUE!</v>
      </c>
      <c r="AP51" s="4" t="e">
        <v>#VALUE!</v>
      </c>
      <c r="AQ51" s="4" t="e">
        <v>#VALUE!</v>
      </c>
      <c r="AR51" s="4" t="e">
        <v>#VALUE!</v>
      </c>
      <c r="AS51" s="4" t="e">
        <v>#VALUE!</v>
      </c>
      <c r="AT51" s="4" t="e">
        <v>#VALUE!</v>
      </c>
      <c r="AU51" s="4" t="e">
        <v>#VALUE!</v>
      </c>
      <c r="AV51" s="4" t="e">
        <v>#VALUE!</v>
      </c>
      <c r="AW51" s="4" t="e">
        <v>#VALUE!</v>
      </c>
    </row>
    <row r="52" spans="1:49" x14ac:dyDescent="0.15">
      <c r="A52" s="37" t="s">
        <v>405</v>
      </c>
      <c r="B52" s="36" t="s">
        <v>541</v>
      </c>
      <c r="C52" s="21" t="s">
        <v>773</v>
      </c>
      <c r="D52" s="21" t="s">
        <v>774</v>
      </c>
      <c r="E52" s="21" t="s">
        <v>775</v>
      </c>
      <c r="F52" s="21" t="s">
        <v>776</v>
      </c>
      <c r="G52" s="21" t="s">
        <v>772</v>
      </c>
      <c r="H52" s="21"/>
      <c r="I52" s="21" t="s">
        <v>777</v>
      </c>
      <c r="J52" s="21" t="b">
        <v>1</v>
      </c>
      <c r="K52" s="10" t="e">
        <v>#VALUE!</v>
      </c>
      <c r="L52" s="10" t="e">
        <v>#N/A</v>
      </c>
      <c r="M52" s="7" t="e">
        <v>#DIV/0!</v>
      </c>
      <c r="N52" s="7" t="e">
        <v>#NAME?</v>
      </c>
      <c r="O52" s="7" t="e">
        <v>#NULL!</v>
      </c>
      <c r="P52" s="7" t="e">
        <v>#NUM!</v>
      </c>
      <c r="Q52" s="7" t="e">
        <v>#REF!</v>
      </c>
      <c r="R52" s="4" t="str">
        <f>IMSUM(C52:D52,E52)</f>
        <v>23.1+32j</v>
      </c>
      <c r="S52" s="4" t="e">
        <f t="shared" ref="S52:AF52" si="51">IMSUM(D52:E52,F52)</f>
        <v>#VALUE!</v>
      </c>
      <c r="T52" s="4" t="e">
        <f>IMSUM(E52:F52,G52)</f>
        <v>#VALUE!</v>
      </c>
      <c r="U52" s="4" t="e">
        <f>IMSUM(F52:G52,H52)</f>
        <v>#VALUE!</v>
      </c>
      <c r="V52" s="4" t="e">
        <f>IMSUM(G52:H52,I52)</f>
        <v>#NUM!</v>
      </c>
      <c r="W52" s="4" t="e">
        <f t="shared" si="51"/>
        <v>#NUM!</v>
      </c>
      <c r="X52" s="4" t="e">
        <f t="shared" si="51"/>
        <v>#NUM!</v>
      </c>
      <c r="Y52" s="4" t="e">
        <f t="shared" si="51"/>
        <v>#VALUE!</v>
      </c>
      <c r="Z52" s="4" t="e">
        <f t="shared" si="51"/>
        <v>#VALUE!</v>
      </c>
      <c r="AA52" s="4" t="e">
        <f t="shared" si="51"/>
        <v>#N/A</v>
      </c>
      <c r="AB52" s="4" t="e">
        <f t="shared" si="51"/>
        <v>#DIV/0!</v>
      </c>
      <c r="AC52" s="4" t="e">
        <f t="shared" si="51"/>
        <v>#NAME?</v>
      </c>
      <c r="AD52" s="4" t="e">
        <f t="shared" si="51"/>
        <v>#NULL!</v>
      </c>
      <c r="AE52" s="4" t="e">
        <f t="shared" si="51"/>
        <v>#NUM!</v>
      </c>
      <c r="AF52" s="4" t="e">
        <f t="shared" si="51"/>
        <v>#REF!</v>
      </c>
      <c r="AG52" s="4" t="str">
        <f>IMSUM(C52:E52)</f>
        <v>23.1+32j</v>
      </c>
      <c r="AH52" s="4" t="str">
        <f t="array" ref="AH52:AW52">IMSUM(C52:E52)</f>
        <v>23.1+32j</v>
      </c>
      <c r="AI52" s="4" t="str">
        <v>23.1+32j</v>
      </c>
      <c r="AJ52" s="4" t="str">
        <v>23.1+32j</v>
      </c>
      <c r="AK52" s="4" t="str">
        <v>23.1+32j</v>
      </c>
      <c r="AL52" s="4" t="str">
        <v>23.1+32j</v>
      </c>
      <c r="AM52" s="4" t="str">
        <v>23.1+32j</v>
      </c>
      <c r="AN52" s="4" t="str">
        <v>23.1+32j</v>
      </c>
      <c r="AO52" s="4" t="str">
        <v>23.1+32j</v>
      </c>
      <c r="AP52" s="4" t="str">
        <v>23.1+32j</v>
      </c>
      <c r="AQ52" s="4" t="str">
        <v>23.1+32j</v>
      </c>
      <c r="AR52" s="4" t="str">
        <v>23.1+32j</v>
      </c>
      <c r="AS52" s="4" t="str">
        <v>23.1+32j</v>
      </c>
      <c r="AT52" s="4" t="str">
        <v>23.1+32j</v>
      </c>
      <c r="AU52" s="4" t="str">
        <v>23.1+32j</v>
      </c>
      <c r="AV52" s="4" t="str">
        <v>23.1+32j</v>
      </c>
      <c r="AW52" s="4" t="str">
        <v>23.1+32j</v>
      </c>
    </row>
    <row r="53" spans="1:49" x14ac:dyDescent="0.15">
      <c r="A53" s="37" t="s">
        <v>406</v>
      </c>
      <c r="B53" s="36" t="s">
        <v>541</v>
      </c>
      <c r="C53" s="21" t="s">
        <v>773</v>
      </c>
      <c r="D53" s="21" t="s">
        <v>774</v>
      </c>
      <c r="E53" s="21" t="s">
        <v>775</v>
      </c>
      <c r="F53" s="21" t="s">
        <v>776</v>
      </c>
      <c r="G53" s="21" t="s">
        <v>772</v>
      </c>
      <c r="H53" s="21"/>
      <c r="I53" s="21" t="s">
        <v>777</v>
      </c>
      <c r="J53" s="21" t="b">
        <v>1</v>
      </c>
      <c r="K53" s="10" t="e">
        <v>#VALUE!</v>
      </c>
      <c r="L53" s="10" t="e">
        <v>#N/A</v>
      </c>
      <c r="M53" s="7" t="e">
        <v>#DIV/0!</v>
      </c>
      <c r="N53" s="7" t="e">
        <v>#NAME?</v>
      </c>
      <c r="O53" s="7" t="e">
        <v>#NULL!</v>
      </c>
      <c r="P53" s="7" t="e">
        <v>#NUM!</v>
      </c>
      <c r="Q53" s="7" t="e">
        <v>#REF!</v>
      </c>
      <c r="R53" s="4" t="str">
        <f>_xlfn.IMTAN(C53)</f>
        <v>3.82126757337684E-22+j</v>
      </c>
      <c r="S53" s="4" t="str">
        <f t="shared" ref="S53:AF53" si="52">_xlfn.IMTAN(D53)</f>
        <v>0.0000692361330972509+0.999941259144671j</v>
      </c>
      <c r="T53" s="4" t="str">
        <f t="shared" si="52"/>
        <v>-0.00293552600273488+0.964145352213088j</v>
      </c>
      <c r="U53" s="4" t="str">
        <f t="shared" si="52"/>
        <v>0.00988437503832249+0.965385879022133i</v>
      </c>
      <c r="V53" s="4" t="str">
        <f t="shared" si="52"/>
        <v>-2.94156899085227E-22+j</v>
      </c>
      <c r="W53" s="4" t="str">
        <f t="shared" si="52"/>
        <v>0</v>
      </c>
      <c r="X53" s="4" t="e">
        <f t="shared" si="52"/>
        <v>#NUM!</v>
      </c>
      <c r="Y53" s="4" t="e">
        <f t="shared" si="52"/>
        <v>#VALUE!</v>
      </c>
      <c r="Z53" s="4" t="e">
        <f t="shared" si="52"/>
        <v>#VALUE!</v>
      </c>
      <c r="AA53" s="4" t="e">
        <f t="shared" si="52"/>
        <v>#N/A</v>
      </c>
      <c r="AB53" s="4" t="e">
        <f t="shared" si="52"/>
        <v>#DIV/0!</v>
      </c>
      <c r="AC53" s="4" t="e">
        <f t="shared" si="52"/>
        <v>#NAME?</v>
      </c>
      <c r="AD53" s="4" t="e">
        <f t="shared" si="52"/>
        <v>#NULL!</v>
      </c>
      <c r="AE53" s="4" t="e">
        <f t="shared" si="52"/>
        <v>#NUM!</v>
      </c>
      <c r="AF53" s="4" t="e">
        <f t="shared" si="52"/>
        <v>#REF!</v>
      </c>
      <c r="AG53" s="4" t="e">
        <f>_xlfn.IMTAN(C53:E53)</f>
        <v>#VALUE!</v>
      </c>
      <c r="AH53" s="4" t="e">
        <f t="array" ref="AH53:AW53">_xlfn.IMTAN(C53:E53)</f>
        <v>#VALUE!</v>
      </c>
      <c r="AI53" s="4" t="e">
        <v>#VALUE!</v>
      </c>
      <c r="AJ53" s="4" t="e">
        <v>#VALUE!</v>
      </c>
      <c r="AK53" s="4" t="e">
        <v>#VALUE!</v>
      </c>
      <c r="AL53" s="4" t="e">
        <v>#VALUE!</v>
      </c>
      <c r="AM53" s="4" t="e">
        <v>#VALUE!</v>
      </c>
      <c r="AN53" s="4" t="e">
        <v>#VALUE!</v>
      </c>
      <c r="AO53" s="4" t="e">
        <v>#VALUE!</v>
      </c>
      <c r="AP53" s="4" t="e">
        <v>#VALUE!</v>
      </c>
      <c r="AQ53" s="4" t="e">
        <v>#VALUE!</v>
      </c>
      <c r="AR53" s="4" t="e">
        <v>#VALUE!</v>
      </c>
      <c r="AS53" s="4" t="e">
        <v>#VALUE!</v>
      </c>
      <c r="AT53" s="4" t="e">
        <v>#VALUE!</v>
      </c>
      <c r="AU53" s="4" t="e">
        <v>#VALUE!</v>
      </c>
      <c r="AV53" s="4" t="e">
        <v>#VALUE!</v>
      </c>
      <c r="AW53" s="4" t="e">
        <v>#VALUE!</v>
      </c>
    </row>
    <row r="54" spans="1:49" x14ac:dyDescent="0.15">
      <c r="A54" s="37" t="s">
        <v>407</v>
      </c>
      <c r="B54" s="36" t="s">
        <v>541</v>
      </c>
      <c r="C54" s="4">
        <v>0</v>
      </c>
      <c r="D54" s="4">
        <v>7777777777</v>
      </c>
      <c r="E54" s="4">
        <v>2.2999999999999998</v>
      </c>
      <c r="F54" s="4">
        <v>11111111111</v>
      </c>
      <c r="G54" s="4">
        <v>-1</v>
      </c>
      <c r="H54" s="6"/>
      <c r="I54" s="6" t="s">
        <v>411</v>
      </c>
      <c r="J54" s="6" t="b">
        <v>1</v>
      </c>
      <c r="K54" s="6" t="e">
        <f>#VALUE!</f>
        <v>#VALUE!</v>
      </c>
      <c r="L54" s="6" t="e">
        <v>#N/A</v>
      </c>
      <c r="M54" s="7" t="e">
        <v>#DIV/0!</v>
      </c>
      <c r="N54" s="7" t="e">
        <v>#NAME?</v>
      </c>
      <c r="O54" s="7" t="e">
        <v>#NULL!</v>
      </c>
      <c r="P54" s="7" t="e">
        <v>#NUM!</v>
      </c>
      <c r="Q54" s="7" t="e">
        <v>#REF!</v>
      </c>
      <c r="R54" s="6" t="str">
        <f>OCT2BIN(C54)</f>
        <v>0</v>
      </c>
      <c r="S54" s="6" t="str">
        <f t="shared" ref="S54:AF54" si="53">OCT2BIN(D54)</f>
        <v>1111111111</v>
      </c>
      <c r="T54" s="6" t="e">
        <f t="shared" si="53"/>
        <v>#NUM!</v>
      </c>
      <c r="U54" s="6" t="e">
        <f t="shared" si="53"/>
        <v>#NUM!</v>
      </c>
      <c r="V54" s="6" t="e">
        <f t="shared" si="53"/>
        <v>#NUM!</v>
      </c>
      <c r="W54" s="6" t="str">
        <f t="shared" si="53"/>
        <v>0</v>
      </c>
      <c r="X54" s="6" t="e">
        <f t="shared" si="53"/>
        <v>#NUM!</v>
      </c>
      <c r="Y54" s="6" t="e">
        <f t="shared" si="53"/>
        <v>#VALUE!</v>
      </c>
      <c r="Z54" s="6" t="e">
        <f t="shared" si="53"/>
        <v>#VALUE!</v>
      </c>
      <c r="AA54" s="6" t="e">
        <f t="shared" si="53"/>
        <v>#N/A</v>
      </c>
      <c r="AB54" s="6" t="e">
        <f t="shared" si="53"/>
        <v>#DIV/0!</v>
      </c>
      <c r="AC54" s="6" t="e">
        <f t="shared" si="53"/>
        <v>#NAME?</v>
      </c>
      <c r="AD54" s="6" t="e">
        <f t="shared" si="53"/>
        <v>#NULL!</v>
      </c>
      <c r="AE54" s="6" t="e">
        <f t="shared" si="53"/>
        <v>#NUM!</v>
      </c>
      <c r="AF54" s="6" t="e">
        <f t="shared" si="53"/>
        <v>#REF!</v>
      </c>
    </row>
    <row r="55" spans="1:49" x14ac:dyDescent="0.15">
      <c r="A55" s="37" t="s">
        <v>408</v>
      </c>
      <c r="B55" s="36" t="s">
        <v>541</v>
      </c>
      <c r="C55" s="4">
        <v>0</v>
      </c>
      <c r="D55" s="4">
        <v>7777777777</v>
      </c>
      <c r="E55" s="4">
        <v>2.2999999999999998</v>
      </c>
      <c r="F55" s="4">
        <v>11111111111</v>
      </c>
      <c r="G55" s="4">
        <v>-1</v>
      </c>
      <c r="H55" s="6"/>
      <c r="I55" s="6" t="s">
        <v>411</v>
      </c>
      <c r="J55" s="6" t="b">
        <v>1</v>
      </c>
      <c r="K55" s="6" t="e">
        <f>#VALUE!</f>
        <v>#VALUE!</v>
      </c>
      <c r="L55" s="6" t="e">
        <v>#N/A</v>
      </c>
      <c r="M55" s="7" t="e">
        <v>#DIV/0!</v>
      </c>
      <c r="N55" s="7" t="e">
        <v>#NAME?</v>
      </c>
      <c r="O55" s="7" t="e">
        <v>#NULL!</v>
      </c>
      <c r="P55" s="7" t="e">
        <v>#NUM!</v>
      </c>
      <c r="Q55" s="7" t="e">
        <v>#REF!</v>
      </c>
      <c r="R55" s="6">
        <f>OCT2DEC(C55)</f>
        <v>0</v>
      </c>
      <c r="S55" s="6">
        <f t="shared" ref="S55:AF55" si="54">OCT2DEC(D55)</f>
        <v>-1</v>
      </c>
      <c r="T55" s="6" t="e">
        <f t="shared" si="54"/>
        <v>#NUM!</v>
      </c>
      <c r="U55" s="6" t="e">
        <f t="shared" si="54"/>
        <v>#NUM!</v>
      </c>
      <c r="V55" s="6" t="e">
        <f t="shared" si="54"/>
        <v>#NUM!</v>
      </c>
      <c r="W55" s="6">
        <f t="shared" si="54"/>
        <v>0</v>
      </c>
      <c r="X55" s="6" t="e">
        <f t="shared" si="54"/>
        <v>#NUM!</v>
      </c>
      <c r="Y55" s="6" t="e">
        <f t="shared" si="54"/>
        <v>#VALUE!</v>
      </c>
      <c r="Z55" s="6" t="e">
        <f t="shared" si="54"/>
        <v>#VALUE!</v>
      </c>
      <c r="AA55" s="6" t="e">
        <f t="shared" si="54"/>
        <v>#N/A</v>
      </c>
      <c r="AB55" s="6" t="e">
        <f t="shared" si="54"/>
        <v>#DIV/0!</v>
      </c>
      <c r="AC55" s="6" t="e">
        <f t="shared" si="54"/>
        <v>#NAME?</v>
      </c>
      <c r="AD55" s="6" t="e">
        <f t="shared" si="54"/>
        <v>#NULL!</v>
      </c>
      <c r="AE55" s="6" t="e">
        <f t="shared" si="54"/>
        <v>#NUM!</v>
      </c>
      <c r="AF55" s="6" t="e">
        <f t="shared" si="54"/>
        <v>#REF!</v>
      </c>
    </row>
    <row r="56" spans="1:49" x14ac:dyDescent="0.15">
      <c r="A56" s="37" t="s">
        <v>409</v>
      </c>
      <c r="B56" s="36" t="s">
        <v>541</v>
      </c>
      <c r="C56" s="4">
        <v>0</v>
      </c>
      <c r="D56" s="4">
        <v>7777777777</v>
      </c>
      <c r="E56" s="4">
        <v>2.2999999999999998</v>
      </c>
      <c r="F56" s="4">
        <v>11111111111</v>
      </c>
      <c r="G56" s="4">
        <v>-1</v>
      </c>
      <c r="H56" s="6"/>
      <c r="I56" s="6" t="s">
        <v>411</v>
      </c>
      <c r="J56" s="6" t="b">
        <v>1</v>
      </c>
      <c r="K56" s="6" t="e">
        <f>#VALUE!</f>
        <v>#VALUE!</v>
      </c>
      <c r="L56" s="6" t="e">
        <v>#N/A</v>
      </c>
      <c r="M56" s="7" t="e">
        <v>#DIV/0!</v>
      </c>
      <c r="N56" s="7" t="e">
        <v>#NAME?</v>
      </c>
      <c r="O56" s="7" t="e">
        <v>#NULL!</v>
      </c>
      <c r="P56" s="7" t="e">
        <v>#NUM!</v>
      </c>
      <c r="Q56" s="7" t="e">
        <v>#REF!</v>
      </c>
      <c r="R56" s="6" t="str">
        <f>OCT2HEX(C56)</f>
        <v>0</v>
      </c>
      <c r="S56" s="6" t="str">
        <f t="shared" ref="S56:AF56" si="55">OCT2HEX(D56)</f>
        <v>FFFFFFFFFF</v>
      </c>
      <c r="T56" s="6" t="e">
        <f t="shared" si="55"/>
        <v>#NUM!</v>
      </c>
      <c r="U56" s="6" t="e">
        <f t="shared" si="55"/>
        <v>#NUM!</v>
      </c>
      <c r="V56" s="6" t="e">
        <f t="shared" si="55"/>
        <v>#NUM!</v>
      </c>
      <c r="W56" s="6" t="str">
        <f t="shared" si="55"/>
        <v>0</v>
      </c>
      <c r="X56" s="6" t="e">
        <f t="shared" si="55"/>
        <v>#NUM!</v>
      </c>
      <c r="Y56" s="6" t="e">
        <f t="shared" si="55"/>
        <v>#VALUE!</v>
      </c>
      <c r="Z56" s="6" t="e">
        <f t="shared" si="55"/>
        <v>#VALUE!</v>
      </c>
      <c r="AA56" s="6" t="e">
        <f t="shared" si="55"/>
        <v>#N/A</v>
      </c>
      <c r="AB56" s="6" t="e">
        <f t="shared" si="55"/>
        <v>#DIV/0!</v>
      </c>
      <c r="AC56" s="6" t="e">
        <f t="shared" si="55"/>
        <v>#NAME?</v>
      </c>
      <c r="AD56" s="6" t="e">
        <f t="shared" si="55"/>
        <v>#NULL!</v>
      </c>
      <c r="AE56" s="6" t="e">
        <f t="shared" si="55"/>
        <v>#NUM!</v>
      </c>
      <c r="AF56" s="6" t="e">
        <f t="shared" si="55"/>
        <v>#REF!</v>
      </c>
    </row>
  </sheetData>
  <mergeCells count="7">
    <mergeCell ref="C1:Q1"/>
    <mergeCell ref="R1:AW1"/>
    <mergeCell ref="C2:G2"/>
    <mergeCell ref="K2:Q2"/>
    <mergeCell ref="R2:V2"/>
    <mergeCell ref="Z2:AF2"/>
    <mergeCell ref="AH2:AW2"/>
  </mergeCells>
  <phoneticPr fontId="5" type="noConversion"/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00B050"/>
  </sheetPr>
  <dimension ref="A1:AW70"/>
  <sheetViews>
    <sheetView topLeftCell="A41" zoomScale="193" zoomScaleNormal="100" workbookViewId="0">
      <selection activeCell="AG54" sqref="AG54"/>
    </sheetView>
  </sheetViews>
  <sheetFormatPr baseColWidth="10" defaultColWidth="10.83203125" defaultRowHeight="11" x14ac:dyDescent="0.15"/>
  <cols>
    <col min="1" max="1" width="8.33203125" style="42" bestFit="1" customWidth="1"/>
    <col min="2" max="2" width="5.1640625" style="41" bestFit="1" customWidth="1"/>
    <col min="3" max="3" width="4.6640625" style="4" bestFit="1" customWidth="1"/>
    <col min="4" max="4" width="5.6640625" style="4" bestFit="1" customWidth="1"/>
    <col min="5" max="5" width="5" style="4" bestFit="1" customWidth="1"/>
    <col min="6" max="6" width="4.83203125" style="4" bestFit="1" customWidth="1"/>
    <col min="7" max="7" width="2.83203125" style="4" bestFit="1" customWidth="1"/>
    <col min="8" max="8" width="4.6640625" style="4" bestFit="1" customWidth="1"/>
    <col min="9" max="9" width="6.6640625" style="4" bestFit="1" customWidth="1"/>
    <col min="10" max="10" width="3.83203125" style="4" bestFit="1" customWidth="1"/>
    <col min="11" max="11" width="3.6640625" style="4" bestFit="1" customWidth="1"/>
    <col min="12" max="12" width="17.1640625" style="4" bestFit="1" customWidth="1"/>
    <col min="13" max="16" width="14" style="4" bestFit="1" customWidth="1"/>
    <col min="17" max="17" width="4" style="4" bestFit="1" customWidth="1"/>
    <col min="18" max="18" width="13.5" style="4" bestFit="1" customWidth="1"/>
    <col min="19" max="19" width="11.33203125" style="4" bestFit="1" customWidth="1"/>
    <col min="20" max="21" width="10.6640625" style="4" bestFit="1" customWidth="1"/>
    <col min="22" max="22" width="10.5" style="4" bestFit="1" customWidth="1"/>
    <col min="23" max="24" width="8.6640625" style="4" bestFit="1" customWidth="1"/>
    <col min="25" max="25" width="8.5" style="4" bestFit="1" customWidth="1"/>
    <col min="26" max="29" width="5.6640625" style="4" bestFit="1" customWidth="1"/>
    <col min="30" max="31" width="7.5" style="4" bestFit="1" customWidth="1"/>
    <col min="32" max="32" width="5.6640625" style="4" bestFit="1" customWidth="1"/>
    <col min="33" max="33" width="9.83203125" style="4" bestFit="1" customWidth="1"/>
    <col min="34" max="39" width="8.6640625" style="4" bestFit="1" customWidth="1"/>
    <col min="40" max="49" width="8.1640625" style="4" bestFit="1" customWidth="1"/>
    <col min="50" max="16384" width="10.83203125" style="4"/>
  </cols>
  <sheetData>
    <row r="1" spans="1:49" x14ac:dyDescent="0.15">
      <c r="A1" s="42" t="s">
        <v>542</v>
      </c>
      <c r="B1" s="80">
        <f>COUNTIF(B3:B246,"=DONE")/COUNTA(A3:A246)</f>
        <v>1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49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49" x14ac:dyDescent="0.15">
      <c r="A3" s="35" t="s">
        <v>226</v>
      </c>
      <c r="B3" s="36" t="s">
        <v>541</v>
      </c>
      <c r="C3" s="4">
        <v>3.2</v>
      </c>
      <c r="D3" s="4">
        <v>6</v>
      </c>
      <c r="E3" s="4">
        <v>7</v>
      </c>
      <c r="F3" s="4">
        <v>4</v>
      </c>
      <c r="G3" s="4">
        <v>9</v>
      </c>
      <c r="I3" s="4" t="s">
        <v>32</v>
      </c>
      <c r="J3" s="4" t="b">
        <v>1</v>
      </c>
      <c r="K3" s="4" t="e">
        <v>#N/A</v>
      </c>
      <c r="L3" s="4" t="e">
        <f>#VALUE!</f>
        <v>#VALUE!</v>
      </c>
      <c r="M3" s="28" t="e">
        <v>#DIV/0!</v>
      </c>
      <c r="N3" s="28" t="e">
        <v>#NAME?</v>
      </c>
      <c r="O3" s="28" t="e">
        <v>#NULL!</v>
      </c>
      <c r="P3" s="28" t="e">
        <v>#NUM!</v>
      </c>
      <c r="Q3" s="28" t="e">
        <v>#REF!</v>
      </c>
      <c r="R3" s="4" cm="1">
        <f t="array" ref="R3:S3">ACCRINT("15/1/2005","2007-1-1","15/4/2009",1,1,4,{0,4})</f>
        <v>4.25</v>
      </c>
      <c r="S3" s="4">
        <v>4.25</v>
      </c>
      <c r="T3" s="71" cm="1">
        <f t="array" ref="T3:U3">ACCRINT(DATE(2000,2,14),DATE(2005,4,15),DATE(2009,7,27),1,1,4,{0,4},0)</f>
        <v>4.7027777777777775</v>
      </c>
      <c r="U3" s="4">
        <v>4.7027777777777775</v>
      </c>
      <c r="V3" s="4">
        <f>ACCRINT("13/10/1999","15/4/2005","27/7/2009",1,1,4,0,0)</f>
        <v>4.5388888888888888</v>
      </c>
      <c r="W3" s="4" t="e">
        <f t="shared" ref="W3:Y4" si="0">ACCRINTM("15/1/2005","15/4/2009",H3,3,2)</f>
        <v>#NUM!</v>
      </c>
      <c r="X3" s="4" t="e">
        <f t="shared" si="0"/>
        <v>#VALUE!</v>
      </c>
      <c r="Y3" s="4" t="e">
        <f t="shared" si="0"/>
        <v>#VALUE!</v>
      </c>
      <c r="Z3" s="4" t="e">
        <f t="shared" ref="Z3" si="1">ACCRINTM("15/1/2005","15/4/2009",K3,3,2)</f>
        <v>#N/A</v>
      </c>
      <c r="AA3" s="4" t="e">
        <f t="shared" ref="AA3" si="2">ACCRINTM("15/1/2005","15/4/2009",L3,3,2)</f>
        <v>#VALUE!</v>
      </c>
      <c r="AB3" s="4" t="e">
        <f t="shared" ref="AB3" si="3">ACCRINTM("15/1/2005","15/4/2009",M3,3,2)</f>
        <v>#DIV/0!</v>
      </c>
      <c r="AC3" s="4" t="e">
        <f t="shared" ref="AC3" si="4">ACCRINTM("15/1/2005","15/4/2009",N3,3,2)</f>
        <v>#NAME?</v>
      </c>
      <c r="AD3" s="4" t="e">
        <f t="shared" ref="AD3" si="5">ACCRINTM("15/1/2005","15/4/2009",O3,3,2)</f>
        <v>#NULL!</v>
      </c>
      <c r="AE3" s="4" t="e">
        <f t="shared" ref="AE3" si="6">ACCRINTM("15/1/2005","15/4/2009",P3,3,2)</f>
        <v>#NUM!</v>
      </c>
      <c r="AF3" s="4" t="e">
        <f t="shared" ref="AF3" si="7">ACCRINTM("15/1/2005","15/4/2009",Q3,3,2)</f>
        <v>#REF!</v>
      </c>
      <c r="AG3" s="4">
        <f t="array" ref="AG3">ACCRINT("15/1/2005",C3,"15/4/2009",1,1,4,{0,4})</f>
        <v>4.25</v>
      </c>
      <c r="AH3" s="4" cm="1">
        <f t="array" ref="AH3:AJ3">ACCRINT("15/1/2005","2007-1-1","15/4/2009",1,{1,2,3},{1,4,2},0)</f>
        <v>4.25</v>
      </c>
      <c r="AI3" s="4">
        <v>8.5</v>
      </c>
      <c r="AJ3" s="4">
        <v>12.75</v>
      </c>
    </row>
    <row r="4" spans="1:49" x14ac:dyDescent="0.15">
      <c r="A4" s="35" t="s">
        <v>227</v>
      </c>
      <c r="B4" s="36" t="s">
        <v>541</v>
      </c>
      <c r="C4" s="4">
        <v>3.2</v>
      </c>
      <c r="D4" s="4">
        <v>6</v>
      </c>
      <c r="E4" s="4">
        <v>7</v>
      </c>
      <c r="F4" s="4">
        <v>4</v>
      </c>
      <c r="G4" s="4">
        <v>9</v>
      </c>
      <c r="I4" s="4" t="s">
        <v>32</v>
      </c>
      <c r="J4" s="4" t="b">
        <v>1</v>
      </c>
      <c r="K4" s="4" t="e">
        <v>#N/A</v>
      </c>
      <c r="L4" s="4" t="e">
        <f>#VALUE!</f>
        <v>#VALUE!</v>
      </c>
      <c r="M4" s="28" t="e">
        <v>#DIV/0!</v>
      </c>
      <c r="N4" s="28" t="e">
        <v>#NAME?</v>
      </c>
      <c r="O4" s="28" t="e">
        <v>#NULL!</v>
      </c>
      <c r="P4" s="28" t="e">
        <v>#NUM!</v>
      </c>
      <c r="Q4" s="28" t="e">
        <v>#REF!</v>
      </c>
      <c r="R4" s="4" cm="1">
        <f t="array" ref="R4:V4">ACCRINTM("15/1/2005","15/4/2009",C4,3.2,{0,1,2,3,4})</f>
        <v>43.52000000000001</v>
      </c>
      <c r="S4" s="4">
        <v>43.489156626506038</v>
      </c>
      <c r="T4" s="4">
        <v>44.117333333333342</v>
      </c>
      <c r="U4" s="4">
        <v>43.512986301369871</v>
      </c>
      <c r="V4" s="4">
        <v>43.52000000000001</v>
      </c>
      <c r="W4" s="4" t="e">
        <f t="shared" si="0"/>
        <v>#NUM!</v>
      </c>
      <c r="X4" s="4" t="e">
        <f t="shared" si="0"/>
        <v>#VALUE!</v>
      </c>
      <c r="Y4" s="4" t="e">
        <f t="shared" si="0"/>
        <v>#VALUE!</v>
      </c>
      <c r="Z4" s="4" t="e">
        <f t="shared" ref="Z4:AF4" si="8">ACCRINTM("15/1/2005","15/4/2009",K4,3,2)</f>
        <v>#N/A</v>
      </c>
      <c r="AA4" s="4" t="e">
        <f t="shared" si="8"/>
        <v>#VALUE!</v>
      </c>
      <c r="AB4" s="4" t="e">
        <f t="shared" si="8"/>
        <v>#DIV/0!</v>
      </c>
      <c r="AC4" s="4" t="e">
        <f t="shared" si="8"/>
        <v>#NAME?</v>
      </c>
      <c r="AD4" s="4" t="e">
        <f t="shared" si="8"/>
        <v>#NULL!</v>
      </c>
      <c r="AE4" s="4" t="e">
        <f t="shared" si="8"/>
        <v>#NUM!</v>
      </c>
      <c r="AF4" s="4" t="e">
        <f t="shared" si="8"/>
        <v>#REF!</v>
      </c>
    </row>
    <row r="5" spans="1:49" x14ac:dyDescent="0.15">
      <c r="A5" s="35" t="s">
        <v>228</v>
      </c>
      <c r="B5" s="36" t="s">
        <v>541</v>
      </c>
      <c r="C5" s="4">
        <v>-1</v>
      </c>
      <c r="D5" s="4">
        <v>6</v>
      </c>
      <c r="E5" s="4">
        <v>7</v>
      </c>
      <c r="F5" s="4">
        <v>4</v>
      </c>
      <c r="G5" s="4">
        <v>9</v>
      </c>
      <c r="I5" s="4" t="s">
        <v>32</v>
      </c>
      <c r="J5" s="4" t="b">
        <v>1</v>
      </c>
      <c r="K5" s="4" t="e">
        <v>#N/A</v>
      </c>
      <c r="L5" s="4" t="e">
        <f>#VALUE!</f>
        <v>#VALUE!</v>
      </c>
      <c r="M5" s="28" t="e">
        <v>#DIV/0!</v>
      </c>
      <c r="N5" s="28" t="e">
        <v>#NAME?</v>
      </c>
      <c r="O5" s="28" t="e">
        <v>#NULL!</v>
      </c>
      <c r="P5" s="28" t="e">
        <v>#NUM!</v>
      </c>
      <c r="Q5" s="28" t="e">
        <v>#REF!</v>
      </c>
      <c r="R5" s="4" t="e">
        <f>AMORDEGRC(100, "15/1/2005","15/4/2009",C5,1,0.2,0)</f>
        <v>#NUM!</v>
      </c>
      <c r="S5" s="4">
        <f>AMORDEGRC(100, "15/1/2005","15/4/2009",D5,0,0.2,0)</f>
        <v>94</v>
      </c>
      <c r="T5" s="4">
        <f>AMORDEGRC(100, "2005-1-11","15/4/2009",E5,1,0.2,0)</f>
        <v>3</v>
      </c>
      <c r="U5" s="4">
        <f>AMORDEGRC(100, "15/1/2005","15/4/2009",F5,1,0.2,0)</f>
        <v>2</v>
      </c>
      <c r="V5" s="4">
        <f>AMORDEGRC(100, "15/1/2005","15/4/2009",G5,1,0.2,0)</f>
        <v>4</v>
      </c>
      <c r="W5" s="4">
        <f>AMORDEGRC(100, "15/1/2005","15/4/2009",H5,1,0.2,0)</f>
        <v>0</v>
      </c>
      <c r="X5" s="4" t="e">
        <f>AMORDEGRC(100, "15/1/2005","15/4/2009",I5,1,0.2,0)</f>
        <v>#VALUE!</v>
      </c>
      <c r="Y5" s="4" t="e">
        <f>AMORDEGRC(100, "15/1/2005","15/4/2009",J5,1,0.2,0)</f>
        <v>#VALUE!</v>
      </c>
      <c r="Z5" s="4" t="e">
        <f t="shared" ref="Z5:AF5" si="9">AMORDEGRC(100, "15/1/2005","15/4/2009",K5,1,0.2,0)</f>
        <v>#N/A</v>
      </c>
      <c r="AA5" s="4" t="e">
        <f t="shared" si="9"/>
        <v>#VALUE!</v>
      </c>
      <c r="AB5" s="4" t="e">
        <f t="shared" si="9"/>
        <v>#DIV/0!</v>
      </c>
      <c r="AC5" s="4" t="e">
        <f t="shared" si="9"/>
        <v>#NAME?</v>
      </c>
      <c r="AD5" s="4" t="e">
        <f t="shared" si="9"/>
        <v>#NULL!</v>
      </c>
      <c r="AE5" s="4" t="e">
        <f t="shared" si="9"/>
        <v>#NUM!</v>
      </c>
      <c r="AF5" s="4" t="e">
        <f t="shared" si="9"/>
        <v>#REF!</v>
      </c>
      <c r="AG5" s="4">
        <f t="array" ref="AG5">AMORDEGRC(100, "2005-1-11", "15/4/2009",12,{0,1,2.1,3.3},0.2,0)</f>
        <v>88</v>
      </c>
      <c r="AH5" s="4">
        <f t="array" ref="AH5:AW5">AMORDEGRC(100, "15/1/2005","15/4/2009",12,{0,1,2.1,3.3},0.2,0)</f>
        <v>88</v>
      </c>
      <c r="AI5" s="4">
        <v>5</v>
      </c>
      <c r="AJ5" s="4">
        <v>0</v>
      </c>
      <c r="AK5" s="4">
        <v>0</v>
      </c>
      <c r="AL5" s="4" t="e">
        <v>#N/A</v>
      </c>
      <c r="AM5" s="4" t="e">
        <v>#N/A</v>
      </c>
      <c r="AN5" s="4" t="e">
        <v>#N/A</v>
      </c>
      <c r="AO5" s="4" t="e">
        <v>#N/A</v>
      </c>
      <c r="AP5" s="4" t="e">
        <v>#N/A</v>
      </c>
      <c r="AQ5" s="4" t="e">
        <v>#N/A</v>
      </c>
      <c r="AR5" s="4" t="e">
        <v>#N/A</v>
      </c>
      <c r="AS5" s="4" t="e">
        <v>#N/A</v>
      </c>
      <c r="AT5" s="4" t="e">
        <v>#N/A</v>
      </c>
      <c r="AU5" s="4" t="e">
        <v>#N/A</v>
      </c>
      <c r="AV5" s="4" t="e">
        <v>#N/A</v>
      </c>
      <c r="AW5" s="4" t="e">
        <v>#N/A</v>
      </c>
    </row>
    <row r="6" spans="1:49" x14ac:dyDescent="0.15">
      <c r="A6" s="35" t="s">
        <v>229</v>
      </c>
      <c r="B6" s="36" t="s">
        <v>541</v>
      </c>
      <c r="C6" s="4">
        <v>-1</v>
      </c>
      <c r="D6" s="4">
        <v>6</v>
      </c>
      <c r="E6" s="4">
        <v>7</v>
      </c>
      <c r="F6" s="4">
        <v>4</v>
      </c>
      <c r="G6" s="4">
        <v>9</v>
      </c>
      <c r="I6" s="4" t="s">
        <v>32</v>
      </c>
      <c r="J6" s="4" t="b">
        <v>1</v>
      </c>
      <c r="K6" s="4" t="e">
        <v>#N/A</v>
      </c>
      <c r="L6" s="4" t="e">
        <f>#VALUE!</f>
        <v>#VALUE!</v>
      </c>
      <c r="M6" s="28" t="e">
        <v>#DIV/0!</v>
      </c>
      <c r="N6" s="28" t="e">
        <v>#NAME?</v>
      </c>
      <c r="O6" s="28" t="e">
        <v>#NULL!</v>
      </c>
      <c r="P6" s="28" t="e">
        <v>#NUM!</v>
      </c>
      <c r="Q6" s="28" t="e">
        <v>#REF!</v>
      </c>
      <c r="R6" s="4" t="e">
        <f>AMORLINC(100, "15/1/2005","15/4/2009",C6,1,0.2,0)</f>
        <v>#NUM!</v>
      </c>
      <c r="S6" s="4">
        <f t="shared" ref="S6:V6" si="10">AMORLINC(100, "15/1/2005","15/4/2009",D6,1,0.2,0)</f>
        <v>8.9999999999999858</v>
      </c>
      <c r="T6" s="4">
        <f>AMORLINC(100, "2005-1-11","15/4/2009",E6,1,0.2,0)</f>
        <v>7.7777777777777715</v>
      </c>
      <c r="U6" s="4">
        <f t="shared" si="10"/>
        <v>10.999999999999986</v>
      </c>
      <c r="V6" s="4">
        <f t="shared" si="10"/>
        <v>5.9999999999999858</v>
      </c>
      <c r="W6" s="4">
        <f t="shared" ref="W6" si="11">AMORLINC(100, "15/1/2005","15/4/2009",H6,1,0.2,0)</f>
        <v>14.999999999999986</v>
      </c>
      <c r="X6" s="4" t="e">
        <f t="shared" ref="X6" si="12">AMORLINC(100, "15/1/2005","15/4/2009",I6,1,0.2,0)</f>
        <v>#VALUE!</v>
      </c>
      <c r="Y6" s="4" t="e">
        <f t="shared" ref="Y6" si="13">AMORLINC(100, "15/1/2005","15/4/2009",J6,1,0.2,0)</f>
        <v>#VALUE!</v>
      </c>
      <c r="Z6" s="4" t="e">
        <f t="shared" ref="Z6" si="14">AMORLINC(100, "15/1/2005","15/4/2009",K6,1,0.2,0)</f>
        <v>#N/A</v>
      </c>
      <c r="AA6" s="4" t="e">
        <f t="shared" ref="AA6" si="15">AMORLINC(100, "15/1/2005","15/4/2009",L6,1,0.2,0)</f>
        <v>#VALUE!</v>
      </c>
      <c r="AB6" s="4" t="e">
        <f t="shared" ref="AB6" si="16">AMORLINC(100, "15/1/2005","15/4/2009",M6,1,0.2,0)</f>
        <v>#DIV/0!</v>
      </c>
      <c r="AC6" s="4" t="e">
        <f t="shared" ref="AC6" si="17">AMORLINC(100, "15/1/2005","15/4/2009",N6,1,0.2,0)</f>
        <v>#NAME?</v>
      </c>
      <c r="AD6" s="4" t="e">
        <f t="shared" ref="AD6" si="18">AMORLINC(100, "15/1/2005","15/4/2009",O6,1,0.2,0)</f>
        <v>#NULL!</v>
      </c>
      <c r="AE6" s="4" t="e">
        <f t="shared" ref="AE6" si="19">AMORLINC(100, "15/1/2005","15/4/2009",P6,1,0.2,0)</f>
        <v>#NUM!</v>
      </c>
      <c r="AF6" s="4" t="e">
        <f t="shared" ref="AF6" si="20">AMORLINC(100, "15/1/2005","15/4/2009",Q6,1,0.2,0)</f>
        <v>#REF!</v>
      </c>
      <c r="AG6" s="4">
        <f t="array" ref="AG6">AMORLINC(100, "2005-1-11", "15/4/2009",12,{0,1,2.1,3.3},0.2,0)</f>
        <v>85.222222222222229</v>
      </c>
      <c r="AH6" s="4">
        <f t="array" ref="AH6:AW6">AMORLINC(100, "15/1/2005","15/4/2009",12,{0,1,2.1,3.3},0.2,0)</f>
        <v>85.000000000000014</v>
      </c>
      <c r="AI6" s="4">
        <v>2.9999999999999858</v>
      </c>
      <c r="AJ6" s="4">
        <v>0</v>
      </c>
      <c r="AK6" s="4">
        <v>0</v>
      </c>
      <c r="AL6" s="4" t="e">
        <v>#N/A</v>
      </c>
      <c r="AM6" s="4" t="e">
        <v>#N/A</v>
      </c>
      <c r="AN6" s="4" t="e">
        <v>#N/A</v>
      </c>
      <c r="AO6" s="4" t="e">
        <v>#N/A</v>
      </c>
      <c r="AP6" s="4" t="e">
        <v>#N/A</v>
      </c>
      <c r="AQ6" s="4" t="e">
        <v>#N/A</v>
      </c>
      <c r="AR6" s="4" t="e">
        <v>#N/A</v>
      </c>
      <c r="AS6" s="4" t="e">
        <v>#N/A</v>
      </c>
      <c r="AT6" s="4" t="e">
        <v>#N/A</v>
      </c>
      <c r="AU6" s="4" t="e">
        <v>#N/A</v>
      </c>
      <c r="AV6" s="4" t="e">
        <v>#N/A</v>
      </c>
      <c r="AW6" s="4" t="e">
        <v>#N/A</v>
      </c>
    </row>
    <row r="7" spans="1:49" x14ac:dyDescent="0.15">
      <c r="A7" s="35" t="s">
        <v>230</v>
      </c>
      <c r="B7" s="36" t="s">
        <v>541</v>
      </c>
      <c r="C7" s="4">
        <v>3.2</v>
      </c>
      <c r="D7" s="4">
        <v>6</v>
      </c>
      <c r="E7" s="4">
        <v>7</v>
      </c>
      <c r="F7" s="4">
        <v>4</v>
      </c>
      <c r="G7" s="4">
        <v>9</v>
      </c>
      <c r="I7" s="19" t="s">
        <v>820</v>
      </c>
      <c r="J7" s="4" t="b">
        <v>1</v>
      </c>
      <c r="K7" s="4" t="e">
        <v>#N/A</v>
      </c>
      <c r="L7" s="4" t="e">
        <f>#VALUE!</f>
        <v>#VALUE!</v>
      </c>
      <c r="M7" s="28" t="e">
        <v>#DIV/0!</v>
      </c>
      <c r="N7" s="28" t="e">
        <v>#NAME?</v>
      </c>
      <c r="O7" s="28" t="e">
        <v>#NULL!</v>
      </c>
      <c r="P7" s="28" t="e">
        <v>#NUM!</v>
      </c>
      <c r="Q7" s="28" t="e">
        <v>#REF!</v>
      </c>
      <c r="R7" s="71">
        <f>COUPDAYBS(C7,"31/12/2050",1,1)</f>
        <v>3</v>
      </c>
      <c r="S7" s="71">
        <f>COUPDAYBS(D7,"31/12/2050",1,2)</f>
        <v>6</v>
      </c>
      <c r="T7" s="71">
        <f>COUPDAYBS(E7,"31/12/2050",1,0)</f>
        <v>7</v>
      </c>
      <c r="U7" s="71">
        <f>COUPDAYBS(F7,"31/12/2050",1,0)</f>
        <v>4</v>
      </c>
      <c r="V7" s="71">
        <f t="shared" ref="V7:AF7" si="21">COUPDAYBS(G7,"31/12/2050",1,0)</f>
        <v>9</v>
      </c>
      <c r="W7" s="71">
        <f>COUPDAYBS(H7,"31/12/2050",1,0)</f>
        <v>0</v>
      </c>
      <c r="X7" s="71">
        <f t="shared" si="21"/>
        <v>236</v>
      </c>
      <c r="Y7" s="71" t="e">
        <f t="shared" si="21"/>
        <v>#VALUE!</v>
      </c>
      <c r="Z7" s="71" t="e">
        <f t="shared" si="21"/>
        <v>#N/A</v>
      </c>
      <c r="AA7" s="71" t="e">
        <f t="shared" si="21"/>
        <v>#VALUE!</v>
      </c>
      <c r="AB7" s="71" t="e">
        <f t="shared" si="21"/>
        <v>#DIV/0!</v>
      </c>
      <c r="AC7" s="71" t="e">
        <f t="shared" si="21"/>
        <v>#NAME?</v>
      </c>
      <c r="AD7" s="71" t="e">
        <f t="shared" si="21"/>
        <v>#NULL!</v>
      </c>
      <c r="AE7" s="71" t="e">
        <f t="shared" si="21"/>
        <v>#NUM!</v>
      </c>
      <c r="AF7" s="71" t="e">
        <f>COUPDAYBS(Q7,"31/12/2050",1,0)</f>
        <v>#REF!</v>
      </c>
      <c r="AG7" s="71" cm="1">
        <f t="array" ref="AG7:AK7">COUPDAYBS(I7,"31/12/2050",1,{0,1,2,3,4})</f>
        <v>236</v>
      </c>
      <c r="AH7" s="4">
        <v>238</v>
      </c>
      <c r="AI7" s="4">
        <v>238</v>
      </c>
      <c r="AJ7" s="4">
        <v>238</v>
      </c>
      <c r="AK7" s="4">
        <v>236</v>
      </c>
      <c r="AL7" s="4">
        <f>COUPDAYBS(F7,"31/12/2050",1, 0)</f>
        <v>4</v>
      </c>
      <c r="AM7" s="4">
        <f t="shared" ref="AM7:AN7" si="22">COUPDAYBS(G7,"31/12/2050",1, 0)</f>
        <v>9</v>
      </c>
      <c r="AN7" s="4">
        <f t="shared" si="22"/>
        <v>0</v>
      </c>
      <c r="AO7" s="4" cm="1">
        <f t="array" ref="AO7:AS7">COUPDAYBS(I7,"31/12/2050",{1,2,4,2,1},{0,1,2,3,4})</f>
        <v>236</v>
      </c>
      <c r="AP7" s="4">
        <v>57</v>
      </c>
      <c r="AQ7" s="4">
        <v>57</v>
      </c>
      <c r="AR7" s="28">
        <v>57</v>
      </c>
      <c r="AS7" s="28">
        <v>236</v>
      </c>
      <c r="AT7" s="28"/>
      <c r="AU7" s="28"/>
      <c r="AV7" s="28"/>
    </row>
    <row r="8" spans="1:49" x14ac:dyDescent="0.15">
      <c r="A8" s="35" t="s">
        <v>231</v>
      </c>
      <c r="B8" s="36" t="s">
        <v>541</v>
      </c>
      <c r="C8" s="4">
        <v>3.2</v>
      </c>
      <c r="D8" s="4">
        <v>6</v>
      </c>
      <c r="E8" s="4">
        <v>7</v>
      </c>
      <c r="F8" s="4">
        <v>4</v>
      </c>
      <c r="G8" s="4">
        <v>9</v>
      </c>
      <c r="I8" s="19" t="s">
        <v>820</v>
      </c>
      <c r="J8" s="4" t="b">
        <v>1</v>
      </c>
      <c r="K8" s="4" t="e">
        <v>#N/A</v>
      </c>
      <c r="L8" s="4" t="e">
        <f>#VALUE!</f>
        <v>#VALUE!</v>
      </c>
      <c r="M8" s="28" t="e">
        <v>#DIV/0!</v>
      </c>
      <c r="N8" s="28" t="e">
        <v>#NAME?</v>
      </c>
      <c r="O8" s="28" t="e">
        <v>#NULL!</v>
      </c>
      <c r="P8" s="28" t="e">
        <v>#NUM!</v>
      </c>
      <c r="Q8" s="28" t="e">
        <v>#REF!</v>
      </c>
      <c r="R8" s="71">
        <f>COUPDAYS(C8,"31/12/2050",1,1)</f>
        <v>365</v>
      </c>
      <c r="S8" s="71">
        <f>COUPDAYS(D8,"31/12/2050",1,2)</f>
        <v>360</v>
      </c>
      <c r="T8" s="71">
        <f t="shared" ref="T8:AA8" si="23">COUPDAYS(E8,"31/12/2050",1,0)</f>
        <v>360</v>
      </c>
      <c r="U8" s="71">
        <f t="shared" si="23"/>
        <v>360</v>
      </c>
      <c r="V8" s="71">
        <f t="shared" si="23"/>
        <v>360</v>
      </c>
      <c r="W8" s="71">
        <f t="shared" si="23"/>
        <v>360</v>
      </c>
      <c r="X8" s="71">
        <f t="shared" si="23"/>
        <v>360</v>
      </c>
      <c r="Y8" s="71" t="e">
        <f t="shared" si="23"/>
        <v>#VALUE!</v>
      </c>
      <c r="Z8" s="71" t="e">
        <f t="shared" si="23"/>
        <v>#N/A</v>
      </c>
      <c r="AA8" s="71" t="e">
        <f t="shared" si="23"/>
        <v>#VALUE!</v>
      </c>
      <c r="AB8" s="71" t="e">
        <f t="shared" ref="AB8:AF8" si="24">COUPDAYS(M8,"31/12/2050",1,0)</f>
        <v>#DIV/0!</v>
      </c>
      <c r="AC8" s="71" t="e">
        <f t="shared" si="24"/>
        <v>#NAME?</v>
      </c>
      <c r="AD8" s="71" t="e">
        <f t="shared" si="24"/>
        <v>#NULL!</v>
      </c>
      <c r="AE8" s="71" t="e">
        <f t="shared" si="24"/>
        <v>#NUM!</v>
      </c>
      <c r="AF8" s="71" t="e">
        <f t="shared" si="24"/>
        <v>#REF!</v>
      </c>
      <c r="AG8" s="4">
        <f t="array" ref="AG8">COUPDAYS({"31/12/2020","31/12/2025"},"31/12/2050",1,{2,3})</f>
        <v>360</v>
      </c>
      <c r="AH8" s="4">
        <f t="array" ref="AH8:AK8">COUPDAYS({"31/12/2020","31/12/2025"},"31/12/2050",1,{2,3})</f>
        <v>360</v>
      </c>
      <c r="AI8" s="4">
        <v>365</v>
      </c>
      <c r="AJ8" s="4" t="e">
        <v>#N/A</v>
      </c>
      <c r="AK8" s="4" t="e">
        <v>#N/A</v>
      </c>
      <c r="AL8" s="4">
        <f>COUPDAYS(F8,"31/12/2050",1, 0)</f>
        <v>360</v>
      </c>
      <c r="AM8" s="4">
        <f t="shared" ref="AM8:AN8" si="25">COUPDAYS(G8,"31/12/2050",1, 0)</f>
        <v>360</v>
      </c>
      <c r="AN8" s="4">
        <f t="shared" si="25"/>
        <v>360</v>
      </c>
      <c r="AO8" s="4" cm="1">
        <f t="array" ref="AO8:AS8">COUPDAYBS(I8,"31/12/2050",{1,2,4,2,1},{0,1,2,3,4})</f>
        <v>236</v>
      </c>
      <c r="AP8" s="4">
        <v>57</v>
      </c>
      <c r="AQ8" s="4">
        <v>57</v>
      </c>
      <c r="AR8" s="4">
        <v>57</v>
      </c>
      <c r="AS8" s="4">
        <v>236</v>
      </c>
    </row>
    <row r="9" spans="1:49" x14ac:dyDescent="0.15">
      <c r="A9" s="35" t="s">
        <v>232</v>
      </c>
      <c r="B9" s="36" t="s">
        <v>541</v>
      </c>
      <c r="C9" s="4">
        <v>3.2</v>
      </c>
      <c r="D9" s="4">
        <v>6</v>
      </c>
      <c r="E9" s="4">
        <v>7</v>
      </c>
      <c r="F9" s="4">
        <v>4</v>
      </c>
      <c r="G9" s="4">
        <v>9</v>
      </c>
      <c r="I9" s="19" t="s">
        <v>820</v>
      </c>
      <c r="J9" s="4" t="b">
        <v>1</v>
      </c>
      <c r="K9" s="4" t="e">
        <v>#N/A</v>
      </c>
      <c r="L9" s="4" t="e">
        <f>#VALUE!</f>
        <v>#VALUE!</v>
      </c>
      <c r="M9" s="28" t="e">
        <v>#DIV/0!</v>
      </c>
      <c r="N9" s="28" t="e">
        <v>#NAME?</v>
      </c>
      <c r="O9" s="28" t="e">
        <v>#NULL!</v>
      </c>
      <c r="P9" s="28" t="e">
        <v>#NUM!</v>
      </c>
      <c r="Q9" s="28" t="e">
        <v>#REF!</v>
      </c>
      <c r="R9" s="71">
        <f>COUPDAYSNC(C9,"31/12/2050",1,1)</f>
        <v>363</v>
      </c>
      <c r="S9" s="71">
        <f>COUPDAYSNC(D9,"31/12/2050",1,2)</f>
        <v>360</v>
      </c>
      <c r="T9" s="71">
        <f>COUPDAYSNC(E9,"31/12/2050",1,0)</f>
        <v>353</v>
      </c>
      <c r="U9" s="71">
        <f t="shared" ref="U9:AA9" si="26">COUPDAYSNC(F9,"31/12/2050",1,0)</f>
        <v>356</v>
      </c>
      <c r="V9" s="71">
        <f t="shared" si="26"/>
        <v>351</v>
      </c>
      <c r="W9" s="71">
        <f t="shared" si="26"/>
        <v>360</v>
      </c>
      <c r="X9" s="71">
        <f>COUPDAYSNC(I9,"31/12/2050",1,4)</f>
        <v>124</v>
      </c>
      <c r="Y9" s="71" t="e">
        <f>COUPDAYSNC(J9,"31/12/2050",1,0)</f>
        <v>#VALUE!</v>
      </c>
      <c r="Z9" s="71" t="e">
        <f t="shared" si="26"/>
        <v>#N/A</v>
      </c>
      <c r="AA9" s="71" t="e">
        <f t="shared" si="26"/>
        <v>#VALUE!</v>
      </c>
      <c r="AB9" s="71" t="e">
        <f t="shared" ref="AB9:AF9" si="27">COUPDAYSNC(M9,"31/12/2050",1,0)</f>
        <v>#DIV/0!</v>
      </c>
      <c r="AC9" s="71" t="e">
        <f t="shared" si="27"/>
        <v>#NAME?</v>
      </c>
      <c r="AD9" s="71" t="e">
        <f t="shared" si="27"/>
        <v>#NULL!</v>
      </c>
      <c r="AE9" s="71" t="e">
        <f t="shared" si="27"/>
        <v>#NUM!</v>
      </c>
      <c r="AF9" s="71" t="e">
        <f t="shared" si="27"/>
        <v>#REF!</v>
      </c>
      <c r="AG9" s="4">
        <f t="array" ref="AG9">COUPDAYSNC({"31/12/2020","31/12/2025"},"31/12/2050",1,{2,3})</f>
        <v>365</v>
      </c>
      <c r="AH9" s="4">
        <f t="array" ref="AH9:AK9">COUPDAYSNC({"31/12/2020","31/12/2025"},"31/12/2050",1,{2,3})</f>
        <v>365</v>
      </c>
      <c r="AI9" s="4">
        <v>365</v>
      </c>
      <c r="AJ9" s="4" t="e">
        <v>#N/A</v>
      </c>
      <c r="AK9" s="4" t="e">
        <v>#N/A</v>
      </c>
      <c r="AL9" s="4">
        <f>COUPDAYSNC(C9,"31/12/2050",1, 0)</f>
        <v>357</v>
      </c>
      <c r="AM9" s="4">
        <f t="shared" ref="AM9:AN9" si="28">COUPDAYSNC(D9,"31/12/2050",1, 0)</f>
        <v>354</v>
      </c>
      <c r="AN9" s="4">
        <f t="shared" si="28"/>
        <v>353</v>
      </c>
      <c r="AO9" s="4" cm="1">
        <f t="array" ref="AO9:AS9">COUPDAYSNC(I9,"31/12/2050",{1,2,4,2,1},{0,1,2,3,4})</f>
        <v>124</v>
      </c>
      <c r="AP9" s="4">
        <v>127</v>
      </c>
      <c r="AQ9" s="4">
        <v>35</v>
      </c>
      <c r="AR9" s="4">
        <v>127</v>
      </c>
      <c r="AS9" s="4">
        <v>124</v>
      </c>
    </row>
    <row r="10" spans="1:49" x14ac:dyDescent="0.15">
      <c r="A10" s="35" t="s">
        <v>233</v>
      </c>
      <c r="B10" s="36" t="s">
        <v>541</v>
      </c>
      <c r="C10" s="4">
        <v>3.2</v>
      </c>
      <c r="D10" s="4">
        <v>6</v>
      </c>
      <c r="E10" s="4">
        <v>7</v>
      </c>
      <c r="F10" s="4">
        <v>4</v>
      </c>
      <c r="G10" s="4">
        <v>9</v>
      </c>
      <c r="I10" s="19" t="s">
        <v>820</v>
      </c>
      <c r="J10" s="4" t="b">
        <v>1</v>
      </c>
      <c r="K10" s="4" t="e">
        <v>#N/A</v>
      </c>
      <c r="L10" s="4" t="e">
        <f>#VALUE!</f>
        <v>#VALUE!</v>
      </c>
      <c r="M10" s="28" t="e">
        <v>#DIV/0!</v>
      </c>
      <c r="N10" s="28" t="e">
        <v>#NAME?</v>
      </c>
      <c r="O10" s="28" t="e">
        <v>#NULL!</v>
      </c>
      <c r="P10" s="28" t="e">
        <v>#NUM!</v>
      </c>
      <c r="Q10" s="28" t="e">
        <v>#REF!</v>
      </c>
      <c r="R10" s="71">
        <f>COUPNCD(C10,"31/12/2050",1,1)</f>
        <v>366</v>
      </c>
      <c r="S10" s="71">
        <f>COUPNCD(D10,"31/12/2050",1,2)</f>
        <v>366</v>
      </c>
      <c r="T10" s="71">
        <f>COUPNCD(E10,"31/12/2050",1,0)</f>
        <v>366</v>
      </c>
      <c r="U10" s="71">
        <f t="shared" ref="U10:Z10" si="29">COUPNCD(F10,"31/12/2050",1,0)</f>
        <v>366</v>
      </c>
      <c r="V10" s="71">
        <f t="shared" si="29"/>
        <v>366</v>
      </c>
      <c r="W10" s="71">
        <f t="shared" si="29"/>
        <v>366</v>
      </c>
      <c r="X10" s="71">
        <f t="shared" si="29"/>
        <v>32873</v>
      </c>
      <c r="Y10" s="71" t="e">
        <f t="shared" si="29"/>
        <v>#VALUE!</v>
      </c>
      <c r="Z10" s="71" t="e">
        <f t="shared" si="29"/>
        <v>#N/A</v>
      </c>
      <c r="AA10" s="71" t="e">
        <f t="shared" ref="AA10:AF10" si="30">COUPNCD(L10,"31/12/2050",1,0)</f>
        <v>#VALUE!</v>
      </c>
      <c r="AB10" s="71" t="e">
        <f t="shared" si="30"/>
        <v>#DIV/0!</v>
      </c>
      <c r="AC10" s="71" t="e">
        <f t="shared" si="30"/>
        <v>#NAME?</v>
      </c>
      <c r="AD10" s="71" t="e">
        <f t="shared" si="30"/>
        <v>#NULL!</v>
      </c>
      <c r="AE10" s="71" t="e">
        <f t="shared" si="30"/>
        <v>#NUM!</v>
      </c>
      <c r="AF10" s="71" t="e">
        <f t="shared" si="30"/>
        <v>#REF!</v>
      </c>
      <c r="AG10" s="17">
        <f t="array" ref="AG10">COUPNCD({"31/12/2020","31/12/2025"},"31/12/2050",1,{2,3})</f>
        <v>44561</v>
      </c>
      <c r="AH10" s="4">
        <f t="array" ref="AH10:AK10">COUPNCD({"31/12/2020","31/12/2025"},"31/12/2050",1,{2,3})</f>
        <v>44561</v>
      </c>
      <c r="AI10" s="4">
        <v>46387</v>
      </c>
      <c r="AJ10" s="4" t="e">
        <v>#N/A</v>
      </c>
      <c r="AK10" s="4" t="e">
        <v>#N/A</v>
      </c>
      <c r="AL10" s="4">
        <f>COUPNCD(C10,"31/12/2050",1, 0)</f>
        <v>366</v>
      </c>
      <c r="AM10" s="4">
        <f t="shared" ref="AM10:AN10" si="31">COUPNCD(D10,"31/12/2050",1, 0)</f>
        <v>366</v>
      </c>
      <c r="AN10" s="4">
        <f t="shared" si="31"/>
        <v>366</v>
      </c>
      <c r="AO10" s="4" cm="1">
        <f t="array" ref="AO10:AS10">COUPNCD(I10,"31/12/2050",{1,2,4,2,1},{0,1,2,3,4})</f>
        <v>32873</v>
      </c>
      <c r="AP10" s="4">
        <v>32873</v>
      </c>
      <c r="AQ10" s="4">
        <v>32781</v>
      </c>
      <c r="AR10" s="4">
        <v>32873</v>
      </c>
      <c r="AS10" s="4">
        <v>32873</v>
      </c>
    </row>
    <row r="11" spans="1:49" x14ac:dyDescent="0.15">
      <c r="A11" s="35" t="s">
        <v>234</v>
      </c>
      <c r="B11" s="36" t="s">
        <v>541</v>
      </c>
      <c r="C11" s="4">
        <v>33000.6</v>
      </c>
      <c r="D11" s="4">
        <v>33030.6</v>
      </c>
      <c r="E11" s="4">
        <v>440040</v>
      </c>
      <c r="F11" s="4">
        <v>4</v>
      </c>
      <c r="G11" s="4">
        <v>1</v>
      </c>
      <c r="I11" s="19" t="s">
        <v>820</v>
      </c>
      <c r="J11" s="4" t="b">
        <v>1</v>
      </c>
      <c r="K11" s="4" t="e">
        <v>#N/A</v>
      </c>
      <c r="L11" s="4" t="e">
        <f>#VALUE!</f>
        <v>#VALUE!</v>
      </c>
      <c r="M11" s="28" t="e">
        <v>#DIV/0!</v>
      </c>
      <c r="N11" s="28" t="e">
        <v>#NAME?</v>
      </c>
      <c r="O11" s="28" t="e">
        <v>#NULL!</v>
      </c>
      <c r="P11" s="28" t="e">
        <v>#NUM!</v>
      </c>
      <c r="Q11" s="28" t="e">
        <v>#REF!</v>
      </c>
      <c r="R11" s="71">
        <f>COUPNUM(32000,43232,1)</f>
        <v>31</v>
      </c>
      <c r="S11" s="71" t="e">
        <f>COUPNUM("31/12/2900","31/12/2050",1,2)</f>
        <v>#NUM!</v>
      </c>
      <c r="T11" s="71">
        <f>COUPNUM("31/12/2030","31/12/2050",1,2)</f>
        <v>20</v>
      </c>
      <c r="U11" s="71">
        <f>COUPNUM("31/08/2030","31/12/2050",4,1)</f>
        <v>82</v>
      </c>
      <c r="V11" s="71">
        <f>COUPNUM("31/08/2030","31/12/2050",4,0)</f>
        <v>82</v>
      </c>
      <c r="W11" s="71">
        <f>COUPNUM("31/08/2030","31/12/2050",4,3)</f>
        <v>82</v>
      </c>
      <c r="X11" s="71" t="e">
        <f>COUPNUM("31/08/2030","31/12/2050",0,1)</f>
        <v>#NUM!</v>
      </c>
      <c r="Y11" s="71" t="e">
        <f>COUPNUM("31/08/2030","31/12/2050",4,J11)</f>
        <v>#VALUE!</v>
      </c>
      <c r="Z11" s="71" t="e">
        <f>COUPNUM("31/08/2030","31/12/2050",K11,1)</f>
        <v>#N/A</v>
      </c>
      <c r="AA11" s="71" t="e">
        <f t="shared" ref="AA11:AF11" si="32">COUPNUM("31/08/2030","31/12/2050",L11,1)</f>
        <v>#VALUE!</v>
      </c>
      <c r="AB11" s="71" t="e">
        <f t="shared" si="32"/>
        <v>#DIV/0!</v>
      </c>
      <c r="AC11" s="71" t="e">
        <f t="shared" si="32"/>
        <v>#NAME?</v>
      </c>
      <c r="AD11" s="71" t="e">
        <f t="shared" si="32"/>
        <v>#NULL!</v>
      </c>
      <c r="AE11" s="71" t="e">
        <f t="shared" si="32"/>
        <v>#NUM!</v>
      </c>
      <c r="AF11" s="71" t="e">
        <f t="shared" si="32"/>
        <v>#REF!</v>
      </c>
      <c r="AG11" s="4">
        <f t="array" ref="AG11">COUPNUM("31/08/2030","31/12/2050",4,{1,2})</f>
        <v>82</v>
      </c>
      <c r="AH11" s="4">
        <f t="array" ref="AH11:AK11">COUPNUM("31/08/2030","31/12/2050",4,{1,2})</f>
        <v>82</v>
      </c>
      <c r="AI11" s="4">
        <v>82</v>
      </c>
      <c r="AJ11" s="4" t="e">
        <v>#N/A</v>
      </c>
      <c r="AK11" s="4" t="e">
        <v>#N/A</v>
      </c>
      <c r="AL11" s="4">
        <f t="array" ref="AL11:AW11">COUPNUM("31/08/2030","31/12/2050",4,{1,2,3,4})</f>
        <v>82</v>
      </c>
      <c r="AM11" s="4">
        <v>82</v>
      </c>
      <c r="AN11" s="4">
        <v>82</v>
      </c>
      <c r="AO11" s="4">
        <v>82</v>
      </c>
      <c r="AP11" s="4" t="e">
        <v>#N/A</v>
      </c>
      <c r="AQ11" s="4" t="e">
        <v>#N/A</v>
      </c>
      <c r="AR11" s="4" t="e">
        <v>#N/A</v>
      </c>
      <c r="AS11" s="4" t="e">
        <v>#N/A</v>
      </c>
      <c r="AT11" s="4" t="e">
        <v>#N/A</v>
      </c>
      <c r="AU11" s="4" t="e">
        <v>#N/A</v>
      </c>
      <c r="AV11" s="4" t="e">
        <v>#N/A</v>
      </c>
      <c r="AW11" s="4" t="e">
        <v>#N/A</v>
      </c>
    </row>
    <row r="12" spans="1:49" x14ac:dyDescent="0.15">
      <c r="A12" s="35" t="s">
        <v>235</v>
      </c>
      <c r="B12" s="36" t="s">
        <v>541</v>
      </c>
      <c r="C12" s="4">
        <v>3.2</v>
      </c>
      <c r="D12" s="4">
        <v>6</v>
      </c>
      <c r="E12" s="4">
        <v>7</v>
      </c>
      <c r="F12" s="4">
        <v>4</v>
      </c>
      <c r="G12" s="4">
        <v>9</v>
      </c>
      <c r="I12" s="19" t="s">
        <v>820</v>
      </c>
      <c r="J12" s="4" t="b">
        <v>1</v>
      </c>
      <c r="K12" s="4" t="e">
        <v>#N/A</v>
      </c>
      <c r="L12" s="4" t="e">
        <f>#VALUE!</f>
        <v>#VALUE!</v>
      </c>
      <c r="M12" s="28" t="e">
        <v>#DIV/0!</v>
      </c>
      <c r="N12" s="28" t="e">
        <v>#NAME?</v>
      </c>
      <c r="O12" s="28" t="e">
        <v>#NULL!</v>
      </c>
      <c r="P12" s="28" t="e">
        <v>#NUM!</v>
      </c>
      <c r="Q12" s="28" t="e">
        <v>#REF!</v>
      </c>
      <c r="R12" s="71">
        <f>COUPPCD(C12,"31/12/2050",1,1)</f>
        <v>0</v>
      </c>
      <c r="S12" s="71">
        <f>COUPPCD(D12,"31/12/2050",1,2)</f>
        <v>0</v>
      </c>
      <c r="T12" s="71">
        <f t="shared" ref="T12:AA12" si="33">COUPPCD(E12,"31/12/2050",1,0)</f>
        <v>0</v>
      </c>
      <c r="U12" s="71">
        <f t="shared" si="33"/>
        <v>0</v>
      </c>
      <c r="V12" s="71">
        <f t="shared" si="33"/>
        <v>0</v>
      </c>
      <c r="W12" s="71">
        <f t="shared" si="33"/>
        <v>0</v>
      </c>
      <c r="X12" s="71">
        <f t="shared" si="33"/>
        <v>32508</v>
      </c>
      <c r="Y12" s="71" t="e">
        <f t="shared" si="33"/>
        <v>#VALUE!</v>
      </c>
      <c r="Z12" s="71" t="e">
        <f t="shared" si="33"/>
        <v>#N/A</v>
      </c>
      <c r="AA12" s="71" t="e">
        <f t="shared" si="33"/>
        <v>#VALUE!</v>
      </c>
      <c r="AB12" s="71" t="e">
        <f t="shared" ref="AB12:AF12" si="34">COUPPCD(M12,"31/12/2050",1,0)</f>
        <v>#DIV/0!</v>
      </c>
      <c r="AC12" s="71" t="e">
        <f t="shared" si="34"/>
        <v>#NAME?</v>
      </c>
      <c r="AD12" s="71" t="e">
        <f t="shared" si="34"/>
        <v>#NULL!</v>
      </c>
      <c r="AE12" s="71" t="e">
        <f t="shared" si="34"/>
        <v>#NUM!</v>
      </c>
      <c r="AF12" s="71" t="e">
        <f t="shared" si="34"/>
        <v>#REF!</v>
      </c>
      <c r="AG12" s="4">
        <f t="array" ref="AG12">COUPPCD({"31/12/2020","31/12/2025"},"31/12/2050",1,{2,3})</f>
        <v>44196</v>
      </c>
      <c r="AH12" s="4">
        <f t="array" ref="AH12:AK12">COUPPCD({"31/12/2020","31/12/2025"},"31/12/2050",1,{2,3})</f>
        <v>44196</v>
      </c>
      <c r="AI12" s="4">
        <v>46022</v>
      </c>
      <c r="AJ12" s="4" t="e">
        <v>#N/A</v>
      </c>
      <c r="AK12" s="4" t="e">
        <v>#N/A</v>
      </c>
      <c r="AL12" s="4">
        <f>COUPPCD(C12,"31/12/2050",1, 0)</f>
        <v>0</v>
      </c>
      <c r="AM12" s="4">
        <f>COUPPCD(C12,"31/12/2050",1, 1)</f>
        <v>0</v>
      </c>
      <c r="AN12" s="4">
        <f>COUPPCD(D12,"31/12/2050",1, 1)</f>
        <v>0</v>
      </c>
      <c r="AO12" s="4" cm="1">
        <f t="array" ref="AO12:AS12">COUPPCD(I12,"31/12/2050",{1,2,4,2,1},{0,1,2,3,4})</f>
        <v>32508</v>
      </c>
      <c r="AP12" s="4">
        <v>32689</v>
      </c>
      <c r="AQ12" s="4">
        <v>32689</v>
      </c>
      <c r="AR12" s="4">
        <v>32689</v>
      </c>
      <c r="AS12" s="4">
        <v>32508</v>
      </c>
    </row>
    <row r="13" spans="1:49" x14ac:dyDescent="0.15">
      <c r="A13" s="35" t="s">
        <v>236</v>
      </c>
      <c r="B13" s="36" t="s">
        <v>541</v>
      </c>
      <c r="C13" s="4">
        <v>3.2</v>
      </c>
      <c r="D13" s="4">
        <v>6</v>
      </c>
      <c r="E13" s="4">
        <v>7</v>
      </c>
      <c r="F13" s="4">
        <v>4</v>
      </c>
      <c r="G13" s="4">
        <v>9</v>
      </c>
      <c r="I13" s="19" t="s">
        <v>833</v>
      </c>
      <c r="J13" s="4" t="b">
        <v>1</v>
      </c>
      <c r="K13" s="4" t="e">
        <v>#N/A</v>
      </c>
      <c r="L13" s="4" t="e">
        <f>#VALUE!</f>
        <v>#VALUE!</v>
      </c>
      <c r="M13" s="28" t="e">
        <v>#DIV/0!</v>
      </c>
      <c r="N13" s="28" t="e">
        <v>#NAME?</v>
      </c>
      <c r="O13" s="28" t="e">
        <v>#NULL!</v>
      </c>
      <c r="P13" s="28" t="e">
        <v>#NUM!</v>
      </c>
      <c r="Q13" s="28" t="e">
        <v>#REF!</v>
      </c>
      <c r="R13" s="4">
        <f>CUMIPMT(C13,5.5,125000,3,5,1)</f>
        <v>-271489.3412240473</v>
      </c>
      <c r="S13" s="4">
        <f t="shared" ref="S13:AF13" si="35">CUMIPMT(D13,5.5,125000,3,5,1)</f>
        <v>-314705.96055955993</v>
      </c>
      <c r="T13" s="4">
        <f t="shared" si="35"/>
        <v>-322614.99874980171</v>
      </c>
      <c r="U13" s="4">
        <f>CUMIPMT(F13,5.5,125000,3,5,1)</f>
        <v>-288950.45405447436</v>
      </c>
      <c r="V13" s="4">
        <f>CUMIPMT(G13,5.7,125000,3,5,0)</f>
        <v>-3350090.8461518427</v>
      </c>
      <c r="W13" s="4" t="e">
        <f>CUMIPMT(H13,5.5,125000,3,5,1)</f>
        <v>#NUM!</v>
      </c>
      <c r="X13" s="4">
        <f>CUMIPMT(I13,5.5,125000,3,5,1)</f>
        <v>-360220.18857090955</v>
      </c>
      <c r="Y13" s="4" t="e">
        <f t="shared" si="35"/>
        <v>#VALUE!</v>
      </c>
      <c r="Z13" s="4" t="e">
        <f t="shared" si="35"/>
        <v>#N/A</v>
      </c>
      <c r="AA13" s="4" t="e">
        <f t="shared" si="35"/>
        <v>#VALUE!</v>
      </c>
      <c r="AB13" s="4" t="e">
        <f t="shared" si="35"/>
        <v>#DIV/0!</v>
      </c>
      <c r="AC13" s="4" t="e">
        <f t="shared" si="35"/>
        <v>#NAME?</v>
      </c>
      <c r="AD13" s="4" t="e">
        <f t="shared" si="35"/>
        <v>#NULL!</v>
      </c>
      <c r="AE13" s="4" t="e">
        <f t="shared" si="35"/>
        <v>#NUM!</v>
      </c>
      <c r="AF13" s="4" t="e">
        <f t="shared" si="35"/>
        <v>#REF!</v>
      </c>
      <c r="AG13" s="4" t="e">
        <f>CUMIPMT(C13:Q13,5.5,125000,3,5,1)</f>
        <v>#VALUE!</v>
      </c>
      <c r="AH13" s="4" t="e">
        <f t="array" ref="AH13:AW13">CUMIPMT(C13:G13,5.5,125000,3,5,1)</f>
        <v>#VALUE!</v>
      </c>
      <c r="AI13" s="4" t="e">
        <v>#VALUE!</v>
      </c>
      <c r="AJ13" s="4" t="e">
        <v>#VALUE!</v>
      </c>
      <c r="AK13" s="4" t="e">
        <v>#VALUE!</v>
      </c>
      <c r="AL13" s="4" t="e">
        <v>#VALUE!</v>
      </c>
      <c r="AM13" s="4" t="e">
        <v>#VALUE!</v>
      </c>
      <c r="AN13" s="4" t="e">
        <v>#VALUE!</v>
      </c>
      <c r="AO13" s="4" t="e">
        <v>#VALUE!</v>
      </c>
      <c r="AP13" s="4" t="e">
        <v>#VALUE!</v>
      </c>
      <c r="AQ13" s="4" t="e">
        <v>#VALUE!</v>
      </c>
      <c r="AR13" s="4" t="e">
        <v>#VALUE!</v>
      </c>
      <c r="AS13" s="4" t="e">
        <v>#VALUE!</v>
      </c>
      <c r="AT13" s="4" t="e">
        <v>#VALUE!</v>
      </c>
      <c r="AU13" s="4" t="e">
        <v>#VALUE!</v>
      </c>
      <c r="AV13" s="4" t="e">
        <v>#VALUE!</v>
      </c>
      <c r="AW13" s="4" t="e">
        <v>#VALUE!</v>
      </c>
    </row>
    <row r="14" spans="1:49" x14ac:dyDescent="0.15">
      <c r="A14" s="35" t="s">
        <v>237</v>
      </c>
      <c r="B14" s="36" t="s">
        <v>541</v>
      </c>
      <c r="C14" s="4">
        <v>3.2</v>
      </c>
      <c r="D14" s="4">
        <v>6</v>
      </c>
      <c r="E14" s="4">
        <v>7</v>
      </c>
      <c r="F14" s="4">
        <v>4</v>
      </c>
      <c r="G14" s="4">
        <v>9</v>
      </c>
      <c r="I14" s="19" t="s">
        <v>833</v>
      </c>
      <c r="J14" s="4" t="b">
        <v>1</v>
      </c>
      <c r="K14" s="4" t="e">
        <v>#N/A</v>
      </c>
      <c r="L14" s="4" t="e">
        <f>#VALUE!</f>
        <v>#VALUE!</v>
      </c>
      <c r="M14" s="28" t="e">
        <v>#DIV/0!</v>
      </c>
      <c r="N14" s="28" t="e">
        <v>#NAME?</v>
      </c>
      <c r="O14" s="28" t="e">
        <v>#NULL!</v>
      </c>
      <c r="P14" s="28" t="e">
        <v>#NUM!</v>
      </c>
      <c r="Q14" s="28" t="e">
        <v>#REF!</v>
      </c>
      <c r="R14" s="4">
        <f>CUMPRINC(C14,5.5,125000,3,5,1)</f>
        <v>-14331.658892802277</v>
      </c>
      <c r="S14" s="4">
        <f>CUMPRINC(D14,5.5,125000,3,5,1)</f>
        <v>-6729.8394828491018</v>
      </c>
      <c r="T14" s="4">
        <f>CUMPRINC(E14,5.5,125000,3,5,1)</f>
        <v>-5513.5416236724304</v>
      </c>
      <c r="U14" s="4">
        <f>CUMPRINC(F14,5.5,125000,3,5,1)</f>
        <v>-11092.484595573045</v>
      </c>
      <c r="V14" s="4">
        <f>CUMPRINC(G14,5.7,125000,3,5,0)</f>
        <v>-24915.887871905983</v>
      </c>
      <c r="W14" s="4" t="e">
        <f t="shared" ref="W14:AB14" si="36">CUMPRINC(H14,5.5,125000,3,5,1)</f>
        <v>#NUM!</v>
      </c>
      <c r="X14" s="4">
        <f t="shared" si="36"/>
        <v>-890.92738348802777</v>
      </c>
      <c r="Y14" s="4" t="e">
        <f t="shared" si="36"/>
        <v>#VALUE!</v>
      </c>
      <c r="Z14" s="4" t="e">
        <f t="shared" si="36"/>
        <v>#N/A</v>
      </c>
      <c r="AA14" s="4" t="e">
        <f t="shared" si="36"/>
        <v>#VALUE!</v>
      </c>
      <c r="AB14" s="4" t="e">
        <f t="shared" si="36"/>
        <v>#DIV/0!</v>
      </c>
      <c r="AC14" s="4" t="e">
        <f t="shared" ref="AC14:AF14" si="37">CUMPRINC(N14,5.5,125000,3,5,1)</f>
        <v>#NAME?</v>
      </c>
      <c r="AD14" s="4" t="e">
        <f t="shared" si="37"/>
        <v>#NULL!</v>
      </c>
      <c r="AE14" s="4" t="e">
        <f t="shared" si="37"/>
        <v>#NUM!</v>
      </c>
      <c r="AF14" s="4" t="e">
        <f t="shared" si="37"/>
        <v>#REF!</v>
      </c>
      <c r="AG14" s="4" t="e">
        <f>CUMPRINC(C14:Q14,5.5,125000,3,5,1)</f>
        <v>#VALUE!</v>
      </c>
      <c r="AH14" s="4" t="e">
        <f t="array" ref="AH14:AW14">CUMPRINC(C14:G14,5.5,125000,3,5,1)</f>
        <v>#VALUE!</v>
      </c>
      <c r="AI14" s="4" t="e">
        <v>#VALUE!</v>
      </c>
      <c r="AJ14" s="4" t="e">
        <v>#VALUE!</v>
      </c>
      <c r="AK14" s="4" t="e">
        <v>#VALUE!</v>
      </c>
      <c r="AL14" s="4" t="e">
        <v>#VALUE!</v>
      </c>
      <c r="AM14" s="4" t="e">
        <v>#VALUE!</v>
      </c>
      <c r="AN14" s="4" t="e">
        <v>#VALUE!</v>
      </c>
      <c r="AO14" s="4" t="e">
        <v>#VALUE!</v>
      </c>
      <c r="AP14" s="4" t="e">
        <v>#VALUE!</v>
      </c>
      <c r="AQ14" s="4" t="e">
        <v>#VALUE!</v>
      </c>
      <c r="AR14" s="4" t="e">
        <v>#VALUE!</v>
      </c>
      <c r="AS14" s="4" t="e">
        <v>#VALUE!</v>
      </c>
      <c r="AT14" s="4" t="e">
        <v>#VALUE!</v>
      </c>
      <c r="AU14" s="4" t="e">
        <v>#VALUE!</v>
      </c>
      <c r="AV14" s="4" t="e">
        <v>#VALUE!</v>
      </c>
      <c r="AW14" s="4" t="e">
        <v>#VALUE!</v>
      </c>
    </row>
    <row r="15" spans="1:49" x14ac:dyDescent="0.15">
      <c r="A15" s="35" t="s">
        <v>238</v>
      </c>
      <c r="B15" s="36" t="s">
        <v>541</v>
      </c>
      <c r="C15" s="4">
        <v>3.2</v>
      </c>
      <c r="D15" s="4">
        <v>-3</v>
      </c>
      <c r="E15" s="4">
        <v>2.4</v>
      </c>
      <c r="F15" s="4">
        <v>4.3</v>
      </c>
      <c r="G15" s="4">
        <v>9.9</v>
      </c>
      <c r="I15" s="19" t="s">
        <v>833</v>
      </c>
      <c r="J15" s="4" t="b">
        <v>1</v>
      </c>
      <c r="K15" s="4" t="e">
        <v>#N/A</v>
      </c>
      <c r="L15" s="4" t="e">
        <f>#VALUE!</f>
        <v>#VALUE!</v>
      </c>
      <c r="M15" s="28" t="e">
        <v>#DIV/0!</v>
      </c>
      <c r="N15" s="28" t="e">
        <v>#NAME?</v>
      </c>
      <c r="O15" s="28" t="e">
        <v>#NULL!</v>
      </c>
      <c r="P15" s="28" t="e">
        <v>#NUM!</v>
      </c>
      <c r="Q15" s="28" t="e">
        <v>#REF!</v>
      </c>
      <c r="R15" s="86">
        <f>DB(10000,1000,2,C15,3.6)</f>
        <v>1343.8753199999996</v>
      </c>
      <c r="S15" s="86" t="e">
        <f>DB(10000,1000,100,D15)</f>
        <v>#NUM!</v>
      </c>
      <c r="T15" s="86">
        <f>DB(10000,1000,100,E15,1.3)</f>
        <v>229.55916666666667</v>
      </c>
      <c r="U15" s="86">
        <f>DB(10000,1000,10.7,F15,TRUE)</f>
        <v>1239.9190895866668</v>
      </c>
      <c r="V15" s="86" t="e">
        <f>DB(17000,1800,10,G15,200)</f>
        <v>#NUM!</v>
      </c>
      <c r="W15" s="86" t="e">
        <f>DB(10000,1000,100,H15)</f>
        <v>#NUM!</v>
      </c>
      <c r="X15" s="86">
        <f>DB(10000,1000,100,I15,6)</f>
        <v>130.06907116454664</v>
      </c>
      <c r="Y15" s="86">
        <f>DB(10000,1000,100,J15)</f>
        <v>230</v>
      </c>
      <c r="Z15" s="86" t="e">
        <f>DB(10000,1000,100,K15)</f>
        <v>#N/A</v>
      </c>
      <c r="AA15" s="86" t="e">
        <f t="shared" ref="AA15:AF15" si="38">DB(10000,1000,100,L15)</f>
        <v>#VALUE!</v>
      </c>
      <c r="AB15" s="86" t="e">
        <f t="shared" si="38"/>
        <v>#DIV/0!</v>
      </c>
      <c r="AC15" s="86" t="e">
        <f t="shared" si="38"/>
        <v>#NAME?</v>
      </c>
      <c r="AD15" s="86" t="e">
        <f t="shared" si="38"/>
        <v>#NULL!</v>
      </c>
      <c r="AE15" s="86" t="e">
        <f t="shared" si="38"/>
        <v>#NUM!</v>
      </c>
      <c r="AF15" s="86" t="e">
        <f t="shared" si="38"/>
        <v>#REF!</v>
      </c>
      <c r="AG15" s="86">
        <f t="array" ref="AG15">DB(10000,1000,100,C15:I15)</f>
        <v>219.54167000000001</v>
      </c>
      <c r="AH15" s="4">
        <f t="array" ref="AH15:AW15">DB(10000,1000,100,C15:Q15)</f>
        <v>219.54167000000001</v>
      </c>
      <c r="AI15" s="4" t="e">
        <v>#NUM!</v>
      </c>
      <c r="AJ15" s="4">
        <v>224.71</v>
      </c>
      <c r="AK15" s="4">
        <v>214.49221159000001</v>
      </c>
      <c r="AL15" s="4">
        <v>190.93447252710638</v>
      </c>
      <c r="AM15" s="4" t="e">
        <v>#NUM!</v>
      </c>
      <c r="AN15" s="4">
        <v>128.55587509131212</v>
      </c>
      <c r="AO15" s="4">
        <v>230</v>
      </c>
      <c r="AP15" s="4" t="e">
        <v>#N/A</v>
      </c>
      <c r="AQ15" s="4" t="e">
        <v>#VALUE!</v>
      </c>
      <c r="AR15" s="4" t="e">
        <v>#DIV/0!</v>
      </c>
      <c r="AS15" s="4" t="e">
        <v>#NAME?</v>
      </c>
      <c r="AT15" s="4" t="e">
        <v>#NULL!</v>
      </c>
      <c r="AU15" s="4" t="e">
        <v>#NUM!</v>
      </c>
      <c r="AV15" s="4" t="e">
        <v>#REF!</v>
      </c>
      <c r="AW15" s="4" t="e">
        <v>#N/A</v>
      </c>
    </row>
    <row r="16" spans="1:49" x14ac:dyDescent="0.15">
      <c r="A16" s="35" t="s">
        <v>239</v>
      </c>
      <c r="B16" s="36" t="s">
        <v>541</v>
      </c>
      <c r="C16" s="4">
        <v>3.2</v>
      </c>
      <c r="D16" s="4">
        <v>-3</v>
      </c>
      <c r="E16" s="4">
        <v>7</v>
      </c>
      <c r="F16" s="4">
        <v>4</v>
      </c>
      <c r="G16" s="4">
        <v>9</v>
      </c>
      <c r="I16" s="19" t="s">
        <v>833</v>
      </c>
      <c r="J16" s="4" t="b">
        <v>1</v>
      </c>
      <c r="K16" s="4" t="e">
        <v>#N/A</v>
      </c>
      <c r="L16" s="4" t="e">
        <f>#VALUE!</f>
        <v>#VALUE!</v>
      </c>
      <c r="M16" s="28" t="e">
        <v>#DIV/0!</v>
      </c>
      <c r="N16" s="28" t="e">
        <v>#NAME?</v>
      </c>
      <c r="O16" s="28" t="e">
        <v>#NULL!</v>
      </c>
      <c r="P16" s="28" t="e">
        <v>#NUM!</v>
      </c>
      <c r="Q16" s="28" t="e">
        <v>#REF!</v>
      </c>
      <c r="R16" s="86">
        <f>DDB(10000,1000,100,C16,3)</f>
        <v>280.55568287635316</v>
      </c>
      <c r="S16" s="86" t="e">
        <f>DDB(10000,1000,100,D16)</f>
        <v>#NUM!</v>
      </c>
      <c r="T16" s="86">
        <f>DDB(10000,1000,100,E16,1.3)</f>
        <v>120.18389320496892</v>
      </c>
      <c r="U16" s="86">
        <f>DDB(10000,1000,100.3,F16,TRUE)</f>
        <v>96.748449433855143</v>
      </c>
      <c r="V16" s="86">
        <f>DDB(17000,1800,10,G16,200)</f>
        <v>0</v>
      </c>
      <c r="W16" s="4" t="e">
        <f t="shared" ref="W16:AF16" si="39">DDB(10000,1000,100,H16)</f>
        <v>#NUM!</v>
      </c>
      <c r="X16" s="86">
        <f>DDB(10000,1000,100,I16,6)</f>
        <v>127.74608237383444</v>
      </c>
      <c r="Y16" s="4">
        <f t="shared" si="39"/>
        <v>200</v>
      </c>
      <c r="Z16" s="4" t="e">
        <f t="shared" si="39"/>
        <v>#N/A</v>
      </c>
      <c r="AA16" s="4" t="e">
        <f t="shared" si="39"/>
        <v>#VALUE!</v>
      </c>
      <c r="AB16" s="4" t="e">
        <f t="shared" si="39"/>
        <v>#DIV/0!</v>
      </c>
      <c r="AC16" s="4" t="e">
        <f t="shared" si="39"/>
        <v>#NAME?</v>
      </c>
      <c r="AD16" s="4" t="e">
        <f t="shared" si="39"/>
        <v>#NULL!</v>
      </c>
      <c r="AE16" s="4" t="e">
        <f t="shared" si="39"/>
        <v>#NUM!</v>
      </c>
      <c r="AF16" s="4" t="e">
        <f t="shared" si="39"/>
        <v>#REF!</v>
      </c>
      <c r="AG16" s="86">
        <f t="array" ref="AG16">DDB(10000,1000,100,C16:I16)</f>
        <v>191.30545863270669</v>
      </c>
      <c r="AH16" s="4">
        <f t="array" ref="AH16:AW16">DDB(10000,1000,100,C16:Q16)</f>
        <v>191.30545863270669</v>
      </c>
      <c r="AI16" s="4" t="e">
        <v>#NUM!</v>
      </c>
      <c r="AJ16" s="4">
        <v>177.16847617279996</v>
      </c>
      <c r="AK16" s="4">
        <v>188.23840000000001</v>
      </c>
      <c r="AL16" s="4">
        <v>170.15260451635706</v>
      </c>
      <c r="AM16" s="4" t="e">
        <v>#NUM!</v>
      </c>
      <c r="AN16" s="4">
        <v>120.69294595577929</v>
      </c>
      <c r="AO16" s="4">
        <v>200</v>
      </c>
      <c r="AP16" s="4" t="e">
        <v>#N/A</v>
      </c>
      <c r="AQ16" s="4" t="e">
        <v>#VALUE!</v>
      </c>
      <c r="AR16" s="4" t="e">
        <v>#DIV/0!</v>
      </c>
      <c r="AS16" s="4" t="e">
        <v>#NAME?</v>
      </c>
      <c r="AT16" s="4" t="e">
        <v>#NULL!</v>
      </c>
      <c r="AU16" s="4" t="e">
        <v>#NUM!</v>
      </c>
      <c r="AV16" s="4" t="e">
        <v>#REF!</v>
      </c>
      <c r="AW16" s="4" t="e">
        <v>#N/A</v>
      </c>
    </row>
    <row r="17" spans="1:49" x14ac:dyDescent="0.15">
      <c r="A17" s="35" t="s">
        <v>240</v>
      </c>
      <c r="B17" s="36" t="s">
        <v>541</v>
      </c>
      <c r="C17" s="4">
        <v>-1</v>
      </c>
      <c r="D17" s="4">
        <v>6</v>
      </c>
      <c r="E17" s="4">
        <v>7</v>
      </c>
      <c r="F17" s="4">
        <v>4</v>
      </c>
      <c r="G17" s="4">
        <v>9</v>
      </c>
      <c r="I17" s="19" t="s">
        <v>820</v>
      </c>
      <c r="J17" s="4" t="b">
        <v>1</v>
      </c>
      <c r="K17" s="4" t="e">
        <v>#N/A</v>
      </c>
      <c r="L17" s="4" t="e">
        <f>#VALUE!</f>
        <v>#VALUE!</v>
      </c>
      <c r="M17" s="28" t="e">
        <v>#DIV/0!</v>
      </c>
      <c r="N17" s="28" t="e">
        <v>#NAME?</v>
      </c>
      <c r="O17" s="28" t="e">
        <v>#NULL!</v>
      </c>
      <c r="P17" s="28" t="e">
        <v>#NUM!</v>
      </c>
      <c r="Q17" s="28" t="e">
        <v>#REF!</v>
      </c>
      <c r="R17" s="88" t="e">
        <f t="shared" ref="R17:Z17" si="40">DISC(32000,43232,C17,0.014,1)</f>
        <v>#NUM!</v>
      </c>
      <c r="S17" s="88">
        <f t="shared" si="40"/>
        <v>-13.904065552503052</v>
      </c>
      <c r="T17" s="88">
        <f t="shared" si="40"/>
        <v>-16.226829594017094</v>
      </c>
      <c r="U17" s="88">
        <f t="shared" si="40"/>
        <v>-9.2585374694749696</v>
      </c>
      <c r="V17" s="88">
        <f t="shared" si="40"/>
        <v>-20.87235767704518</v>
      </c>
      <c r="W17" s="88" t="e">
        <f t="shared" si="40"/>
        <v>#NUM!</v>
      </c>
      <c r="X17" s="88">
        <f t="shared" si="40"/>
        <v>-76061.198784722234</v>
      </c>
      <c r="Y17" s="88" t="e">
        <f t="shared" si="40"/>
        <v>#VALUE!</v>
      </c>
      <c r="Z17" s="88" t="e">
        <f t="shared" si="40"/>
        <v>#N/A</v>
      </c>
      <c r="AA17" s="88" t="e">
        <f t="shared" ref="AA17:AF17" si="41">DISC(32000,43232,L17,0.014,1)</f>
        <v>#VALUE!</v>
      </c>
      <c r="AB17" s="88" t="e">
        <f t="shared" si="41"/>
        <v>#DIV/0!</v>
      </c>
      <c r="AC17" s="88" t="e">
        <f t="shared" si="41"/>
        <v>#NAME?</v>
      </c>
      <c r="AD17" s="88" t="e">
        <f t="shared" si="41"/>
        <v>#NULL!</v>
      </c>
      <c r="AE17" s="88" t="e">
        <f t="shared" si="41"/>
        <v>#NUM!</v>
      </c>
      <c r="AF17" s="88" t="e">
        <f t="shared" si="41"/>
        <v>#REF!</v>
      </c>
      <c r="AG17" s="87" t="e">
        <f>DISC(32000,43232,C17,C17:Q17,1)</f>
        <v>#VALUE!</v>
      </c>
      <c r="AH17" s="4" t="e">
        <f>DISC(32000,43232,D17,C17:G17,1)</f>
        <v>#VALUE!</v>
      </c>
      <c r="AI17" s="4" t="e">
        <f>DISC(32000,43232,C17:Q17,1400,1)</f>
        <v>#VALUE!</v>
      </c>
      <c r="AJ17" s="4" cm="1">
        <f t="array" ref="AJ17:AN17">DISC(32000,43232,13567,0.01,{0,1,2,3,4})</f>
        <v>-44116.307469966581</v>
      </c>
      <c r="AK17" s="4">
        <v>-44118.08313301282</v>
      </c>
      <c r="AL17" s="4">
        <v>-43483.942307692305</v>
      </c>
      <c r="AM17" s="4">
        <v>-44087.885950854703</v>
      </c>
      <c r="AN17" s="4">
        <v>-44116.307469966581</v>
      </c>
    </row>
    <row r="18" spans="1:49" x14ac:dyDescent="0.15">
      <c r="A18" s="35" t="s">
        <v>241</v>
      </c>
      <c r="B18" s="36" t="s">
        <v>541</v>
      </c>
      <c r="C18" s="4">
        <v>3.2</v>
      </c>
      <c r="D18" s="4">
        <v>0</v>
      </c>
      <c r="E18" s="4">
        <v>7</v>
      </c>
      <c r="F18" s="4">
        <v>4</v>
      </c>
      <c r="G18" s="4">
        <v>9</v>
      </c>
      <c r="I18" s="19" t="s">
        <v>833</v>
      </c>
      <c r="J18" s="4" t="b">
        <v>1</v>
      </c>
      <c r="K18" s="4" t="e">
        <v>#N/A</v>
      </c>
      <c r="L18" s="4" t="e">
        <f>#VALUE!</f>
        <v>#VALUE!</v>
      </c>
      <c r="M18" s="28" t="e">
        <v>#DIV/0!</v>
      </c>
      <c r="N18" s="28" t="e">
        <v>#NAME?</v>
      </c>
      <c r="O18" s="28" t="e">
        <v>#NULL!</v>
      </c>
      <c r="P18" s="28" t="e">
        <v>#NUM!</v>
      </c>
      <c r="Q18" s="28" t="e">
        <v>#REF!</v>
      </c>
      <c r="R18" s="91">
        <f>DOLLARDE(1.2345,C18)</f>
        <v>1.7816666666666663</v>
      </c>
      <c r="S18" s="90" t="e">
        <f t="shared" ref="S18:AF18" si="42">DOLLARDE(1.2345,D18)</f>
        <v>#DIV/0!</v>
      </c>
      <c r="T18" s="90">
        <f t="shared" si="42"/>
        <v>1.335</v>
      </c>
      <c r="U18" s="90">
        <f t="shared" si="42"/>
        <v>1.5862499999999997</v>
      </c>
      <c r="V18" s="90">
        <f t="shared" si="42"/>
        <v>1.2605555555555554</v>
      </c>
      <c r="W18" s="90" t="e">
        <f t="shared" si="42"/>
        <v>#DIV/0!</v>
      </c>
      <c r="X18" s="90">
        <f t="shared" si="42"/>
        <v>1.9019230769230766</v>
      </c>
      <c r="Y18" s="90" t="e">
        <f t="shared" si="42"/>
        <v>#VALUE!</v>
      </c>
      <c r="Z18" s="90" t="e">
        <f t="shared" si="42"/>
        <v>#N/A</v>
      </c>
      <c r="AA18" s="90" t="e">
        <f t="shared" si="42"/>
        <v>#VALUE!</v>
      </c>
      <c r="AB18" s="90" t="e">
        <f t="shared" si="42"/>
        <v>#DIV/0!</v>
      </c>
      <c r="AC18" s="90" t="e">
        <f t="shared" si="42"/>
        <v>#NAME?</v>
      </c>
      <c r="AD18" s="90" t="e">
        <f t="shared" si="42"/>
        <v>#NULL!</v>
      </c>
      <c r="AE18" s="90" t="e">
        <f t="shared" si="42"/>
        <v>#NUM!</v>
      </c>
      <c r="AF18" s="90" t="e">
        <f t="shared" si="42"/>
        <v>#REF!</v>
      </c>
      <c r="AG18" s="90">
        <f t="array" ref="AG18">DOLLARDE(1.2345,{5,2,3})</f>
        <v>1.4689999999999999</v>
      </c>
      <c r="AH18" s="4" cm="1">
        <f t="array" ref="AH18:AJ18">DOLLARDE(1.2345,{1,2,3})</f>
        <v>1.2344999999999999</v>
      </c>
      <c r="AI18" s="4">
        <v>2.1724999999999994</v>
      </c>
      <c r="AJ18" s="4">
        <v>1.7816666666666663</v>
      </c>
    </row>
    <row r="19" spans="1:49" x14ac:dyDescent="0.15">
      <c r="A19" s="35" t="s">
        <v>242</v>
      </c>
      <c r="B19" s="36" t="s">
        <v>541</v>
      </c>
      <c r="C19" s="4">
        <v>0</v>
      </c>
      <c r="D19" s="4">
        <v>6</v>
      </c>
      <c r="E19" s="4">
        <v>7</v>
      </c>
      <c r="F19" s="4">
        <v>4</v>
      </c>
      <c r="G19" s="4">
        <v>9</v>
      </c>
      <c r="I19" s="19" t="s">
        <v>820</v>
      </c>
      <c r="J19" s="4" t="b">
        <v>1</v>
      </c>
      <c r="K19" s="4" t="e">
        <v>#N/A</v>
      </c>
      <c r="L19" s="4" t="e">
        <f>#VALUE!</f>
        <v>#VALUE!</v>
      </c>
      <c r="M19" s="28" t="e">
        <v>#DIV/0!</v>
      </c>
      <c r="N19" s="28" t="e">
        <v>#NAME?</v>
      </c>
      <c r="O19" s="28" t="e">
        <v>#NULL!</v>
      </c>
      <c r="P19" s="28" t="e">
        <v>#NUM!</v>
      </c>
      <c r="Q19" s="28" t="e">
        <v>#REF!</v>
      </c>
      <c r="R19" s="90">
        <f>DOLLARFR(R18,C18)</f>
        <v>1.2344999999999999</v>
      </c>
      <c r="S19" s="90" t="e">
        <f t="shared" ref="S19:AF19" si="43">DOLLARFR(S18,D18)</f>
        <v>#DIV/0!</v>
      </c>
      <c r="T19" s="90">
        <f t="shared" si="43"/>
        <v>1.2344999999999999</v>
      </c>
      <c r="U19" s="90">
        <f t="shared" si="43"/>
        <v>1.2344999999999999</v>
      </c>
      <c r="V19" s="90">
        <f t="shared" si="43"/>
        <v>1.2344999999999999</v>
      </c>
      <c r="W19" s="90" t="e">
        <f t="shared" si="43"/>
        <v>#DIV/0!</v>
      </c>
      <c r="X19" s="90">
        <f>DOLLARFR(X18,I18)</f>
        <v>1.2344999999999999</v>
      </c>
      <c r="Y19" s="90" t="e">
        <f>DOLLARFR(Y18,J18)</f>
        <v>#VALUE!</v>
      </c>
      <c r="Z19" s="90" t="e">
        <f t="shared" si="43"/>
        <v>#N/A</v>
      </c>
      <c r="AA19" s="90" t="e">
        <f t="shared" si="43"/>
        <v>#VALUE!</v>
      </c>
      <c r="AB19" s="90" t="e">
        <f t="shared" si="43"/>
        <v>#DIV/0!</v>
      </c>
      <c r="AC19" s="90" t="e">
        <f t="shared" si="43"/>
        <v>#NAME?</v>
      </c>
      <c r="AD19" s="90" t="e">
        <f t="shared" si="43"/>
        <v>#NULL!</v>
      </c>
      <c r="AE19" s="90" t="e">
        <f t="shared" si="43"/>
        <v>#NUM!</v>
      </c>
      <c r="AF19" s="90" t="e">
        <f t="shared" si="43"/>
        <v>#REF!</v>
      </c>
      <c r="AG19" s="90">
        <f t="array" ref="AG19">DOLLARFR(AG18,{5,4,3})</f>
        <v>1.2344999999999999</v>
      </c>
      <c r="AH19" s="4" cm="1">
        <f t="array" ref="AH19:AJ19">DOLLARFR(AH18,{1,2,3})</f>
        <v>1.2344999999999999</v>
      </c>
      <c r="AI19" s="4">
        <v>1.0468999999999999</v>
      </c>
      <c r="AJ19" s="4">
        <v>1.0703499999999999</v>
      </c>
    </row>
    <row r="20" spans="1:49" x14ac:dyDescent="0.15">
      <c r="A20" s="35" t="s">
        <v>243</v>
      </c>
      <c r="B20" s="36" t="s">
        <v>541</v>
      </c>
      <c r="C20" s="4">
        <v>33000.6</v>
      </c>
      <c r="D20" s="4">
        <v>33030.6</v>
      </c>
      <c r="E20" s="4">
        <v>440040</v>
      </c>
      <c r="F20" s="4">
        <v>4</v>
      </c>
      <c r="G20" s="4">
        <v>1</v>
      </c>
      <c r="I20" s="19" t="s">
        <v>820</v>
      </c>
      <c r="J20" s="4" t="b">
        <v>1</v>
      </c>
      <c r="K20" s="4" t="e">
        <v>#N/A</v>
      </c>
      <c r="L20" s="4" t="e">
        <f>#VALUE!</f>
        <v>#VALUE!</v>
      </c>
      <c r="M20" s="28" t="e">
        <v>#DIV/0!</v>
      </c>
      <c r="N20" s="28" t="e">
        <v>#NAME?</v>
      </c>
      <c r="O20" s="28" t="e">
        <v>#NULL!</v>
      </c>
      <c r="P20" s="28" t="e">
        <v>#NUM!</v>
      </c>
      <c r="Q20" s="28" t="e">
        <v>#REF!</v>
      </c>
      <c r="R20" s="85">
        <f>DURATION(32000,43232,9%,8%,1)</f>
        <v>11.816961230148491</v>
      </c>
      <c r="S20" s="71" t="e">
        <f>DURATION("31/12/2900","31/12/2050",2%,9%,1,2)</f>
        <v>#NUM!</v>
      </c>
      <c r="T20" s="71">
        <f>DURATION("31/12/2030","31/12/2050",9,9,1,2)</f>
        <v>1.1111111111111109</v>
      </c>
      <c r="U20" s="71">
        <f>DURATION("31/08/2030","31/12/2050",3,4,4,1)</f>
        <v>0.33152173913043448</v>
      </c>
      <c r="V20" s="71">
        <f>DURATION("31/08/2030","31/12/2050",3%,4%,4,0)</f>
        <v>14.741359032288376</v>
      </c>
      <c r="W20" s="73">
        <f>DURATION("15/08/2030","15/12/2050",1,4%,4,4)</f>
        <v>9.1834962276269465</v>
      </c>
      <c r="X20" s="71" t="e">
        <f>DURATION("31/08/2030","31/12/2050",TRUE,4,0,1)</f>
        <v>#VALUE!</v>
      </c>
      <c r="Y20" s="71" t="e">
        <f>DURATION("31/08/2030","31/12/2050",4%,8%,4,J20)</f>
        <v>#VALUE!</v>
      </c>
      <c r="Z20" s="71" t="e">
        <f t="shared" ref="Z20:AF20" si="44">DURATION("31/08/2030","31/12/2050",4%,8%,4,K20)</f>
        <v>#N/A</v>
      </c>
      <c r="AA20" s="71" t="e">
        <f t="shared" si="44"/>
        <v>#VALUE!</v>
      </c>
      <c r="AB20" s="71" t="e">
        <f t="shared" si="44"/>
        <v>#DIV/0!</v>
      </c>
      <c r="AC20" s="71" t="e">
        <f t="shared" si="44"/>
        <v>#NAME?</v>
      </c>
      <c r="AD20" s="71" t="e">
        <f t="shared" si="44"/>
        <v>#NULL!</v>
      </c>
      <c r="AE20" s="71" t="e">
        <f t="shared" si="44"/>
        <v>#NUM!</v>
      </c>
      <c r="AF20" s="71" t="e">
        <f t="shared" si="44"/>
        <v>#REF!</v>
      </c>
      <c r="AG20" s="4">
        <f t="array" ref="AG20">DURATION("31/08/2030","31/12/2050",3%,3%,4,{1,2})</f>
        <v>15.216618543318745</v>
      </c>
      <c r="AH20" s="4">
        <f t="array" ref="AH20:AK20">DURATION("31/08/2030","31/12/2050",3%,9%,4,{1,4})</f>
        <v>12.036128376645907</v>
      </c>
      <c r="AI20" s="4">
        <v>12.037939970848806</v>
      </c>
      <c r="AJ20" s="4" t="e">
        <v>#N/A</v>
      </c>
      <c r="AK20" s="4" t="e">
        <v>#N/A</v>
      </c>
      <c r="AL20" s="4">
        <f t="array" ref="AL20:AW20">DURATION("31/08/2030","31/12/2050",3%,5%,4,{1,0,4,1})</f>
        <v>14.23673550247579</v>
      </c>
      <c r="AM20" s="4">
        <v>14.23854709667869</v>
      </c>
      <c r="AN20" s="4">
        <v>14.23854709667869</v>
      </c>
      <c r="AO20" s="4">
        <v>14.23673550247579</v>
      </c>
      <c r="AP20" s="4" t="e">
        <v>#N/A</v>
      </c>
      <c r="AQ20" s="4" t="e">
        <v>#N/A</v>
      </c>
      <c r="AR20" s="4" t="e">
        <v>#N/A</v>
      </c>
      <c r="AS20" s="4" t="e">
        <v>#N/A</v>
      </c>
      <c r="AT20" s="4" t="e">
        <v>#N/A</v>
      </c>
      <c r="AU20" s="4" t="e">
        <v>#N/A</v>
      </c>
      <c r="AV20" s="4" t="e">
        <v>#N/A</v>
      </c>
      <c r="AW20" s="4" t="e">
        <v>#N/A</v>
      </c>
    </row>
    <row r="21" spans="1:49" x14ac:dyDescent="0.15">
      <c r="A21" s="35" t="s">
        <v>244</v>
      </c>
      <c r="B21" s="36" t="s">
        <v>541</v>
      </c>
      <c r="C21" s="4">
        <v>-0.3</v>
      </c>
      <c r="D21" s="4">
        <v>3.2</v>
      </c>
      <c r="E21" s="4">
        <v>7</v>
      </c>
      <c r="F21" s="4">
        <v>4</v>
      </c>
      <c r="G21" s="4">
        <v>9</v>
      </c>
      <c r="I21" s="19" t="s">
        <v>820</v>
      </c>
      <c r="J21" s="4" t="b">
        <v>1</v>
      </c>
      <c r="K21" s="4" t="e">
        <v>#N/A</v>
      </c>
      <c r="L21" s="4" t="e">
        <f>#VALUE!</f>
        <v>#VALUE!</v>
      </c>
      <c r="M21" s="28" t="e">
        <v>#DIV/0!</v>
      </c>
      <c r="N21" s="28" t="e">
        <v>#NAME?</v>
      </c>
      <c r="O21" s="28" t="e">
        <v>#NULL!</v>
      </c>
      <c r="P21" s="28" t="e">
        <v>#NUM!</v>
      </c>
      <c r="Q21" s="28" t="e">
        <v>#REF!</v>
      </c>
      <c r="R21" s="4" t="e">
        <f>EFFECT(C21,D21)</f>
        <v>#NUM!</v>
      </c>
      <c r="S21" s="4">
        <f t="shared" ref="S21:AF21" si="45">EFFECT(D21,E21)</f>
        <v>12.948095820731659</v>
      </c>
      <c r="T21" s="4">
        <f t="shared" si="45"/>
        <v>56.19140625</v>
      </c>
      <c r="U21" s="4">
        <f t="shared" si="45"/>
        <v>26.372066460326007</v>
      </c>
      <c r="V21" s="4" t="e">
        <f>EFFECT(G21,H21)</f>
        <v>#NUM!</v>
      </c>
      <c r="W21" s="4" t="e">
        <f>EFFECT(H21,I21)</f>
        <v>#NUM!</v>
      </c>
      <c r="X21" s="4">
        <f>EFFECT(G21,I21)</f>
        <v>8092.070124509477</v>
      </c>
      <c r="Y21" s="4" t="e">
        <f>EFFECT(J21,F21)</f>
        <v>#VALUE!</v>
      </c>
      <c r="Z21" s="4" t="e">
        <f t="shared" si="45"/>
        <v>#N/A</v>
      </c>
      <c r="AA21" s="4" t="e">
        <f t="shared" si="45"/>
        <v>#VALUE!</v>
      </c>
      <c r="AB21" s="4" t="e">
        <f t="shared" si="45"/>
        <v>#DIV/0!</v>
      </c>
      <c r="AC21" s="4" t="e">
        <f t="shared" si="45"/>
        <v>#NAME?</v>
      </c>
      <c r="AD21" s="4" t="e">
        <f t="shared" si="45"/>
        <v>#NULL!</v>
      </c>
      <c r="AE21" s="4" t="e">
        <f t="shared" si="45"/>
        <v>#NUM!</v>
      </c>
      <c r="AF21" s="4" t="e">
        <f t="shared" si="45"/>
        <v>#REF!</v>
      </c>
      <c r="AG21" s="4" t="e">
        <f>EFFECT(C21:Q21,D21)</f>
        <v>#VALUE!</v>
      </c>
      <c r="AH21" s="4" t="e">
        <f t="array" ref="AH21:AW21">EFFECT(D21:G21,E21)</f>
        <v>#VALUE!</v>
      </c>
      <c r="AI21" s="4" t="e">
        <v>#VALUE!</v>
      </c>
      <c r="AJ21" s="4" t="e">
        <v>#VALUE!</v>
      </c>
      <c r="AK21" s="4" t="e">
        <v>#VALUE!</v>
      </c>
      <c r="AL21" s="4" t="e">
        <v>#VALUE!</v>
      </c>
      <c r="AM21" s="4" t="e">
        <v>#VALUE!</v>
      </c>
      <c r="AN21" s="4" t="e">
        <v>#VALUE!</v>
      </c>
      <c r="AO21" s="4" t="e">
        <v>#VALUE!</v>
      </c>
      <c r="AP21" s="4" t="e">
        <v>#VALUE!</v>
      </c>
      <c r="AQ21" s="4" t="e">
        <v>#VALUE!</v>
      </c>
      <c r="AR21" s="4" t="e">
        <v>#VALUE!</v>
      </c>
      <c r="AS21" s="4" t="e">
        <v>#VALUE!</v>
      </c>
      <c r="AT21" s="4" t="e">
        <v>#VALUE!</v>
      </c>
      <c r="AU21" s="4" t="e">
        <v>#VALUE!</v>
      </c>
      <c r="AV21" s="4" t="e">
        <v>#VALUE!</v>
      </c>
      <c r="AW21" s="4" t="e">
        <v>#VALUE!</v>
      </c>
    </row>
    <row r="22" spans="1:49" x14ac:dyDescent="0.15">
      <c r="A22" s="35" t="s">
        <v>245</v>
      </c>
      <c r="B22" s="36" t="s">
        <v>541</v>
      </c>
      <c r="C22" s="4">
        <v>3.2</v>
      </c>
      <c r="D22" s="4">
        <v>6</v>
      </c>
      <c r="E22" s="4">
        <v>7</v>
      </c>
      <c r="F22" s="4">
        <v>4</v>
      </c>
      <c r="G22" s="4">
        <v>9</v>
      </c>
      <c r="I22" s="4" t="s">
        <v>32</v>
      </c>
      <c r="J22" s="4" t="b">
        <v>1</v>
      </c>
      <c r="K22" s="4" t="e">
        <v>#N/A</v>
      </c>
      <c r="L22" s="4" t="e">
        <f>#VALUE!</f>
        <v>#VALUE!</v>
      </c>
      <c r="M22" s="28" t="e">
        <v>#DIV/0!</v>
      </c>
      <c r="N22" s="28" t="e">
        <v>#NAME?</v>
      </c>
      <c r="O22" s="28" t="e">
        <v>#NULL!</v>
      </c>
      <c r="P22" s="28" t="e">
        <v>#NUM!</v>
      </c>
      <c r="Q22" s="28" t="e">
        <v>#REF!</v>
      </c>
      <c r="R22" s="86">
        <f>FV(C22, -D22, E22)</f>
        <v>2.1871014779833633</v>
      </c>
      <c r="S22" s="4">
        <f t="shared" ref="S22:AE22" si="46">FV(D22, -E22, F22)</f>
        <v>0.66666585715621407</v>
      </c>
      <c r="T22" s="4">
        <f t="shared" si="46"/>
        <v>1.285400390625</v>
      </c>
      <c r="U22" s="4">
        <f t="shared" si="46"/>
        <v>0</v>
      </c>
      <c r="V22" s="4" t="e" vm="8">
        <f t="shared" si="46"/>
        <v>#VALUE!</v>
      </c>
      <c r="W22" s="4" t="e" vm="8">
        <f t="shared" si="46"/>
        <v>#VALUE!</v>
      </c>
      <c r="X22" s="4" t="e" vm="8">
        <f>FV(I22, -J22, K22)</f>
        <v>#VALUE!</v>
      </c>
      <c r="Y22" s="4" t="e">
        <f t="shared" si="46"/>
        <v>#N/A</v>
      </c>
      <c r="Z22" s="4" t="e">
        <f t="shared" si="46"/>
        <v>#N/A</v>
      </c>
      <c r="AA22" s="4" t="e">
        <f t="shared" si="46"/>
        <v>#VALUE!</v>
      </c>
      <c r="AB22" s="4" t="e">
        <f t="shared" si="46"/>
        <v>#DIV/0!</v>
      </c>
      <c r="AC22" s="4" t="e">
        <f t="shared" si="46"/>
        <v>#NAME?</v>
      </c>
      <c r="AD22" s="4" t="e">
        <f t="shared" si="46"/>
        <v>#NULL!</v>
      </c>
      <c r="AE22" s="4" t="e">
        <f t="shared" si="46"/>
        <v>#NUM!</v>
      </c>
      <c r="AF22" s="4" t="e">
        <f>FV(Q22, -R22, S22)</f>
        <v>#REF!</v>
      </c>
      <c r="AG22" s="4">
        <f t="array" ref="AG22">FV(C22:G22, 10, 5.6)</f>
        <v>-2989032.9212936191</v>
      </c>
      <c r="AH22" s="4">
        <f t="array" ref="AH22:AW22">FV(C22:G22, 3, 2)</f>
        <v>-45.68</v>
      </c>
      <c r="AI22" s="4">
        <v>-114</v>
      </c>
      <c r="AJ22" s="4">
        <v>-146</v>
      </c>
      <c r="AK22" s="4">
        <v>-62</v>
      </c>
      <c r="AL22" s="4">
        <v>-222</v>
      </c>
      <c r="AM22" s="4" t="e">
        <v>#N/A</v>
      </c>
      <c r="AN22" s="4" t="e">
        <v>#N/A</v>
      </c>
      <c r="AO22" s="4" t="e">
        <v>#N/A</v>
      </c>
      <c r="AP22" s="4" t="e">
        <v>#N/A</v>
      </c>
      <c r="AQ22" s="4" t="e">
        <v>#N/A</v>
      </c>
      <c r="AR22" s="4" t="e">
        <v>#N/A</v>
      </c>
      <c r="AS22" s="4" t="e">
        <v>#N/A</v>
      </c>
      <c r="AT22" s="4" t="e">
        <v>#N/A</v>
      </c>
      <c r="AU22" s="4" t="e">
        <v>#N/A</v>
      </c>
      <c r="AV22" s="4" t="e">
        <v>#N/A</v>
      </c>
      <c r="AW22" s="4" t="e">
        <v>#N/A</v>
      </c>
    </row>
    <row r="23" spans="1:49" x14ac:dyDescent="0.15">
      <c r="A23" s="35" t="s">
        <v>246</v>
      </c>
      <c r="B23" s="36" t="s">
        <v>541</v>
      </c>
      <c r="C23" s="4">
        <v>3.2</v>
      </c>
      <c r="D23" s="4">
        <v>6</v>
      </c>
      <c r="E23" s="4">
        <v>7</v>
      </c>
      <c r="F23" s="4">
        <v>4</v>
      </c>
      <c r="G23" s="4">
        <v>9</v>
      </c>
      <c r="I23" s="19" t="s">
        <v>820</v>
      </c>
      <c r="J23" s="4" t="b">
        <v>1</v>
      </c>
      <c r="K23" s="4" t="e">
        <v>#N/A</v>
      </c>
      <c r="L23" s="4" t="e">
        <f>#VALUE!</f>
        <v>#VALUE!</v>
      </c>
      <c r="M23" s="28" t="e">
        <v>#DIV/0!</v>
      </c>
      <c r="N23" s="28" t="e">
        <v>#NAME?</v>
      </c>
      <c r="O23" s="28" t="e">
        <v>#NULL!</v>
      </c>
      <c r="P23" s="28" t="e">
        <v>#NUM!</v>
      </c>
      <c r="Q23" s="28" t="e">
        <v>#REF!</v>
      </c>
      <c r="R23" s="19">
        <f>FVSCHEDULE(C23,D23:E23)</f>
        <v>179.20000000000002</v>
      </c>
      <c r="S23" s="19">
        <f>FVSCHEDULE(D23,E23:F23)</f>
        <v>240</v>
      </c>
      <c r="T23" s="19">
        <f t="shared" ref="T23:W23" si="47">FVSCHEDULE(E23,F23:G23)</f>
        <v>350</v>
      </c>
      <c r="U23" s="19">
        <f t="shared" si="47"/>
        <v>40</v>
      </c>
      <c r="V23" s="19" t="e">
        <f t="shared" si="47"/>
        <v>#VALUE!</v>
      </c>
      <c r="W23" s="19" t="e">
        <f t="shared" si="47"/>
        <v>#VALUE!</v>
      </c>
      <c r="X23" s="19" t="e">
        <f>FVSCHEDULE(I23,J23:K23)</f>
        <v>#VALUE!</v>
      </c>
      <c r="Y23" s="19" t="e">
        <f>FVSCHEDULE(J23,K23:L23)</f>
        <v>#VALUE!</v>
      </c>
      <c r="Z23" s="19" t="e">
        <f t="shared" ref="Z23" si="48">FVSCHEDULE(K23,L23:M23)</f>
        <v>#N/A</v>
      </c>
      <c r="AA23" s="19" t="e">
        <f t="shared" ref="AA23:AB23" si="49">FVSCHEDULE(L23,M23:N23)</f>
        <v>#VALUE!</v>
      </c>
      <c r="AB23" s="19" t="e">
        <f t="shared" si="49"/>
        <v>#DIV/0!</v>
      </c>
      <c r="AC23" s="19" t="e">
        <f t="shared" ref="AC23" si="50">FVSCHEDULE(N23,O23:P23)</f>
        <v>#NAME?</v>
      </c>
      <c r="AD23" s="19" t="e">
        <f t="shared" ref="AD23" si="51">FVSCHEDULE(O23,P23:Q23)</f>
        <v>#NULL!</v>
      </c>
      <c r="AE23" s="19" t="e">
        <f t="shared" ref="AE23" si="52">FVSCHEDULE(P23,Q23:R23)</f>
        <v>#NUM!</v>
      </c>
      <c r="AF23" s="19" t="e">
        <f>FVSCHEDULE(Q23,R23:S23)</f>
        <v>#REF!</v>
      </c>
      <c r="AG23" s="4">
        <f t="array" ref="AG23">FVSCHEDULE({2,4},{1,5})</f>
        <v>24</v>
      </c>
      <c r="AH23" s="4" cm="1">
        <f t="array" ref="AH23:AI23">FVSCHEDULE({7.8,9},{1,2})</f>
        <v>46.8</v>
      </c>
      <c r="AI23" s="4">
        <v>54</v>
      </c>
      <c r="AJ23" s="4">
        <f>FVSCHEDULE(H23,{1,2})</f>
        <v>0</v>
      </c>
      <c r="AK23" s="4">
        <f>FVSCHEDULE(I23,{1,2})</f>
        <v>196476</v>
      </c>
      <c r="AL23" s="4" t="e">
        <f>FVSCHEDULE(E23,F23:I23)</f>
        <v>#VALUE!</v>
      </c>
      <c r="AM23" s="4">
        <f>FVSCHEDULE(F23,G23:H23)</f>
        <v>40</v>
      </c>
      <c r="AN23" s="4" t="e">
        <f>FVSCHEDULE(G23,H23:I23)</f>
        <v>#VALUE!</v>
      </c>
      <c r="AO23" s="4" cm="1">
        <f t="array" ref="AO23:AP23">FVSCHEDULE({1,2},G23:H23)</f>
        <v>10</v>
      </c>
      <c r="AP23" s="4">
        <v>20</v>
      </c>
      <c r="AQ23" s="4" t="e" cm="1">
        <f t="array" ref="AQ23:AR23">FVSCHEDULE({1,2},G23:I23)</f>
        <v>#VALUE!</v>
      </c>
      <c r="AR23" s="4" t="e">
        <v>#VALUE!</v>
      </c>
      <c r="AS23" s="4" t="e" cm="1">
        <f t="array" ref="AS23:AT23">FVSCHEDULE({1,2},{1,TRUE})</f>
        <v>#VALUE!</v>
      </c>
      <c r="AT23" s="4" t="e">
        <v>#VALUE!</v>
      </c>
      <c r="AU23" s="4">
        <f>FVSCHEDULE(I23,{1,3})</f>
        <v>261968</v>
      </c>
    </row>
    <row r="24" spans="1:49" x14ac:dyDescent="0.15">
      <c r="A24" s="35" t="s">
        <v>247</v>
      </c>
      <c r="B24" s="36" t="s">
        <v>541</v>
      </c>
      <c r="C24" s="4">
        <v>3.2</v>
      </c>
      <c r="D24" s="4">
        <v>6</v>
      </c>
      <c r="E24" s="4">
        <v>7</v>
      </c>
      <c r="F24" s="4">
        <v>4</v>
      </c>
      <c r="G24" s="4">
        <v>9</v>
      </c>
      <c r="I24" s="19" t="s">
        <v>820</v>
      </c>
      <c r="J24" s="4" t="b">
        <v>1</v>
      </c>
      <c r="K24" s="4" t="e">
        <v>#N/A</v>
      </c>
      <c r="L24" s="4" t="e">
        <f>#VALUE!</f>
        <v>#VALUE!</v>
      </c>
      <c r="M24" s="28" t="e">
        <v>#DIV/0!</v>
      </c>
      <c r="N24" s="28" t="e">
        <v>#NAME?</v>
      </c>
      <c r="O24" s="28" t="e">
        <v>#NULL!</v>
      </c>
      <c r="P24" s="28" t="e">
        <v>#NUM!</v>
      </c>
      <c r="Q24" s="28" t="e">
        <v>#REF!</v>
      </c>
      <c r="R24" s="87">
        <f>INTRATE(32000,43232,C24,1400,1)</f>
        <v>14.194411057692307</v>
      </c>
      <c r="S24" s="87">
        <f t="shared" ref="S24:AE24" si="53">INTRATE(32000,43232,D24,1400,1)</f>
        <v>7.5551771723646732</v>
      </c>
      <c r="T24" s="87">
        <f t="shared" si="53"/>
        <v>6.4712206196581201</v>
      </c>
      <c r="U24" s="87">
        <f t="shared" si="53"/>
        <v>11.349025106837608</v>
      </c>
      <c r="V24" s="87">
        <f t="shared" si="53"/>
        <v>5.0259452160493829</v>
      </c>
      <c r="W24" s="87" t="e">
        <f>INTRATE(32000,43232,H24,1400,1)</f>
        <v>#NUM!</v>
      </c>
      <c r="X24" s="87">
        <f>INTRATE(32000,43232,I24,1400,1)</f>
        <v>-3.1128414555493436E-2</v>
      </c>
      <c r="Y24" s="87" t="e">
        <f>INTRATE(32000,43232,J24,1400,1)</f>
        <v>#VALUE!</v>
      </c>
      <c r="Z24" s="87" t="e">
        <f t="shared" si="53"/>
        <v>#N/A</v>
      </c>
      <c r="AA24" s="87" t="e">
        <f t="shared" si="53"/>
        <v>#VALUE!</v>
      </c>
      <c r="AB24" s="87" t="e">
        <f t="shared" si="53"/>
        <v>#DIV/0!</v>
      </c>
      <c r="AC24" s="87" t="e">
        <f t="shared" si="53"/>
        <v>#NAME?</v>
      </c>
      <c r="AD24" s="87" t="e">
        <f t="shared" si="53"/>
        <v>#NULL!</v>
      </c>
      <c r="AE24" s="87" t="e">
        <f t="shared" si="53"/>
        <v>#NUM!</v>
      </c>
      <c r="AF24" s="87" t="e">
        <f>INTRATE(32000,43232,Q24,1400,1)</f>
        <v>#REF!</v>
      </c>
      <c r="AG24" s="87" t="e">
        <f>INTRATE(32000,43232,R24,C24:Q24,1)</f>
        <v>#VALUE!</v>
      </c>
      <c r="AH24" s="4" t="e">
        <f>INTRATE(32000,43232,R24,C24:G24,1)</f>
        <v>#VALUE!</v>
      </c>
      <c r="AI24" s="4" t="e">
        <f>INTRATE(32000,43232,C24:Q24,1400,1)</f>
        <v>#VALUE!</v>
      </c>
      <c r="AJ24" s="4" cm="1">
        <f t="array" ref="AJ24:AN24">INTRATE(32000,43232,C24,1400,{0,1,2,3,4})</f>
        <v>14.193839761539156</v>
      </c>
      <c r="AK24" s="4">
        <v>14.194411057692307</v>
      </c>
      <c r="AL24" s="4">
        <v>13.990384615384613</v>
      </c>
      <c r="AM24" s="4">
        <v>14.184695512820511</v>
      </c>
      <c r="AN24" s="4">
        <v>14.193839761539156</v>
      </c>
    </row>
    <row r="25" spans="1:49" x14ac:dyDescent="0.15">
      <c r="A25" s="35" t="s">
        <v>248</v>
      </c>
      <c r="B25" s="36" t="s">
        <v>541</v>
      </c>
      <c r="C25" s="4">
        <v>3</v>
      </c>
      <c r="D25" s="4">
        <v>6</v>
      </c>
      <c r="E25" s="4">
        <v>7</v>
      </c>
      <c r="F25" s="4">
        <v>4</v>
      </c>
      <c r="G25" s="4">
        <v>9</v>
      </c>
      <c r="I25" s="4" t="s">
        <v>32</v>
      </c>
      <c r="J25" s="4" t="b">
        <v>1</v>
      </c>
      <c r="K25" s="4" t="e">
        <v>#N/A</v>
      </c>
      <c r="L25" s="4" t="e">
        <f>#VALUE!</f>
        <v>#VALUE!</v>
      </c>
      <c r="M25" s="28" t="e">
        <v>#DIV/0!</v>
      </c>
      <c r="N25" s="28" t="e">
        <v>#NAME?</v>
      </c>
      <c r="O25" s="28" t="e">
        <v>#NULL!</v>
      </c>
      <c r="P25" s="28" t="e">
        <v>#NUM!</v>
      </c>
      <c r="Q25" s="28" t="e">
        <v>#REF!</v>
      </c>
      <c r="R25" s="4">
        <f>IPMT(C25/12, 1, 3*12, 8000)</f>
        <v>-2000</v>
      </c>
      <c r="S25" s="4">
        <f t="shared" ref="S25:AE25" si="54">IPMT(D25/12, 1, 3*12, 8000)</f>
        <v>-4000</v>
      </c>
      <c r="T25" s="4">
        <f t="shared" si="54"/>
        <v>-4666.666666666667</v>
      </c>
      <c r="U25" s="4">
        <f t="shared" si="54"/>
        <v>-2666.6666666666665</v>
      </c>
      <c r="V25" s="4">
        <f t="shared" si="54"/>
        <v>-6000</v>
      </c>
      <c r="W25" s="4">
        <f t="shared" si="54"/>
        <v>0</v>
      </c>
      <c r="X25" s="4" t="e" vm="9">
        <f t="shared" si="54"/>
        <v>#VALUE!</v>
      </c>
      <c r="Y25" s="4">
        <f t="shared" si="54"/>
        <v>-666.66666666666652</v>
      </c>
      <c r="Z25" s="4" t="e">
        <f t="shared" si="54"/>
        <v>#N/A</v>
      </c>
      <c r="AA25" s="4" t="e">
        <f t="shared" si="54"/>
        <v>#VALUE!</v>
      </c>
      <c r="AB25" s="4" t="e">
        <f t="shared" si="54"/>
        <v>#DIV/0!</v>
      </c>
      <c r="AC25" s="4" t="e">
        <f t="shared" si="54"/>
        <v>#NAME?</v>
      </c>
      <c r="AD25" s="4" t="e">
        <f t="shared" si="54"/>
        <v>#NULL!</v>
      </c>
      <c r="AE25" s="4" t="e">
        <f t="shared" si="54"/>
        <v>#NUM!</v>
      </c>
      <c r="AF25" s="4" t="e">
        <f>IPMT(Q25/12, 1, 3*12, 8000)</f>
        <v>#REF!</v>
      </c>
      <c r="AG25" s="4">
        <f t="array" ref="AG25">IPMT(C25:G25, 1, 3*12, 8000)</f>
        <v>-24000</v>
      </c>
      <c r="AH25" s="4">
        <f t="array" ref="AH25:AW25">IPMT(C25:G25, 1, 3*12, 8000)</f>
        <v>-24000</v>
      </c>
      <c r="AI25" s="4">
        <v>-48000</v>
      </c>
      <c r="AJ25" s="4">
        <v>-56000</v>
      </c>
      <c r="AK25" s="4">
        <v>-32000</v>
      </c>
      <c r="AL25" s="4">
        <v>-72000</v>
      </c>
      <c r="AM25" s="4" t="e">
        <v>#N/A</v>
      </c>
      <c r="AN25" s="4" t="e">
        <v>#N/A</v>
      </c>
      <c r="AO25" s="4" t="e">
        <v>#N/A</v>
      </c>
      <c r="AP25" s="4" t="e">
        <v>#N/A</v>
      </c>
      <c r="AQ25" s="4" t="e">
        <v>#N/A</v>
      </c>
      <c r="AR25" s="4" t="e">
        <v>#N/A</v>
      </c>
      <c r="AS25" s="4" t="e">
        <v>#N/A</v>
      </c>
      <c r="AT25" s="4" t="e">
        <v>#N/A</v>
      </c>
      <c r="AU25" s="4" t="e">
        <v>#N/A</v>
      </c>
      <c r="AV25" s="4" t="e">
        <v>#N/A</v>
      </c>
      <c r="AW25" s="4" t="e">
        <v>#N/A</v>
      </c>
    </row>
    <row r="26" spans="1:49" x14ac:dyDescent="0.15">
      <c r="A26" s="99" t="s">
        <v>249</v>
      </c>
      <c r="B26" s="100" t="s">
        <v>541</v>
      </c>
      <c r="C26" s="4">
        <v>3</v>
      </c>
      <c r="D26" s="4">
        <v>6</v>
      </c>
      <c r="E26" s="4">
        <v>7</v>
      </c>
      <c r="F26" s="4">
        <v>4</v>
      </c>
      <c r="G26" s="4">
        <v>9</v>
      </c>
      <c r="I26" s="4" t="s">
        <v>32</v>
      </c>
      <c r="J26" s="4" t="b">
        <v>1</v>
      </c>
      <c r="K26" s="4" t="e">
        <v>#N/A</v>
      </c>
      <c r="L26" s="4" t="e">
        <f>#VALUE!</f>
        <v>#VALUE!</v>
      </c>
      <c r="M26" s="28" t="e">
        <v>#DIV/0!</v>
      </c>
      <c r="N26" s="28" t="e">
        <v>#NAME?</v>
      </c>
      <c r="O26" s="28" t="e">
        <v>#NULL!</v>
      </c>
      <c r="P26" s="28" t="e">
        <v>#NUM!</v>
      </c>
      <c r="Q26" s="28" t="e">
        <v>#REF!</v>
      </c>
      <c r="R26" s="4" t="e">
        <f>IRR({7,2,-1,4,-3;7,2,-1,4,4},C26)</f>
        <v>#NUM!</v>
      </c>
      <c r="S26" s="4" t="e">
        <f>IRR({7,2,-1,4,-3;7,2,-1,4,4},D26)</f>
        <v>#NUM!</v>
      </c>
      <c r="T26" s="4">
        <f>IRR({-7,2,1,4,-3;-7,2,-1,4,4},E26)</f>
        <v>-2.1126011550541612E-2</v>
      </c>
      <c r="U26" s="4">
        <f>IRR({-7,2,-1,4,-3,7,2,1,4},F26)</f>
        <v>0.18158629375365587</v>
      </c>
      <c r="V26" s="4">
        <f>IRR(C27:E27,G26)</f>
        <v>18.999999999999982</v>
      </c>
      <c r="W26" s="4" t="e">
        <f>IRR(D27:F27,H26)</f>
        <v>#NUM!</v>
      </c>
      <c r="X26" s="4" t="e" vm="10">
        <f>IRR(E27:G27,I26)</f>
        <v>#VALUE!</v>
      </c>
      <c r="Y26" s="4" t="e">
        <f>IRR(F27:H27,J26)</f>
        <v>#NUM!</v>
      </c>
      <c r="Z26" s="4" t="e">
        <f>IRR({-7,2,-1,4,-3;7,2,-1,4,#N/A})</f>
        <v>#VALUE!</v>
      </c>
      <c r="AA26" s="4" t="e">
        <f>IRR({-7,2,-1,4,-3;7,2,-1,4,#VALUE!})</f>
        <v>#VALUE!</v>
      </c>
      <c r="AB26" s="4" t="e">
        <f>IRR({-7,2,-1,4,-3;7,2,-1,4,#DIV/0!})</f>
        <v>#VALUE!</v>
      </c>
      <c r="AC26" s="4" t="e">
        <f>IRR({-7,2,-1,4,-3;7,2,-1,4,#NAME?})</f>
        <v>#VALUE!</v>
      </c>
      <c r="AD26" s="4" t="e">
        <f>IRR({-7,2,-1,4,-3;7,2,-1,4,#NULL!})</f>
        <v>#VALUE!</v>
      </c>
      <c r="AE26" s="4" t="e">
        <f>IRR({-7,2,-1,4,-3;7,2,-1,4,#NUM!})</f>
        <v>#VALUE!</v>
      </c>
      <c r="AF26" s="4" t="e">
        <f>IRR({-7,2,-1,4,-3;7,2,-1,4,#REF!})</f>
        <v>#VALUE!</v>
      </c>
      <c r="AG26" s="4">
        <f t="array" ref="AG26">IRR({-7,2,-1,4,-3;7,2,-1,4,4},C55:E55)</f>
        <v>0.19086464188385843</v>
      </c>
      <c r="AH26" s="4">
        <f t="array" ref="AH26:AW26">IRR({-7,2,-1,4,-3;7,2,-1,4,4},C26:G26)</f>
        <v>0.19086464188385688</v>
      </c>
      <c r="AI26" s="4">
        <v>0.19086464188385688</v>
      </c>
      <c r="AJ26" s="4">
        <v>0.19086464188385688</v>
      </c>
      <c r="AK26" s="4">
        <v>0.19086464188385688</v>
      </c>
      <c r="AL26" s="4">
        <v>0.19086464188385688</v>
      </c>
      <c r="AM26" s="4" t="e">
        <v>#N/A</v>
      </c>
      <c r="AN26" s="4" t="e">
        <v>#N/A</v>
      </c>
      <c r="AO26" s="4" t="e">
        <v>#N/A</v>
      </c>
      <c r="AP26" s="4" t="e">
        <v>#N/A</v>
      </c>
      <c r="AQ26" s="4" t="e">
        <v>#N/A</v>
      </c>
      <c r="AR26" s="4" t="e">
        <v>#N/A</v>
      </c>
      <c r="AS26" s="4" t="e">
        <v>#N/A</v>
      </c>
      <c r="AT26" s="4" t="e">
        <v>#N/A</v>
      </c>
      <c r="AU26" s="4" t="e">
        <v>#N/A</v>
      </c>
      <c r="AV26" s="4" t="e">
        <v>#N/A</v>
      </c>
      <c r="AW26" s="4" t="e">
        <v>#N/A</v>
      </c>
    </row>
    <row r="27" spans="1:49" x14ac:dyDescent="0.15">
      <c r="A27" s="99"/>
      <c r="B27" s="100"/>
      <c r="C27" s="4">
        <v>-0.1</v>
      </c>
      <c r="D27" s="4">
        <v>2</v>
      </c>
      <c r="E27" s="4">
        <v>0</v>
      </c>
      <c r="F27" s="4">
        <v>4</v>
      </c>
      <c r="G27" s="4">
        <v>5</v>
      </c>
      <c r="I27" s="4" t="s">
        <v>32</v>
      </c>
      <c r="J27" s="4" t="b">
        <v>1</v>
      </c>
      <c r="K27" s="4" t="e">
        <v>#N/A</v>
      </c>
      <c r="L27" s="4" t="e">
        <f>#VALUE!</f>
        <v>#VALUE!</v>
      </c>
      <c r="M27" s="28" t="e">
        <v>#DIV/0!</v>
      </c>
      <c r="N27" s="28" t="e">
        <v>#NAME?</v>
      </c>
      <c r="O27" s="28" t="e">
        <v>#NULL!</v>
      </c>
      <c r="P27" s="28" t="e">
        <v>#NUM!</v>
      </c>
      <c r="Q27" s="28" t="e">
        <v>#REF!</v>
      </c>
      <c r="R27" s="84">
        <f>IRR({-7,2,-1,4,-3;7,2,-1,4,4})</f>
        <v>0.19086464188385688</v>
      </c>
      <c r="S27" s="4" t="e">
        <f>IRR({7,2,-1,4,-3;7,2,-1,4,4},D27)</f>
        <v>#NUM!</v>
      </c>
      <c r="T27" s="4">
        <f>IRR({-7,2,1,4,-3;-7,2,-1,4,4},E27)</f>
        <v>-2.1126011550582802E-2</v>
      </c>
      <c r="U27" s="4">
        <f>IRR({-7,2,-1,4,-3,7,2,1,4},F27)</f>
        <v>0.18158629375365587</v>
      </c>
      <c r="V27" s="4">
        <f>IRR(C27:G27,G27)</f>
        <v>19.105109618637595</v>
      </c>
      <c r="W27" s="4">
        <f>IRR(C27:H27)</f>
        <v>19.105109618587242</v>
      </c>
      <c r="X27" s="4">
        <f>IRR(C27:I27)</f>
        <v>19.105109618587242</v>
      </c>
      <c r="Y27" s="4">
        <f>IRR(C27:J27)</f>
        <v>19.105109618587242</v>
      </c>
      <c r="Z27" s="4" t="e">
        <f>IRR(C27:K27)</f>
        <v>#VALUE!</v>
      </c>
      <c r="AA27" s="4" t="e">
        <f>IRR({-7,2,-1,4,-3,7,2,1,3},K27)</f>
        <v>#N/A</v>
      </c>
      <c r="AB27" s="4" t="e">
        <f>IRR({-7,2,-1,4,-3,7,2,1,3},M27)</f>
        <v>#DIV/0!</v>
      </c>
      <c r="AC27" s="4" t="e">
        <f>IRR({-7,2,-1,4,-3,7,2,1,3},N27)</f>
        <v>#NAME?</v>
      </c>
      <c r="AD27" s="4" t="e">
        <f>IRR({-7,2,-1,4,-3,7,2,1,3},O27)</f>
        <v>#NULL!</v>
      </c>
      <c r="AE27" s="4" t="e">
        <f>IRR({-7,2,-1,4,-3,7,2,1,3},P27)</f>
        <v>#NUM!</v>
      </c>
      <c r="AF27" s="4" t="e">
        <f>IRR({-7,2,-1,4,-3,7,2,1,3},Q27)</f>
        <v>#REF!</v>
      </c>
      <c r="AG27" s="4" t="e">
        <f t="array" ref="AG27">IRR(D27:G27)</f>
        <v>#NUM!</v>
      </c>
      <c r="AH27" s="4">
        <f t="array" ref="AH27:AW27">IRR(C27:G27,C27:Q27)</f>
        <v>19.105109618635709</v>
      </c>
      <c r="AI27" s="4">
        <v>19.105109618617355</v>
      </c>
      <c r="AJ27" s="4">
        <v>19.105109618638089</v>
      </c>
      <c r="AK27" s="4">
        <v>19.105109618596039</v>
      </c>
      <c r="AL27" s="4">
        <v>19.105109618637595</v>
      </c>
      <c r="AM27" s="4">
        <v>19.105109618638089</v>
      </c>
      <c r="AN27" s="4" t="e" vm="10">
        <v>#VALUE!</v>
      </c>
      <c r="AO27" s="4">
        <v>19.105109618608335</v>
      </c>
      <c r="AP27" s="4" t="e">
        <v>#N/A</v>
      </c>
      <c r="AQ27" s="4" t="e">
        <v>#VALUE!</v>
      </c>
      <c r="AR27" s="4" t="e">
        <v>#DIV/0!</v>
      </c>
      <c r="AS27" s="4" t="e">
        <v>#NAME?</v>
      </c>
      <c r="AT27" s="4" t="e">
        <v>#NULL!</v>
      </c>
      <c r="AU27" s="4" t="e">
        <v>#NUM!</v>
      </c>
      <c r="AV27" s="4" t="e">
        <v>#REF!</v>
      </c>
      <c r="AW27" s="4" t="e">
        <v>#N/A</v>
      </c>
    </row>
    <row r="28" spans="1:49" x14ac:dyDescent="0.15">
      <c r="A28" s="35" t="s">
        <v>250</v>
      </c>
      <c r="B28" s="36" t="s">
        <v>541</v>
      </c>
      <c r="C28" s="4">
        <v>3.2</v>
      </c>
      <c r="D28" s="4">
        <v>6</v>
      </c>
      <c r="E28" s="4">
        <v>7</v>
      </c>
      <c r="F28" s="4">
        <v>4</v>
      </c>
      <c r="G28" s="4">
        <v>9</v>
      </c>
      <c r="I28" s="19" t="s">
        <v>820</v>
      </c>
      <c r="J28" s="4" t="b">
        <v>1</v>
      </c>
      <c r="K28" s="4" t="e">
        <v>#N/A</v>
      </c>
      <c r="L28" s="4" t="e">
        <f>#VALUE!</f>
        <v>#VALUE!</v>
      </c>
      <c r="M28" s="28" t="e">
        <v>#DIV/0!</v>
      </c>
      <c r="N28" s="28" t="e">
        <v>#NAME?</v>
      </c>
      <c r="O28" s="28" t="e">
        <v>#NULL!</v>
      </c>
      <c r="P28" s="28" t="e">
        <v>#NUM!</v>
      </c>
      <c r="Q28" s="28" t="e">
        <v>#REF!</v>
      </c>
      <c r="R28" s="4">
        <f>ISPMT(C28,D28,E28,F28)</f>
        <v>-1.8285714285714287</v>
      </c>
      <c r="S28" s="4">
        <f t="shared" ref="S28:AF28" si="55">ISPMT(D28,E28,F28,G28)</f>
        <v>40.5</v>
      </c>
      <c r="T28" s="4">
        <f t="shared" si="55"/>
        <v>0</v>
      </c>
      <c r="U28" s="4" t="e">
        <f>ISPMT(F28,G28,H28,I28)</f>
        <v>#DIV/0!</v>
      </c>
      <c r="V28" s="4">
        <f t="shared" si="55"/>
        <v>-9</v>
      </c>
      <c r="W28" s="4" t="e">
        <f t="shared" si="55"/>
        <v>#N/A</v>
      </c>
      <c r="X28" s="4" t="e">
        <f t="shared" si="55"/>
        <v>#N/A</v>
      </c>
      <c r="Y28" s="4" t="e">
        <f t="shared" si="55"/>
        <v>#N/A</v>
      </c>
      <c r="Z28" s="4" t="e">
        <f t="shared" si="55"/>
        <v>#N/A</v>
      </c>
      <c r="AA28" s="4" t="e">
        <f t="shared" si="55"/>
        <v>#VALUE!</v>
      </c>
      <c r="AB28" s="4" t="e">
        <f t="shared" si="55"/>
        <v>#DIV/0!</v>
      </c>
      <c r="AC28" s="4" t="e">
        <f t="shared" si="55"/>
        <v>#NAME?</v>
      </c>
      <c r="AD28" s="4" t="e">
        <f t="shared" si="55"/>
        <v>#NULL!</v>
      </c>
      <c r="AE28" s="4" t="e">
        <f t="shared" si="55"/>
        <v>#NUM!</v>
      </c>
      <c r="AF28" s="4" t="e">
        <f t="shared" si="55"/>
        <v>#REF!</v>
      </c>
      <c r="AG28" s="4">
        <f t="array" ref="AG28">ISPMT(C28:Q28,D28,E28,F28)</f>
        <v>-1.8285714285714287</v>
      </c>
      <c r="AH28" s="4">
        <f t="array" ref="AH28:AW28">ISPMT(D28:R28,E28,F28,G28)</f>
        <v>40.5</v>
      </c>
      <c r="AI28" s="4">
        <v>47.25</v>
      </c>
      <c r="AJ28" s="4">
        <v>27</v>
      </c>
      <c r="AK28" s="4">
        <v>60.75</v>
      </c>
      <c r="AL28" s="4">
        <v>0</v>
      </c>
      <c r="AM28" s="4">
        <v>221035.5</v>
      </c>
      <c r="AN28" s="4">
        <v>6.75</v>
      </c>
      <c r="AO28" s="4" t="e">
        <v>#N/A</v>
      </c>
      <c r="AP28" s="4" t="e">
        <v>#VALUE!</v>
      </c>
      <c r="AQ28" s="4" t="e">
        <v>#DIV/0!</v>
      </c>
      <c r="AR28" s="4" t="e">
        <v>#NAME?</v>
      </c>
      <c r="AS28" s="4" t="e">
        <v>#NULL!</v>
      </c>
      <c r="AT28" s="4" t="e">
        <v>#NUM!</v>
      </c>
      <c r="AU28" s="4" t="e">
        <v>#REF!</v>
      </c>
      <c r="AV28" s="4">
        <v>-12.342857142857143</v>
      </c>
      <c r="AW28" s="4" t="e">
        <v>#N/A</v>
      </c>
    </row>
    <row r="29" spans="1:49" x14ac:dyDescent="0.15">
      <c r="A29" s="35" t="s">
        <v>251</v>
      </c>
      <c r="B29" s="36" t="s">
        <v>541</v>
      </c>
      <c r="C29" s="4">
        <v>33000.6</v>
      </c>
      <c r="D29" s="4">
        <v>33030.6</v>
      </c>
      <c r="E29" s="4">
        <v>440040</v>
      </c>
      <c r="F29" s="4">
        <v>4</v>
      </c>
      <c r="G29" s="4">
        <v>1</v>
      </c>
      <c r="I29" s="19" t="s">
        <v>820</v>
      </c>
      <c r="J29" s="4" t="b">
        <v>1</v>
      </c>
      <c r="K29" s="4" t="e">
        <v>#N/A</v>
      </c>
      <c r="L29" s="4" t="e">
        <f>#VALUE!</f>
        <v>#VALUE!</v>
      </c>
      <c r="M29" s="28" t="e">
        <v>#DIV/0!</v>
      </c>
      <c r="N29" s="28" t="e">
        <v>#NAME?</v>
      </c>
      <c r="O29" s="28" t="e">
        <v>#NULL!</v>
      </c>
      <c r="P29" s="28" t="e">
        <v>#NUM!</v>
      </c>
      <c r="Q29" s="28" t="e">
        <v>#REF!</v>
      </c>
      <c r="R29" s="85">
        <f>MDURATION(32000,43232,9%,8%,1)</f>
        <v>10.94163076865601</v>
      </c>
      <c r="S29" s="71" t="e">
        <f>MDURATION("31/12/2900","31/12/2050",2%,9%,1,2)</f>
        <v>#NUM!</v>
      </c>
      <c r="T29" s="71">
        <f>MDURATION("31/12/2030","31/12/2050",9,9,1,2)</f>
        <v>0.11111111111111109</v>
      </c>
      <c r="U29" s="71">
        <f>MDURATION("31/08/2030","31/12/2050",3,4,4,1)</f>
        <v>0.16576086956521724</v>
      </c>
      <c r="V29" s="71">
        <f>MDURATION("31/08/2030","31/12/2050",3%,4%,4,0)</f>
        <v>14.595404982463737</v>
      </c>
      <c r="W29" s="71">
        <f>MDURATION("31/08/2030","31/12/2050",1,4%,4,4)</f>
        <v>9.0925705224029176</v>
      </c>
      <c r="X29" s="71" t="e">
        <f>MDURATION("31/08/2030","31/12/2050",TRUE,4,0,1)</f>
        <v>#VALUE!</v>
      </c>
      <c r="Y29" s="71" t="e">
        <f t="shared" ref="Y29:AF29" si="56">MDURATION("31/08/2030","31/12/2050",4%,8%,4,J29)</f>
        <v>#VALUE!</v>
      </c>
      <c r="Z29" s="71" t="e">
        <f t="shared" si="56"/>
        <v>#N/A</v>
      </c>
      <c r="AA29" s="71" t="e">
        <f t="shared" si="56"/>
        <v>#VALUE!</v>
      </c>
      <c r="AB29" s="71" t="e">
        <f t="shared" si="56"/>
        <v>#DIV/0!</v>
      </c>
      <c r="AC29" s="71" t="e">
        <f t="shared" si="56"/>
        <v>#NAME?</v>
      </c>
      <c r="AD29" s="71" t="e">
        <f t="shared" si="56"/>
        <v>#NULL!</v>
      </c>
      <c r="AE29" s="71" t="e">
        <f t="shared" si="56"/>
        <v>#NUM!</v>
      </c>
      <c r="AF29" s="71" t="e">
        <f t="shared" si="56"/>
        <v>#REF!</v>
      </c>
      <c r="AG29" s="4">
        <f t="array" ref="AG29">MDURATION("31/08/2030","31/12/2050",3%,3%,4,{1,2})</f>
        <v>15.10334346731389</v>
      </c>
      <c r="AH29" s="4">
        <f t="array" ref="AH29:AK29">MDURATION("31/08/2030","31/12/2050",3%,9%,4,{1,4})</f>
        <v>11.771274695986218</v>
      </c>
      <c r="AI29" s="4">
        <v>11.773046426258</v>
      </c>
      <c r="AJ29" s="4" t="e">
        <v>#N/A</v>
      </c>
      <c r="AK29" s="4" t="e">
        <v>#N/A</v>
      </c>
      <c r="AL29" s="4">
        <f t="array" ref="AL29:AW29">MDURATION("31/08/2030","31/12/2050",3%,5%,4,{1,0,1,4})</f>
        <v>14.060973335778559</v>
      </c>
      <c r="AM29" s="4">
        <v>14.062762564620929</v>
      </c>
      <c r="AN29" s="4">
        <v>14.060973335778559</v>
      </c>
      <c r="AO29" s="4">
        <v>14.062762564620929</v>
      </c>
      <c r="AP29" s="4" t="e">
        <v>#N/A</v>
      </c>
      <c r="AQ29" s="4" t="e">
        <v>#N/A</v>
      </c>
      <c r="AR29" s="4" t="e">
        <v>#N/A</v>
      </c>
      <c r="AS29" s="4" t="e">
        <v>#N/A</v>
      </c>
      <c r="AT29" s="4" t="e">
        <v>#N/A</v>
      </c>
      <c r="AU29" s="4" t="e">
        <v>#N/A</v>
      </c>
      <c r="AV29" s="4" t="e">
        <v>#N/A</v>
      </c>
      <c r="AW29" s="4" t="e">
        <v>#N/A</v>
      </c>
    </row>
    <row r="30" spans="1:49" x14ac:dyDescent="0.15">
      <c r="A30" s="99" t="s">
        <v>252</v>
      </c>
      <c r="B30" s="100" t="s">
        <v>541</v>
      </c>
      <c r="C30" s="4">
        <v>3</v>
      </c>
      <c r="D30" s="4">
        <v>6</v>
      </c>
      <c r="E30" s="4">
        <v>7</v>
      </c>
      <c r="F30" s="4">
        <v>4</v>
      </c>
      <c r="G30" s="4">
        <v>9</v>
      </c>
      <c r="I30" s="4" t="s">
        <v>32</v>
      </c>
      <c r="J30" s="4" t="b">
        <v>1</v>
      </c>
      <c r="K30" s="4" t="e">
        <v>#N/A</v>
      </c>
      <c r="L30" s="4" t="e">
        <f>#VALUE!</f>
        <v>#VALUE!</v>
      </c>
      <c r="M30" s="28" t="e">
        <v>#DIV/0!</v>
      </c>
      <c r="N30" s="28" t="e">
        <v>#NAME?</v>
      </c>
      <c r="O30" s="28" t="e">
        <v>#NULL!</v>
      </c>
      <c r="P30" s="28" t="e">
        <v>#NUM!</v>
      </c>
      <c r="Q30" s="28" t="e">
        <v>#REF!</v>
      </c>
      <c r="R30" s="84">
        <f>MIRR({7,2,-1,4,-3;7,2,-1,4,4},C30,D30)</f>
        <v>10.65378882231521</v>
      </c>
      <c r="S30" s="84">
        <f>MIRR({7,2,-1,4,-3;7,2,-1,4,4},D30,E30)</f>
        <v>14.263914609533659</v>
      </c>
      <c r="T30" s="84">
        <f>MIRR({-7,2,1,4,-3;-7,2,-1,4,4},E30,F30)</f>
        <v>2.7055217866320724</v>
      </c>
      <c r="U30" s="84">
        <f>MIRR({-7,2,-1,4,-3,7,2,1,4},F30,G30)</f>
        <v>5.4230215825441599</v>
      </c>
      <c r="V30" s="84">
        <f>MIRR(C31:E31,G30,F30)</f>
        <v>9</v>
      </c>
      <c r="W30" s="84" t="e">
        <f>MIRR(D31:F31,H30,F30)</f>
        <v>#DIV/0!</v>
      </c>
      <c r="X30" s="84" t="e" vm="11">
        <f>MIRR(E31:G31,I30,D30)</f>
        <v>#VALUE!</v>
      </c>
      <c r="Y30" s="84" t="e">
        <f>MIRR(F31:H31,J30,G30)</f>
        <v>#DIV/0!</v>
      </c>
      <c r="Z30" s="84" t="e">
        <f>MIRR({-7,2,-1,4,-3;7,2,-1,4,#N/A},E30,C31)</f>
        <v>#N/A</v>
      </c>
      <c r="AA30" s="84" t="e">
        <f>MIRR({-7,2,-1,4,-3;7,2,-1,4,#VALUE!},F30,E30)</f>
        <v>#VALUE!</v>
      </c>
      <c r="AB30" s="84" t="e">
        <f>MIRR({-7,2,-1,4,-3;7,2,-1,4,#VALUE!},G30,F30)</f>
        <v>#VALUE!</v>
      </c>
      <c r="AC30" s="84" t="e">
        <f>MIRR({-7,2,-1,4,-3;7,2,-1,4,#VALUE!},H30,G30)</f>
        <v>#VALUE!</v>
      </c>
      <c r="AD30" s="84" t="e" vm="11">
        <f>MIRR({-7,2,-1,4,-3;7,2,-1,4,#VALUE!},I30,H30)</f>
        <v>#VALUE!</v>
      </c>
      <c r="AE30" s="84" t="e" vm="11">
        <f>MIRR({-7,2,-1,4,-3;7,2,-1,4,#VALUE!},J30,I30)</f>
        <v>#VALUE!</v>
      </c>
      <c r="AF30" s="84" t="e">
        <f>MIRR({-7,2,-1,4,-3;7,2,-1,4,#VALUE!},K30,J30)</f>
        <v>#N/A</v>
      </c>
      <c r="AG30" s="84">
        <f t="array" ref="AG30">MIRR({-7,2,-1,4,-3;7,2,-1,4,4},C59:E59,F31)</f>
        <v>2.3758758549080183</v>
      </c>
      <c r="AH30" s="4">
        <f t="array" ref="AH30:AW30">MIRR({-7,2,-1,4,-3;7,2,-1,4,4},C30:G30,C31)</f>
        <v>9.9681757229074242E-2</v>
      </c>
      <c r="AI30" s="4">
        <v>0.10059440076069315</v>
      </c>
      <c r="AJ30" s="4">
        <v>0.10068676027729362</v>
      </c>
      <c r="AK30" s="4">
        <v>0.10019189181556309</v>
      </c>
      <c r="AL30" s="4">
        <v>0.10079240133155687</v>
      </c>
      <c r="AM30" s="4" t="e">
        <v>#N/A</v>
      </c>
      <c r="AN30" s="4" t="e">
        <v>#N/A</v>
      </c>
      <c r="AO30" s="4" t="e">
        <v>#N/A</v>
      </c>
      <c r="AP30" s="4" t="e">
        <v>#N/A</v>
      </c>
      <c r="AQ30" s="4" t="e">
        <v>#N/A</v>
      </c>
      <c r="AR30" s="4" t="e">
        <v>#N/A</v>
      </c>
      <c r="AS30" s="4" t="e">
        <v>#N/A</v>
      </c>
      <c r="AT30" s="4" t="e">
        <v>#N/A</v>
      </c>
      <c r="AU30" s="4" t="e">
        <v>#N/A</v>
      </c>
      <c r="AV30" s="4" t="e">
        <v>#N/A</v>
      </c>
      <c r="AW30" s="4" t="e">
        <v>#N/A</v>
      </c>
    </row>
    <row r="31" spans="1:49" x14ac:dyDescent="0.15">
      <c r="A31" s="99"/>
      <c r="B31" s="100"/>
      <c r="C31" s="4">
        <v>-0.1</v>
      </c>
      <c r="D31" s="4">
        <v>2</v>
      </c>
      <c r="E31" s="4">
        <v>0</v>
      </c>
      <c r="F31" s="4">
        <v>4</v>
      </c>
      <c r="G31" s="4">
        <v>5</v>
      </c>
      <c r="H31" s="19"/>
      <c r="I31" s="19" t="s">
        <v>820</v>
      </c>
      <c r="J31" s="4" t="b">
        <v>1</v>
      </c>
      <c r="K31" s="4" t="e">
        <v>#N/A</v>
      </c>
      <c r="L31" s="4" t="e">
        <f>#VALUE!</f>
        <v>#VALUE!</v>
      </c>
      <c r="M31" s="28" t="e">
        <v>#DIV/0!</v>
      </c>
      <c r="N31" s="28" t="e">
        <v>#NAME?</v>
      </c>
      <c r="O31" s="28" t="e">
        <v>#NULL!</v>
      </c>
      <c r="P31" s="28" t="e">
        <v>#NUM!</v>
      </c>
      <c r="Q31" s="28" t="e">
        <v>#REF!</v>
      </c>
      <c r="R31" s="84">
        <f>MIRR({-7,2,-1,4,-3;7,2,-1,4,4},4,3)</f>
        <v>2.0249544173762937</v>
      </c>
      <c r="S31" s="84">
        <f>MIRR({7,2,-1,4,-3;7,2,-1,4,4},D31,C31)</f>
        <v>0.71774648617443582</v>
      </c>
      <c r="T31" s="84">
        <f>MIRR({-7,2,1,4,-3;-7,2,-1,4,4},E31,E30)</f>
        <v>4.0239502819548312</v>
      </c>
      <c r="U31" s="84">
        <f>MIRR({-7,2,-1,4,-3,7,2,1,4},F31,3)</f>
        <v>1.9211620445548805</v>
      </c>
      <c r="V31" s="84">
        <f>MIRR(C31:G31,3,G31)</f>
        <v>7.2399624263143227</v>
      </c>
      <c r="W31" s="84">
        <f>MIRR(C31:H31,3,4)</f>
        <v>6.2415773425758285</v>
      </c>
      <c r="X31" s="84">
        <f>MIRR(C31:I31,2,1)</f>
        <v>3.1266677072338158</v>
      </c>
      <c r="Y31" s="84">
        <f>MIRR(C31:J31,2,3)</f>
        <v>5.2129315247504193</v>
      </c>
      <c r="Z31" s="84" t="e">
        <f>MIRR(C31:K31,3,2)</f>
        <v>#N/A</v>
      </c>
      <c r="AA31" s="84" t="e">
        <f>MIRR({-7,2,-1,4,-3,7,2,1,3},K31, 5)</f>
        <v>#N/A</v>
      </c>
      <c r="AB31" s="84" t="e">
        <f>MIRR({-7,2,-1,4,-3,7,2,1,3},M31, 6)</f>
        <v>#DIV/0!</v>
      </c>
      <c r="AC31" s="84" t="e">
        <f>MIRR({-7,2,-1,4,-3,7,2,1,3},N31, 6)</f>
        <v>#NAME?</v>
      </c>
      <c r="AD31" s="84" t="e">
        <f>MIRR({-7,2,-1,4,-3,7,2,1,3},O31, 6)</f>
        <v>#NULL!</v>
      </c>
      <c r="AE31" s="84" t="e">
        <f>MIRR({-7,2,-1,4,-3,7,2,1,3},P31, 6)</f>
        <v>#NUM!</v>
      </c>
      <c r="AF31" s="84" t="e">
        <f>MIRR({-7,2,-1,4,-3,7,2,1,3},Q31, 6)</f>
        <v>#REF!</v>
      </c>
      <c r="AG31" s="84" t="e">
        <f>MIRR(D31:G31,3,2)</f>
        <v>#DIV/0!</v>
      </c>
      <c r="AH31" s="4">
        <f t="array" ref="AH31:AW31">MIRR(C31:G31,C31:Q31,3)</f>
        <v>5.2129315247504193</v>
      </c>
      <c r="AI31" s="4">
        <v>5.2129315247504193</v>
      </c>
      <c r="AJ31" s="4">
        <v>5.2129315247504193</v>
      </c>
      <c r="AK31" s="4">
        <v>5.2129315247504193</v>
      </c>
      <c r="AL31" s="4">
        <v>5.2129315247504193</v>
      </c>
      <c r="AM31" s="4">
        <v>5.2129315247504193</v>
      </c>
      <c r="AN31" s="4">
        <v>5.2129315247504193</v>
      </c>
      <c r="AO31" s="4">
        <v>5.2129315247504193</v>
      </c>
      <c r="AP31" s="4" t="e">
        <v>#N/A</v>
      </c>
      <c r="AQ31" s="4" t="e">
        <v>#VALUE!</v>
      </c>
      <c r="AR31" s="4" t="e">
        <v>#DIV/0!</v>
      </c>
      <c r="AS31" s="4" t="e">
        <v>#NAME?</v>
      </c>
      <c r="AT31" s="4" t="e">
        <v>#NULL!</v>
      </c>
      <c r="AU31" s="4" t="e">
        <v>#NUM!</v>
      </c>
      <c r="AV31" s="4" t="e">
        <v>#REF!</v>
      </c>
      <c r="AW31" s="4" t="e">
        <v>#N/A</v>
      </c>
    </row>
    <row r="32" spans="1:49" x14ac:dyDescent="0.15">
      <c r="A32" s="35" t="s">
        <v>253</v>
      </c>
      <c r="B32" s="36" t="s">
        <v>541</v>
      </c>
      <c r="C32" s="4">
        <v>-0.3</v>
      </c>
      <c r="D32" s="4">
        <v>3.2</v>
      </c>
      <c r="E32" s="4">
        <v>7</v>
      </c>
      <c r="F32" s="4">
        <v>4</v>
      </c>
      <c r="G32" s="4">
        <v>9</v>
      </c>
      <c r="I32" s="19" t="s">
        <v>820</v>
      </c>
      <c r="J32" s="4" t="b">
        <v>1</v>
      </c>
      <c r="K32" s="4" t="e">
        <v>#N/A</v>
      </c>
      <c r="L32" s="4" t="e">
        <f>#VALUE!</f>
        <v>#VALUE!</v>
      </c>
      <c r="M32" s="28" t="e">
        <v>#DIV/0!</v>
      </c>
      <c r="N32" s="28" t="e">
        <v>#NAME?</v>
      </c>
      <c r="O32" s="28" t="e">
        <v>#NULL!</v>
      </c>
      <c r="P32" s="28" t="e">
        <v>#NUM!</v>
      </c>
      <c r="Q32" s="28" t="e">
        <v>#REF!</v>
      </c>
      <c r="R32" s="4" t="e">
        <f t="shared" ref="R32:W32" si="57">NOMINAL(C32,D32)</f>
        <v>#NUM!</v>
      </c>
      <c r="S32" s="4">
        <f t="shared" si="57"/>
        <v>1.5927792122799473</v>
      </c>
      <c r="T32" s="4">
        <f t="shared" si="57"/>
        <v>2.727171322029716</v>
      </c>
      <c r="U32" s="4">
        <f t="shared" si="57"/>
        <v>1.7623185705036173</v>
      </c>
      <c r="V32" s="4" t="e">
        <f t="shared" si="57"/>
        <v>#NUM!</v>
      </c>
      <c r="W32" s="4" t="e">
        <f t="shared" si="57"/>
        <v>#NUM!</v>
      </c>
      <c r="X32" s="4">
        <f>NOMINAL(G32,I32)</f>
        <v>2.3026660497859108</v>
      </c>
      <c r="Y32" s="4" t="e">
        <f>NOMINAL(J32,K32)</f>
        <v>#VALUE!</v>
      </c>
      <c r="Z32" s="4" t="e">
        <f>NOMINAL(K32,L32)</f>
        <v>#N/A</v>
      </c>
      <c r="AA32" s="4" t="e">
        <f t="shared" ref="AA32:AF32" si="58">NOMINAL(L32,M32)</f>
        <v>#VALUE!</v>
      </c>
      <c r="AB32" s="4" t="e">
        <f t="shared" si="58"/>
        <v>#DIV/0!</v>
      </c>
      <c r="AC32" s="4" t="e">
        <f t="shared" si="58"/>
        <v>#NAME?</v>
      </c>
      <c r="AD32" s="4" t="e">
        <f t="shared" si="58"/>
        <v>#NULL!</v>
      </c>
      <c r="AE32" s="4" t="e">
        <f t="shared" si="58"/>
        <v>#NUM!</v>
      </c>
      <c r="AF32" s="4" t="e">
        <f t="shared" si="58"/>
        <v>#REF!</v>
      </c>
      <c r="AG32" s="4" t="e">
        <f>NOMINAL(C32:Q32,D32)</f>
        <v>#VALUE!</v>
      </c>
      <c r="AH32" s="4" t="e">
        <f t="array" ref="AH32:AW32">NOMINAL(D32:G32,E32)</f>
        <v>#VALUE!</v>
      </c>
      <c r="AI32" s="4" t="e">
        <v>#VALUE!</v>
      </c>
      <c r="AJ32" s="4" t="e">
        <v>#VALUE!</v>
      </c>
      <c r="AK32" s="4" t="e">
        <v>#VALUE!</v>
      </c>
      <c r="AL32" s="4" t="e">
        <v>#VALUE!</v>
      </c>
      <c r="AM32" s="4" t="e">
        <v>#VALUE!</v>
      </c>
      <c r="AN32" s="4" t="e">
        <v>#VALUE!</v>
      </c>
      <c r="AO32" s="4" t="e">
        <v>#VALUE!</v>
      </c>
      <c r="AP32" s="4" t="e">
        <v>#VALUE!</v>
      </c>
      <c r="AQ32" s="4" t="e">
        <v>#VALUE!</v>
      </c>
      <c r="AR32" s="4" t="e">
        <v>#VALUE!</v>
      </c>
      <c r="AS32" s="4" t="e">
        <v>#VALUE!</v>
      </c>
      <c r="AT32" s="4" t="e">
        <v>#VALUE!</v>
      </c>
      <c r="AU32" s="4" t="e">
        <v>#VALUE!</v>
      </c>
      <c r="AV32" s="4" t="e">
        <v>#VALUE!</v>
      </c>
      <c r="AW32" s="4" t="e">
        <v>#VALUE!</v>
      </c>
    </row>
    <row r="33" spans="1:49" x14ac:dyDescent="0.15">
      <c r="A33" s="35" t="s">
        <v>254</v>
      </c>
      <c r="B33" s="36" t="s">
        <v>541</v>
      </c>
      <c r="C33" s="4">
        <v>-0.1</v>
      </c>
      <c r="D33" s="4">
        <v>2</v>
      </c>
      <c r="E33" s="4">
        <v>0</v>
      </c>
      <c r="F33" s="4">
        <v>4</v>
      </c>
      <c r="G33" s="4">
        <v>5</v>
      </c>
      <c r="I33" s="4" t="s">
        <v>32</v>
      </c>
      <c r="J33" s="4" t="b">
        <v>1</v>
      </c>
      <c r="K33" s="4" t="e">
        <v>#N/A</v>
      </c>
      <c r="L33" s="4" t="e">
        <f>#VALUE!</f>
        <v>#VALUE!</v>
      </c>
      <c r="M33" s="28" t="e">
        <v>#DIV/0!</v>
      </c>
      <c r="N33" s="28" t="e">
        <v>#NAME?</v>
      </c>
      <c r="O33" s="28" t="e">
        <v>#NULL!</v>
      </c>
      <c r="P33" s="28" t="e">
        <v>#NUM!</v>
      </c>
      <c r="Q33" s="28" t="e">
        <v>#REF!</v>
      </c>
      <c r="R33" s="4">
        <f>NPER(C33/12,D33,E33,10000,1)</f>
        <v>-449.50748859693709</v>
      </c>
      <c r="S33" s="4" t="e">
        <f>NPER(D33/12,E33,F33,10000,1)</f>
        <v>#NUM!</v>
      </c>
      <c r="T33" s="4">
        <f>NPER(E33/12,F33*1000,G33)</f>
        <v>-1.25E-3</v>
      </c>
      <c r="U33" s="4">
        <f>NPER(F33/12,H33,C33,10000,1)</f>
        <v>40.019613898255479</v>
      </c>
      <c r="V33" s="4" t="e" vm="12">
        <f t="shared" ref="V33:AF33" si="59">NPER(G33/12,H33,I33,10000,1)</f>
        <v>#VALUE!</v>
      </c>
      <c r="W33" s="4" t="e" vm="12">
        <f t="shared" si="59"/>
        <v>#VALUE!</v>
      </c>
      <c r="X33" s="4" t="e" vm="13">
        <f t="shared" si="59"/>
        <v>#VALUE!</v>
      </c>
      <c r="Y33" s="4" t="e">
        <f t="shared" si="59"/>
        <v>#N/A</v>
      </c>
      <c r="Z33" s="4" t="e">
        <f t="shared" si="59"/>
        <v>#N/A</v>
      </c>
      <c r="AA33" s="4" t="e">
        <f t="shared" si="59"/>
        <v>#VALUE!</v>
      </c>
      <c r="AB33" s="4" t="e">
        <f t="shared" si="59"/>
        <v>#DIV/0!</v>
      </c>
      <c r="AC33" s="4" t="e">
        <f t="shared" si="59"/>
        <v>#NAME?</v>
      </c>
      <c r="AD33" s="4" t="e">
        <f t="shared" si="59"/>
        <v>#NULL!</v>
      </c>
      <c r="AE33" s="4" t="e">
        <f t="shared" si="59"/>
        <v>#NUM!</v>
      </c>
      <c r="AF33" s="4" t="e">
        <f t="shared" si="59"/>
        <v>#REF!</v>
      </c>
      <c r="AG33" s="4">
        <f t="array" ref="AG33">NPER(C33:Q33,D33,E33,10000,1)</f>
        <v>-60.001291342880876</v>
      </c>
      <c r="AH33" s="4">
        <f t="array" ref="AH33:AW33">NPER(C33:Q33,D33,E33,10000,1)</f>
        <v>-60.001291342880876</v>
      </c>
      <c r="AI33" s="4" t="e">
        <v>#NUM!</v>
      </c>
      <c r="AJ33" s="4">
        <v>-5000</v>
      </c>
      <c r="AK33" s="4" t="e">
        <v>#NUM!</v>
      </c>
      <c r="AL33" s="4" t="e">
        <v>#NUM!</v>
      </c>
      <c r="AM33" s="4">
        <v>-5000</v>
      </c>
      <c r="AN33" s="4" t="e" vm="12">
        <v>#VALUE!</v>
      </c>
      <c r="AO33" s="4" t="e">
        <v>#NUM!</v>
      </c>
      <c r="AP33" s="4" t="e">
        <v>#N/A</v>
      </c>
      <c r="AQ33" s="4" t="e">
        <v>#VALUE!</v>
      </c>
      <c r="AR33" s="4" t="e">
        <v>#DIV/0!</v>
      </c>
      <c r="AS33" s="4" t="e">
        <v>#NAME?</v>
      </c>
      <c r="AT33" s="4" t="e">
        <v>#NULL!</v>
      </c>
      <c r="AU33" s="4" t="e">
        <v>#NUM!</v>
      </c>
      <c r="AV33" s="4" t="e">
        <v>#REF!</v>
      </c>
      <c r="AW33" s="4" t="e">
        <v>#N/A</v>
      </c>
    </row>
    <row r="34" spans="1:49" x14ac:dyDescent="0.15">
      <c r="A34" s="35" t="s">
        <v>255</v>
      </c>
      <c r="B34" s="36" t="s">
        <v>541</v>
      </c>
      <c r="C34" s="4">
        <v>-0.1</v>
      </c>
      <c r="D34" s="4">
        <v>2</v>
      </c>
      <c r="E34" s="4">
        <v>0</v>
      </c>
      <c r="F34" s="4">
        <v>4</v>
      </c>
      <c r="G34" s="4">
        <v>5</v>
      </c>
      <c r="I34" s="4" t="s">
        <v>32</v>
      </c>
      <c r="J34" s="4" t="b">
        <v>1</v>
      </c>
      <c r="K34" s="4" t="e">
        <v>#N/A</v>
      </c>
      <c r="L34" s="4" t="e">
        <f>#VALUE!</f>
        <v>#VALUE!</v>
      </c>
      <c r="M34" s="28" t="e">
        <v>#DIV/0!</v>
      </c>
      <c r="N34" s="28" t="e">
        <v>#NAME?</v>
      </c>
      <c r="O34" s="28" t="e">
        <v>#NULL!</v>
      </c>
      <c r="P34" s="28" t="e">
        <v>#NUM!</v>
      </c>
      <c r="Q34" s="28" t="e">
        <v>#REF!</v>
      </c>
      <c r="R34" s="4">
        <f t="shared" ref="R34:Y34" si="60">NPV(C34,C34:G34)</f>
        <v>16.922200206608068</v>
      </c>
      <c r="S34" s="4">
        <f t="shared" si="60"/>
        <v>0.87654320987654322</v>
      </c>
      <c r="T34" s="4">
        <f t="shared" si="60"/>
        <v>9</v>
      </c>
      <c r="U34" s="4">
        <f t="shared" si="60"/>
        <v>1</v>
      </c>
      <c r="V34" s="4" t="e">
        <f t="shared" si="60"/>
        <v>#N/A</v>
      </c>
      <c r="W34" s="4" t="e">
        <f t="shared" si="60"/>
        <v>#N/A</v>
      </c>
      <c r="X34" s="4" t="e" vm="14">
        <f>NPV(I34,I34:M34)</f>
        <v>#VALUE!</v>
      </c>
      <c r="Y34" s="4" t="e">
        <f t="shared" si="60"/>
        <v>#N/A</v>
      </c>
      <c r="Z34" s="4" t="e">
        <f t="shared" ref="Z34:AE34" si="61">NPV(K34,K34:O34)</f>
        <v>#N/A</v>
      </c>
      <c r="AA34" s="4" t="e">
        <f>NPV(L34,L34:P34)</f>
        <v>#VALUE!</v>
      </c>
      <c r="AB34" s="4" t="e">
        <f t="shared" si="61"/>
        <v>#DIV/0!</v>
      </c>
      <c r="AC34" s="4" t="e">
        <f t="shared" si="61"/>
        <v>#NAME?</v>
      </c>
      <c r="AD34" s="4" t="e">
        <f t="shared" si="61"/>
        <v>#NULL!</v>
      </c>
      <c r="AE34" s="4" t="e">
        <f t="shared" si="61"/>
        <v>#NUM!</v>
      </c>
      <c r="AF34" s="4" t="e">
        <f>NPV(Q34,Q34:U34)</f>
        <v>#REF!</v>
      </c>
      <c r="AG34" s="4">
        <f t="array" ref="AG34">NPV(C34:G34,C34:G34)</f>
        <v>16.922200206608068</v>
      </c>
      <c r="AH34" s="4">
        <f t="array" ref="AH34:AW34">NPV(C34:Q34,C34:G34)</f>
        <v>16.922200206608068</v>
      </c>
      <c r="AI34" s="4">
        <v>0.25884773662551441</v>
      </c>
      <c r="AJ34" s="4">
        <v>10.9</v>
      </c>
      <c r="AK34" s="4">
        <v>6.8000000000000019E-2</v>
      </c>
      <c r="AL34" s="4">
        <v>4.2618312757201647E-2</v>
      </c>
      <c r="AM34" s="4">
        <v>10.9</v>
      </c>
      <c r="AN34" s="4" t="e" vm="14">
        <v>#VALUE!</v>
      </c>
      <c r="AO34" s="4">
        <v>0.85624999999999996</v>
      </c>
      <c r="AP34" s="4" t="e">
        <v>#N/A</v>
      </c>
      <c r="AQ34" s="4" t="e">
        <v>#VALUE!</v>
      </c>
      <c r="AR34" s="4" t="e">
        <v>#DIV/0!</v>
      </c>
      <c r="AS34" s="4" t="e">
        <v>#NAME?</v>
      </c>
      <c r="AT34" s="4" t="e">
        <v>#NULL!</v>
      </c>
      <c r="AU34" s="4" t="e">
        <v>#NUM!</v>
      </c>
      <c r="AV34" s="4" t="e">
        <v>#REF!</v>
      </c>
      <c r="AW34" s="4" t="e">
        <v>#N/A</v>
      </c>
    </row>
    <row r="35" spans="1:49" x14ac:dyDescent="0.15">
      <c r="A35" s="35" t="s">
        <v>256</v>
      </c>
      <c r="B35" s="36" t="s">
        <v>541</v>
      </c>
      <c r="C35" s="4">
        <v>-0.1</v>
      </c>
      <c r="D35" s="4">
        <v>0.4</v>
      </c>
      <c r="E35" s="4">
        <v>1</v>
      </c>
      <c r="F35" s="4">
        <v>4</v>
      </c>
      <c r="G35" s="4">
        <v>5</v>
      </c>
      <c r="I35" s="4" t="s">
        <v>32</v>
      </c>
      <c r="J35" s="4" t="b">
        <v>1</v>
      </c>
      <c r="K35" s="4" t="e">
        <v>#N/A</v>
      </c>
      <c r="L35" s="4" t="e">
        <f>#VALUE!</f>
        <v>#VALUE!</v>
      </c>
      <c r="M35" s="28" t="e">
        <v>#DIV/0!</v>
      </c>
      <c r="N35" s="28" t="e">
        <v>#NAME?</v>
      </c>
      <c r="O35" s="28" t="e">
        <v>#NULL!</v>
      </c>
      <c r="P35" s="28" t="e">
        <v>#NUM!</v>
      </c>
      <c r="Q35" s="28" t="e">
        <v>#REF!</v>
      </c>
      <c r="R35" s="110" t="e">
        <f>ODDFPRICE("2005-4-15","2009-7-30","2000-6-13","2007-7-30",C35,6.5%,100,4)</f>
        <v>#NUM!</v>
      </c>
      <c r="S35" s="110">
        <f>ODDFPRICE("2005-4-15","2009-7-30","2000-6-13","2007-7-30",D35,6.5%,100,4)</f>
        <v>192.54088397219229</v>
      </c>
      <c r="T35" s="110">
        <f t="shared" ref="T35:AF35" si="62">ODDFPRICE("2005-4-15","2009-7-30","2000-6-13","2007-7-30",E35,6.5%,100,4)</f>
        <v>367.61174398077077</v>
      </c>
      <c r="U35" s="110">
        <f t="shared" si="62"/>
        <v>1242.9660440236632</v>
      </c>
      <c r="V35" s="110">
        <f t="shared" si="62"/>
        <v>1534.7508107046278</v>
      </c>
      <c r="W35" s="110">
        <f t="shared" si="62"/>
        <v>75.8269772998066</v>
      </c>
      <c r="X35" s="110" t="e">
        <f t="shared" si="62"/>
        <v>#VALUE!</v>
      </c>
      <c r="Y35" s="110" t="e">
        <f t="shared" si="62"/>
        <v>#VALUE!</v>
      </c>
      <c r="Z35" s="110" t="e">
        <f t="shared" si="62"/>
        <v>#N/A</v>
      </c>
      <c r="AA35" s="110" t="e">
        <f t="shared" si="62"/>
        <v>#VALUE!</v>
      </c>
      <c r="AB35" s="110" t="e">
        <f t="shared" si="62"/>
        <v>#DIV/0!</v>
      </c>
      <c r="AC35" s="110" t="e">
        <f t="shared" si="62"/>
        <v>#NAME?</v>
      </c>
      <c r="AD35" s="110" t="e">
        <f t="shared" si="62"/>
        <v>#NULL!</v>
      </c>
      <c r="AE35" s="110" t="e">
        <f t="shared" si="62"/>
        <v>#NUM!</v>
      </c>
      <c r="AF35" s="110" t="e">
        <f>ODDFPRICE("2005-4-15","2009-7-30","2000-6-13","2007-7-30",Q35,6.5%,100,4)</f>
        <v>#REF!</v>
      </c>
      <c r="AG35" s="110">
        <f t="array" ref="AG35">ODDFPRICE("2005-4-15","2009-7-30","2000-6-13","2007-7-30",1,6.5%,100,4,{0,1,2,3,4})</f>
        <v>367.61174398077077</v>
      </c>
      <c r="AH35" s="71">
        <f t="array" ref="AH35:AW35">ODDFPRICE("2005-4-15","2009-7-30","2000-6-13","2007-7-30",1,6.5%,100,4,{0,1,2,3,4})</f>
        <v>367.61174398077077</v>
      </c>
      <c r="AI35" s="71">
        <v>367.63145108936106</v>
      </c>
      <c r="AJ35" s="71">
        <v>360.66729953632642</v>
      </c>
      <c r="AK35" s="71">
        <v>367.26809902835129</v>
      </c>
      <c r="AL35" s="71">
        <v>367.61174398077077</v>
      </c>
      <c r="AM35" s="4" t="e">
        <v>#N/A</v>
      </c>
      <c r="AN35" s="4" t="e">
        <v>#N/A</v>
      </c>
      <c r="AO35" s="4" t="e">
        <v>#N/A</v>
      </c>
      <c r="AP35" s="4" t="e">
        <v>#N/A</v>
      </c>
      <c r="AQ35" s="4" t="e">
        <v>#N/A</v>
      </c>
      <c r="AR35" s="4" t="e">
        <v>#N/A</v>
      </c>
      <c r="AS35" s="4" t="e">
        <v>#N/A</v>
      </c>
      <c r="AT35" s="4" t="e">
        <v>#N/A</v>
      </c>
      <c r="AU35" s="4" t="e">
        <v>#N/A</v>
      </c>
      <c r="AV35" s="4" t="e">
        <v>#N/A</v>
      </c>
      <c r="AW35" s="4" t="e">
        <v>#N/A</v>
      </c>
    </row>
    <row r="36" spans="1:49" x14ac:dyDescent="0.15">
      <c r="A36" s="35" t="s">
        <v>257</v>
      </c>
      <c r="B36" s="36" t="s">
        <v>541</v>
      </c>
      <c r="C36" s="4">
        <v>-0.1</v>
      </c>
      <c r="D36" s="4">
        <v>0.4</v>
      </c>
      <c r="E36" s="4">
        <v>1</v>
      </c>
      <c r="F36" s="4">
        <v>4</v>
      </c>
      <c r="G36" s="4">
        <v>5</v>
      </c>
      <c r="I36" s="4" t="s">
        <v>32</v>
      </c>
      <c r="J36" s="4" t="b">
        <v>1</v>
      </c>
      <c r="K36" s="4" t="e">
        <v>#N/A</v>
      </c>
      <c r="L36" s="4" t="e">
        <f>#VALUE!</f>
        <v>#VALUE!</v>
      </c>
      <c r="M36" s="28" t="e">
        <v>#DIV/0!</v>
      </c>
      <c r="N36" s="28" t="e">
        <v>#NAME?</v>
      </c>
      <c r="O36" s="28" t="e">
        <v>#NULL!</v>
      </c>
      <c r="P36" s="28" t="e">
        <v>#NUM!</v>
      </c>
      <c r="Q36" s="28" t="e">
        <v>#REF!</v>
      </c>
      <c r="R36" s="110" t="e">
        <f>ODDFYIELD("2005-4-15","2009-7-30","2000-6-13","2007-7-30",C36,6.5%,100,4)</f>
        <v>#NUM!</v>
      </c>
      <c r="S36" s="110">
        <f>ODDFYIELD("2005-4-15","2009-7-30","2000-6-13","2007-7-30",D35,S35,100,4)</f>
        <v>6.50000000669924E-2</v>
      </c>
      <c r="T36" s="110">
        <f>ODDFYIELD("2005-4-15","2009-7-30","2000-6-13","2007-7-30",E35,U35,100,4)</f>
        <v>-0.18824350352439026</v>
      </c>
      <c r="U36" s="110">
        <f t="shared" ref="T36:AF36" si="63">ODDFYIELD("2005-4-15","2009-7-30","2000-6-13","2007-7-30",F35,U35,100,4)</f>
        <v>6.4999999960156832E-2</v>
      </c>
      <c r="V36" s="110">
        <f t="shared" si="63"/>
        <v>6.4999999933802677E-2</v>
      </c>
      <c r="W36" s="110">
        <f t="shared" si="63"/>
        <v>6.5000000075589912E-2</v>
      </c>
      <c r="X36" s="110" t="e">
        <f t="shared" si="63"/>
        <v>#VALUE!</v>
      </c>
      <c r="Y36" s="110" t="e">
        <f t="shared" si="63"/>
        <v>#VALUE!</v>
      </c>
      <c r="Z36" s="110" t="e">
        <f t="shared" si="63"/>
        <v>#N/A</v>
      </c>
      <c r="AA36" s="110" t="e">
        <f t="shared" si="63"/>
        <v>#VALUE!</v>
      </c>
      <c r="AB36" s="110" t="e">
        <f t="shared" si="63"/>
        <v>#DIV/0!</v>
      </c>
      <c r="AC36" s="110" t="e">
        <f t="shared" si="63"/>
        <v>#NAME?</v>
      </c>
      <c r="AD36" s="110" t="e">
        <f t="shared" si="63"/>
        <v>#NULL!</v>
      </c>
      <c r="AE36" s="110" t="e">
        <f t="shared" si="63"/>
        <v>#NUM!</v>
      </c>
      <c r="AF36" s="110" t="e">
        <f t="shared" si="63"/>
        <v>#REF!</v>
      </c>
      <c r="AG36" s="110">
        <f t="array" ref="AG36">ODDFYIELD("2005-4-15","2009-7-30","2000-6-13","2007-7-30",1,AG35,100,4,{0,1,2,3,4})</f>
        <v>6.5000000037759367E-2</v>
      </c>
      <c r="AH36" s="71">
        <f t="array" ref="AH36:AW36">ODDFYIELD("2005-4-15","2009-7-30","2000-6-13","2007-7-30",1,AH35,100,4,{0,1,2,3,4})</f>
        <v>6.5000000037759367E-2</v>
      </c>
      <c r="AI36" s="71">
        <v>6.5008784206724735E-2</v>
      </c>
      <c r="AJ36" s="71">
        <v>6.1919626285298818E-2</v>
      </c>
      <c r="AK36" s="71">
        <v>6.4846831285146539E-2</v>
      </c>
      <c r="AL36" s="71">
        <v>6.5000000037759367E-2</v>
      </c>
      <c r="AM36" s="4" t="e">
        <v>#N/A</v>
      </c>
      <c r="AN36" s="4" t="e">
        <v>#N/A</v>
      </c>
      <c r="AO36" s="4" t="e">
        <v>#N/A</v>
      </c>
      <c r="AP36" s="4" t="e">
        <v>#N/A</v>
      </c>
      <c r="AQ36" s="4" t="e">
        <v>#N/A</v>
      </c>
      <c r="AR36" s="4" t="e">
        <v>#N/A</v>
      </c>
      <c r="AS36" s="4" t="e">
        <v>#N/A</v>
      </c>
      <c r="AT36" s="4" t="e">
        <v>#N/A</v>
      </c>
      <c r="AU36" s="4" t="e">
        <v>#N/A</v>
      </c>
      <c r="AV36" s="4" t="e">
        <v>#N/A</v>
      </c>
      <c r="AW36" s="4" t="e">
        <v>#N/A</v>
      </c>
    </row>
    <row r="37" spans="1:49" x14ac:dyDescent="0.15">
      <c r="A37" s="35" t="s">
        <v>258</v>
      </c>
      <c r="B37" s="36" t="s">
        <v>541</v>
      </c>
      <c r="C37" s="4">
        <v>-0.1</v>
      </c>
      <c r="D37" s="4">
        <v>0.4</v>
      </c>
      <c r="E37" s="4">
        <v>1</v>
      </c>
      <c r="F37" s="4">
        <v>4</v>
      </c>
      <c r="G37" s="4">
        <v>5</v>
      </c>
      <c r="I37" s="4" t="s">
        <v>32</v>
      </c>
      <c r="J37" s="4" t="b">
        <v>1</v>
      </c>
      <c r="K37" s="4" t="e">
        <v>#N/A</v>
      </c>
      <c r="L37" s="4" t="e">
        <f>#VALUE!</f>
        <v>#VALUE!</v>
      </c>
      <c r="M37" s="28" t="e">
        <v>#DIV/0!</v>
      </c>
      <c r="N37" s="28" t="e">
        <v>#NAME?</v>
      </c>
      <c r="O37" s="28" t="e">
        <v>#NULL!</v>
      </c>
      <c r="P37" s="28" t="e">
        <v>#NUM!</v>
      </c>
      <c r="Q37" s="28" t="e">
        <v>#REF!</v>
      </c>
      <c r="R37" s="110" t="e">
        <f>ODDLPRICE("2005-4-15","2009-7-30","2000-6-13",C37,6.5%,100,4)</f>
        <v>#NUM!</v>
      </c>
      <c r="S37" s="110">
        <f>ODDLPRICE("2005-4-15","2009-7-30","2000-6-13",D37,6.5%,100,4)</f>
        <v>170.19532678141576</v>
      </c>
      <c r="T37" s="110">
        <f t="shared" ref="S37:AF37" si="64">ODDLPRICE("2005-4-15","2009-7-30","2000-6-13",E37,6.5%,100,4)</f>
        <v>308.20537184847336</v>
      </c>
      <c r="U37" s="110">
        <f t="shared" si="64"/>
        <v>998.25559718376167</v>
      </c>
      <c r="V37" s="110">
        <f t="shared" si="64"/>
        <v>1228.272338962191</v>
      </c>
      <c r="W37" s="110">
        <f t="shared" si="64"/>
        <v>78.18863007004397</v>
      </c>
      <c r="X37" s="110" t="e">
        <f t="shared" si="64"/>
        <v>#VALUE!</v>
      </c>
      <c r="Y37" s="110" t="e">
        <f t="shared" si="64"/>
        <v>#VALUE!</v>
      </c>
      <c r="Z37" s="110" t="e">
        <f t="shared" si="64"/>
        <v>#N/A</v>
      </c>
      <c r="AA37" s="110" t="e">
        <f t="shared" si="64"/>
        <v>#VALUE!</v>
      </c>
      <c r="AB37" s="110" t="e">
        <f t="shared" si="64"/>
        <v>#DIV/0!</v>
      </c>
      <c r="AC37" s="110" t="e">
        <f t="shared" si="64"/>
        <v>#NAME?</v>
      </c>
      <c r="AD37" s="110" t="e">
        <f t="shared" si="64"/>
        <v>#NULL!</v>
      </c>
      <c r="AE37" s="110" t="e">
        <f t="shared" si="64"/>
        <v>#NUM!</v>
      </c>
      <c r="AF37" s="110" t="e">
        <f t="shared" si="64"/>
        <v>#REF!</v>
      </c>
      <c r="AG37" s="110">
        <f t="array" ref="AG37">ODDLPRICE("2005-4-15","2009-7-30","2000-6-13",{1,2},6.5%,100,4)</f>
        <v>308.20537184847336</v>
      </c>
      <c r="AH37" s="71">
        <f t="array" ref="AH37:AW37">ODDLPRICE("2005-4-15","2009-7-30","2000-6-13",{0.3,1,2},6.5%,100,4)</f>
        <v>147.19365260357281</v>
      </c>
      <c r="AI37" s="71">
        <v>308.20537184847336</v>
      </c>
      <c r="AJ37" s="71">
        <v>538.2221136269028</v>
      </c>
      <c r="AK37" s="71" t="e">
        <v>#N/A</v>
      </c>
      <c r="AL37" s="71" t="e">
        <v>#N/A</v>
      </c>
      <c r="AM37" s="4" t="e">
        <v>#N/A</v>
      </c>
      <c r="AN37" s="4" t="e">
        <v>#N/A</v>
      </c>
      <c r="AO37" s="4" t="e">
        <v>#N/A</v>
      </c>
      <c r="AP37" s="4" t="e">
        <v>#N/A</v>
      </c>
      <c r="AQ37" s="4" t="e">
        <v>#N/A</v>
      </c>
      <c r="AR37" s="4" t="e">
        <v>#N/A</v>
      </c>
      <c r="AS37" s="4" t="e">
        <v>#N/A</v>
      </c>
      <c r="AT37" s="4" t="e">
        <v>#N/A</v>
      </c>
      <c r="AU37" s="4" t="e">
        <v>#N/A</v>
      </c>
      <c r="AV37" s="4" t="e">
        <v>#N/A</v>
      </c>
      <c r="AW37" s="4" t="e">
        <v>#N/A</v>
      </c>
    </row>
    <row r="38" spans="1:49" x14ac:dyDescent="0.15">
      <c r="A38" s="35" t="s">
        <v>259</v>
      </c>
      <c r="B38" s="36" t="s">
        <v>541</v>
      </c>
      <c r="C38" s="4">
        <v>-0.1</v>
      </c>
      <c r="D38" s="4">
        <v>0.5</v>
      </c>
      <c r="E38" s="4">
        <v>1</v>
      </c>
      <c r="F38" s="4">
        <v>4</v>
      </c>
      <c r="G38" s="4">
        <v>5</v>
      </c>
      <c r="I38" s="4" t="s">
        <v>32</v>
      </c>
      <c r="J38" s="4" t="b">
        <v>1</v>
      </c>
      <c r="K38" s="4" t="e">
        <v>#N/A</v>
      </c>
      <c r="L38" s="4" t="e">
        <f>#VALUE!</f>
        <v>#VALUE!</v>
      </c>
      <c r="M38" s="28" t="e">
        <v>#DIV/0!</v>
      </c>
      <c r="N38" s="28" t="e">
        <v>#NAME?</v>
      </c>
      <c r="O38" s="28" t="e">
        <v>#NULL!</v>
      </c>
      <c r="P38" s="28" t="e">
        <v>#NUM!</v>
      </c>
      <c r="Q38" s="28" t="e">
        <v>#REF!</v>
      </c>
      <c r="R38" s="110" t="e">
        <f>ODDLYIELD("2005-4-15","2009-7-30","2000-6-13",C38,6.5%,100,4)</f>
        <v>#NUM!</v>
      </c>
      <c r="S38" s="110">
        <f t="shared" ref="S38:X38" si="65">ODDLYIELD("2005-4-15","2009-7-30","2000-6-13",D38,6.5%,100,4)</f>
        <v>0.3028221704774911</v>
      </c>
      <c r="T38" s="110">
        <f t="shared" si="65"/>
        <v>0.25474704940541082</v>
      </c>
      <c r="U38" s="110">
        <f t="shared" si="65"/>
        <v>0.21868223295511988</v>
      </c>
      <c r="V38" s="110">
        <f t="shared" si="65"/>
        <v>0.2162776534905706</v>
      </c>
      <c r="W38" s="110">
        <f t="shared" si="65"/>
        <v>358.24346527259144</v>
      </c>
      <c r="X38" s="110" t="e">
        <f t="shared" si="65"/>
        <v>#VALUE!</v>
      </c>
      <c r="Y38" s="110" t="e">
        <f t="shared" ref="Y38" si="66">ODDLYIELD("2005-4-15","2009-7-30","2000-6-13",J38,6.5%,100,4)</f>
        <v>#VALUE!</v>
      </c>
      <c r="Z38" s="110" t="e">
        <f t="shared" ref="Z38" si="67">ODDLYIELD("2005-4-15","2009-7-30","2000-6-13",K38,6.5%,100,4)</f>
        <v>#N/A</v>
      </c>
      <c r="AA38" s="110" t="e">
        <f t="shared" ref="AA38" si="68">ODDLYIELD("2005-4-15","2009-7-30","2000-6-13",L38,6.5%,100,4)</f>
        <v>#VALUE!</v>
      </c>
      <c r="AB38" s="110" t="e">
        <f t="shared" ref="AB38" si="69">ODDLYIELD("2005-4-15","2009-7-30","2000-6-13",M38,6.5%,100,4)</f>
        <v>#DIV/0!</v>
      </c>
      <c r="AC38" s="110" t="e">
        <f t="shared" ref="AC38:AD38" si="70">ODDLYIELD("2005-4-15","2009-7-30","2000-6-13",N38,6.5%,100,4)</f>
        <v>#NAME?</v>
      </c>
      <c r="AD38" s="110" t="e">
        <f t="shared" si="70"/>
        <v>#NULL!</v>
      </c>
      <c r="AE38" s="110" t="e">
        <f t="shared" ref="AE38" si="71">ODDLYIELD("2005-4-15","2009-7-30","2000-6-13",P38,6.5%,100,4)</f>
        <v>#NUM!</v>
      </c>
      <c r="AF38" s="110" t="e">
        <f t="shared" ref="AF38" si="72">ODDLYIELD("2005-4-15","2009-7-30","2000-6-13",Q38,6.5%,100,4)</f>
        <v>#REF!</v>
      </c>
      <c r="AG38" s="110">
        <f t="array" ref="AG38">ODDLYIELD("2005-4-15","2009-7-30","2000-6-13",{1,2},6.5%,100,4)</f>
        <v>0.25474704940541082</v>
      </c>
      <c r="AH38" s="71">
        <f t="array" ref="AH38:AW38">ODDLYIELD("2005-4-15","2009-7-30","2000-6-13",{0.3,1,2},6.5%,100,4)</f>
        <v>0.36690224980354463</v>
      </c>
      <c r="AI38" s="71">
        <v>0.25474704940541082</v>
      </c>
      <c r="AJ38" s="71">
        <v>0.23070464580558783</v>
      </c>
      <c r="AK38" s="71" t="e">
        <v>#N/A</v>
      </c>
      <c r="AL38" s="71" t="e">
        <v>#N/A</v>
      </c>
      <c r="AM38" s="4" t="e">
        <v>#N/A</v>
      </c>
      <c r="AN38" s="4" t="e">
        <v>#N/A</v>
      </c>
      <c r="AO38" s="4" t="e">
        <v>#N/A</v>
      </c>
      <c r="AP38" s="4" t="e">
        <v>#N/A</v>
      </c>
      <c r="AQ38" s="4" t="e">
        <v>#N/A</v>
      </c>
      <c r="AR38" s="4" t="e">
        <v>#N/A</v>
      </c>
      <c r="AS38" s="4" t="e">
        <v>#N/A</v>
      </c>
      <c r="AT38" s="4" t="e">
        <v>#N/A</v>
      </c>
      <c r="AU38" s="4" t="e">
        <v>#N/A</v>
      </c>
      <c r="AV38" s="4" t="e">
        <v>#N/A</v>
      </c>
      <c r="AW38" s="4" t="e">
        <v>#N/A</v>
      </c>
    </row>
    <row r="39" spans="1:49" x14ac:dyDescent="0.15">
      <c r="A39" s="35" t="s">
        <v>260</v>
      </c>
      <c r="B39" s="36" t="s">
        <v>541</v>
      </c>
      <c r="C39" s="4">
        <v>-0.1</v>
      </c>
      <c r="D39" s="4">
        <v>2</v>
      </c>
      <c r="E39" s="4">
        <v>0</v>
      </c>
      <c r="F39" s="4">
        <v>4</v>
      </c>
      <c r="G39" s="4">
        <v>5</v>
      </c>
      <c r="I39" s="4" t="s">
        <v>32</v>
      </c>
      <c r="J39" s="4" t="b">
        <v>1</v>
      </c>
      <c r="K39" s="4" t="e">
        <v>#N/A</v>
      </c>
      <c r="L39" s="4" t="e">
        <f>#VALUE!</f>
        <v>#VALUE!</v>
      </c>
      <c r="M39" s="28" t="e">
        <v>#DIV/0!</v>
      </c>
      <c r="N39" s="28" t="e">
        <v>#NAME?</v>
      </c>
      <c r="O39" s="28" t="e">
        <v>#NULL!</v>
      </c>
      <c r="P39" s="28" t="e">
        <v>#NUM!</v>
      </c>
      <c r="Q39" s="28" t="e">
        <v>#REF!</v>
      </c>
      <c r="R39" s="4">
        <f>_xlfn.PDURATION(12,2,1)</f>
        <v>-0.27023815442731974</v>
      </c>
      <c r="S39" s="4">
        <f>_xlfn.PDURATION(2.5%,2000,2200)</f>
        <v>3.8598661626226551</v>
      </c>
      <c r="T39" s="4" t="e">
        <f>_xlfn.PDURATION(2.5%,2000,-2200)</f>
        <v>#NUM!</v>
      </c>
      <c r="U39" s="4" t="e">
        <f>_xlfn.PDURATION(2.5%,-2000,2200)</f>
        <v>#NUM!</v>
      </c>
      <c r="V39" s="4" t="e">
        <f>_xlfn.PDURATION(-2.5%,H39,2200)</f>
        <v>#NUM!</v>
      </c>
      <c r="W39" s="4" t="e" vm="15">
        <f t="shared" ref="W39:AF39" si="73">_xlfn.PDURATION(-2.5%,I39,2200)</f>
        <v>#VALUE!</v>
      </c>
      <c r="X39" s="4" t="e">
        <f t="shared" si="73"/>
        <v>#NUM!</v>
      </c>
      <c r="Y39" s="4" t="e">
        <f t="shared" si="73"/>
        <v>#N/A</v>
      </c>
      <c r="Z39" s="4" t="e">
        <f t="shared" si="73"/>
        <v>#VALUE!</v>
      </c>
      <c r="AA39" s="4" t="e">
        <f t="shared" si="73"/>
        <v>#DIV/0!</v>
      </c>
      <c r="AB39" s="4" t="e">
        <f t="shared" si="73"/>
        <v>#NAME?</v>
      </c>
      <c r="AC39" s="4" t="e">
        <f t="shared" si="73"/>
        <v>#NULL!</v>
      </c>
      <c r="AD39" s="4" t="e">
        <f t="shared" si="73"/>
        <v>#NUM!</v>
      </c>
      <c r="AE39" s="4" t="e">
        <f t="shared" si="73"/>
        <v>#REF!</v>
      </c>
      <c r="AF39" s="4" t="e">
        <f t="shared" si="73"/>
        <v>#NUM!</v>
      </c>
      <c r="AG39" s="4" t="e">
        <f t="array" ref="AG39">_xlfn.PDURATION(C39:Q39,3,2)</f>
        <v>#NUM!</v>
      </c>
      <c r="AH39" s="4" t="e">
        <f t="array" ref="AH39:AW39">_xlfn.PDURATION(C39:Q39,3,2)</f>
        <v>#NUM!</v>
      </c>
      <c r="AI39" s="4">
        <v>-0.36907024642854264</v>
      </c>
      <c r="AJ39" s="4" t="e">
        <v>#NUM!</v>
      </c>
      <c r="AK39" s="4">
        <v>-0.25192963641259231</v>
      </c>
      <c r="AL39" s="4">
        <v>-0.22629438553091691</v>
      </c>
      <c r="AM39" s="4" t="e">
        <v>#NUM!</v>
      </c>
      <c r="AN39" s="4" t="e" vm="15">
        <v>#VALUE!</v>
      </c>
      <c r="AO39" s="4">
        <v>-0.58496250072115641</v>
      </c>
      <c r="AP39" s="4" t="e">
        <v>#N/A</v>
      </c>
      <c r="AQ39" s="4" t="e">
        <v>#VALUE!</v>
      </c>
      <c r="AR39" s="4" t="e">
        <v>#DIV/0!</v>
      </c>
      <c r="AS39" s="4" t="e">
        <v>#NAME?</v>
      </c>
      <c r="AT39" s="4" t="e">
        <v>#NULL!</v>
      </c>
      <c r="AU39" s="4" t="e">
        <v>#NUM!</v>
      </c>
      <c r="AV39" s="4" t="e">
        <v>#REF!</v>
      </c>
      <c r="AW39" s="4" t="e">
        <v>#N/A</v>
      </c>
    </row>
    <row r="40" spans="1:49" x14ac:dyDescent="0.15">
      <c r="A40" s="35" t="s">
        <v>261</v>
      </c>
      <c r="B40" s="36" t="s">
        <v>541</v>
      </c>
      <c r="C40" s="4">
        <v>-0.1</v>
      </c>
      <c r="D40" s="4">
        <v>2</v>
      </c>
      <c r="E40" s="4">
        <v>0</v>
      </c>
      <c r="F40" s="4">
        <v>4</v>
      </c>
      <c r="G40" s="4">
        <v>5</v>
      </c>
      <c r="I40" s="4" t="s">
        <v>32</v>
      </c>
      <c r="J40" s="4" t="b">
        <v>1</v>
      </c>
      <c r="K40" s="4" t="e">
        <v>#N/A</v>
      </c>
      <c r="L40" s="4" t="e">
        <f>#VALUE!</f>
        <v>#VALUE!</v>
      </c>
      <c r="M40" s="28" t="e">
        <v>#DIV/0!</v>
      </c>
      <c r="N40" s="28" t="e">
        <v>#NAME?</v>
      </c>
      <c r="O40" s="28" t="e">
        <v>#NULL!</v>
      </c>
      <c r="P40" s="28" t="e">
        <v>#NUM!</v>
      </c>
      <c r="Q40" s="28" t="e">
        <v>#REF!</v>
      </c>
      <c r="R40" s="4">
        <f>PMT(C40/12,D40,E40,10000,1)</f>
        <v>-5063.1131113533274</v>
      </c>
      <c r="S40" s="4" t="e">
        <f>PMT(D40/12,E40,F40,10000,1)</f>
        <v>#NUM!</v>
      </c>
      <c r="T40" s="4">
        <f t="shared" ref="T40:AF40" si="74">PMT(E40/12,F40,G40,10000,1)</f>
        <v>-2501.25</v>
      </c>
      <c r="U40" s="4">
        <f t="shared" si="74"/>
        <v>-777.84891165172849</v>
      </c>
      <c r="V40" s="4" t="e" vm="16">
        <f t="shared" si="74"/>
        <v>#VALUE!</v>
      </c>
      <c r="W40" s="4" t="e" vm="16">
        <f t="shared" si="74"/>
        <v>#VALUE!</v>
      </c>
      <c r="X40" s="4" t="e" vm="17">
        <f t="shared" si="74"/>
        <v>#VALUE!</v>
      </c>
      <c r="Y40" s="4" t="e">
        <f t="shared" si="74"/>
        <v>#N/A</v>
      </c>
      <c r="Z40" s="4" t="e">
        <f t="shared" si="74"/>
        <v>#N/A</v>
      </c>
      <c r="AA40" s="4" t="e">
        <f t="shared" si="74"/>
        <v>#VALUE!</v>
      </c>
      <c r="AB40" s="4" t="e">
        <f t="shared" si="74"/>
        <v>#DIV/0!</v>
      </c>
      <c r="AC40" s="4" t="e">
        <f t="shared" si="74"/>
        <v>#NAME?</v>
      </c>
      <c r="AD40" s="4" t="e">
        <f t="shared" si="74"/>
        <v>#NULL!</v>
      </c>
      <c r="AE40" s="4" t="e">
        <f t="shared" si="74"/>
        <v>#NUM!</v>
      </c>
      <c r="AF40" s="4" t="e">
        <f t="shared" si="74"/>
        <v>#REF!</v>
      </c>
      <c r="AG40" s="4">
        <f t="array" ref="AG40">PMT(C40/12,D40,E40,F40:G40,1)</f>
        <v>-2.0252452445413311</v>
      </c>
      <c r="AH40" s="4">
        <f t="array" ref="AH40:AW40">PMT(C40/12,D40:E40,E40:F40,F40:G40,1)</f>
        <v>-2.0252452445413311</v>
      </c>
      <c r="AI40" s="4" t="e">
        <v>#NUM!</v>
      </c>
      <c r="AJ40" s="4" t="e">
        <v>#N/A</v>
      </c>
      <c r="AK40" s="4" t="e">
        <v>#N/A</v>
      </c>
      <c r="AL40" s="4" t="e">
        <v>#N/A</v>
      </c>
      <c r="AM40" s="4" t="e">
        <v>#N/A</v>
      </c>
      <c r="AN40" s="4" t="e">
        <v>#N/A</v>
      </c>
      <c r="AO40" s="4" t="e">
        <v>#N/A</v>
      </c>
      <c r="AP40" s="4" t="e">
        <v>#N/A</v>
      </c>
      <c r="AQ40" s="4" t="e">
        <v>#N/A</v>
      </c>
      <c r="AR40" s="4" t="e">
        <v>#N/A</v>
      </c>
      <c r="AS40" s="4" t="e">
        <v>#N/A</v>
      </c>
      <c r="AT40" s="4" t="e">
        <v>#N/A</v>
      </c>
      <c r="AU40" s="4" t="e">
        <v>#N/A</v>
      </c>
      <c r="AV40" s="4" t="e">
        <v>#N/A</v>
      </c>
      <c r="AW40" s="4" t="e">
        <v>#N/A</v>
      </c>
    </row>
    <row r="41" spans="1:49" x14ac:dyDescent="0.15">
      <c r="A41" s="35" t="s">
        <v>262</v>
      </c>
      <c r="B41" s="36" t="s">
        <v>541</v>
      </c>
      <c r="C41" s="4">
        <v>-0.1</v>
      </c>
      <c r="D41" s="4">
        <v>2</v>
      </c>
      <c r="E41" s="4">
        <v>1</v>
      </c>
      <c r="F41" s="4">
        <v>4</v>
      </c>
      <c r="G41" s="4">
        <v>5</v>
      </c>
      <c r="I41" s="4" t="s">
        <v>32</v>
      </c>
      <c r="J41" s="4" t="b">
        <v>1</v>
      </c>
      <c r="K41" s="4" t="e">
        <v>#N/A</v>
      </c>
      <c r="L41" s="4" t="e">
        <f>#VALUE!</f>
        <v>#VALUE!</v>
      </c>
      <c r="M41" s="28" t="e">
        <v>#DIV/0!</v>
      </c>
      <c r="N41" s="28" t="e">
        <v>#NAME?</v>
      </c>
      <c r="O41" s="28" t="e">
        <v>#NULL!</v>
      </c>
      <c r="P41" s="28" t="e">
        <v>#NUM!</v>
      </c>
      <c r="Q41" s="28" t="e">
        <v>#REF!</v>
      </c>
      <c r="R41" s="4">
        <f>PPMT(C41,"3","33","10000","1")</f>
        <v>-835.9133596022948</v>
      </c>
      <c r="S41" s="4">
        <f t="shared" ref="S41:AF41" si="75">PPMT(D41,"3","33","10000","1")</f>
        <v>-3.2382809621291993E-11</v>
      </c>
      <c r="T41" s="4">
        <f t="shared" si="75"/>
        <v>-4.6570785349068514E-6</v>
      </c>
      <c r="U41" s="4">
        <f t="shared" si="75"/>
        <v>-8.5907935854592492E-18</v>
      </c>
      <c r="V41" s="4">
        <f t="shared" si="75"/>
        <v>-3.7698552037230904E-20</v>
      </c>
      <c r="W41" s="4">
        <f t="shared" si="75"/>
        <v>-303.06060606060606</v>
      </c>
      <c r="X41" s="4" t="e" vm="18">
        <f t="shared" si="75"/>
        <v>#VALUE!</v>
      </c>
      <c r="Y41" s="4">
        <f t="shared" si="75"/>
        <v>-4.6570785349068514E-6</v>
      </c>
      <c r="Z41" s="4" t="e">
        <f>PPMT(K41,"3","33","10000","1")</f>
        <v>#N/A</v>
      </c>
      <c r="AA41" s="4" t="e">
        <f t="shared" si="75"/>
        <v>#VALUE!</v>
      </c>
      <c r="AB41" s="4" t="e">
        <f t="shared" si="75"/>
        <v>#DIV/0!</v>
      </c>
      <c r="AC41" s="4" t="e">
        <f t="shared" si="75"/>
        <v>#NAME?</v>
      </c>
      <c r="AD41" s="4" t="e">
        <f t="shared" si="75"/>
        <v>#NULL!</v>
      </c>
      <c r="AE41" s="4" t="e">
        <f t="shared" si="75"/>
        <v>#NUM!</v>
      </c>
      <c r="AF41" s="4" t="e">
        <f t="shared" si="75"/>
        <v>#REF!</v>
      </c>
      <c r="AG41" s="4" t="e">
        <f t="array" ref="AG41">PPMT(C41/12,D41,E41,F41:G41,1)</f>
        <v>#NUM!</v>
      </c>
      <c r="AH41" s="4" t="e">
        <f t="array" ref="AH41:AW41">PPMT(C41/12,D41:E41,E41:F41,F41:G41)</f>
        <v>#NUM!</v>
      </c>
      <c r="AI41" s="4">
        <v>-1.265733959422386</v>
      </c>
      <c r="AJ41" s="4" t="e">
        <v>#N/A</v>
      </c>
      <c r="AK41" s="4" t="e">
        <v>#N/A</v>
      </c>
      <c r="AL41" s="4" t="e">
        <v>#N/A</v>
      </c>
      <c r="AM41" s="4" t="e">
        <v>#N/A</v>
      </c>
      <c r="AN41" s="4" t="e">
        <v>#N/A</v>
      </c>
      <c r="AO41" s="4" t="e">
        <v>#N/A</v>
      </c>
      <c r="AP41" s="4" t="e">
        <v>#N/A</v>
      </c>
      <c r="AQ41" s="4" t="e">
        <v>#N/A</v>
      </c>
      <c r="AR41" s="4" t="e">
        <v>#N/A</v>
      </c>
      <c r="AS41" s="4" t="e">
        <v>#N/A</v>
      </c>
      <c r="AT41" s="4" t="e">
        <v>#N/A</v>
      </c>
      <c r="AU41" s="4" t="e">
        <v>#N/A</v>
      </c>
      <c r="AV41" s="4" t="e">
        <v>#N/A</v>
      </c>
      <c r="AW41" s="4" t="e">
        <v>#N/A</v>
      </c>
    </row>
    <row r="42" spans="1:49" x14ac:dyDescent="0.15">
      <c r="A42" s="35" t="s">
        <v>263</v>
      </c>
      <c r="B42" s="36" t="s">
        <v>541</v>
      </c>
      <c r="C42" s="4">
        <v>-0.1</v>
      </c>
      <c r="D42" s="4">
        <v>0</v>
      </c>
      <c r="E42" s="4">
        <v>1</v>
      </c>
      <c r="F42" s="4">
        <v>4</v>
      </c>
      <c r="G42" s="4">
        <v>5</v>
      </c>
      <c r="I42" s="4" t="s">
        <v>32</v>
      </c>
      <c r="J42" s="4" t="b">
        <v>1</v>
      </c>
      <c r="K42" s="4" t="e">
        <v>#N/A</v>
      </c>
      <c r="L42" s="4" t="e">
        <f>#VALUE!</f>
        <v>#VALUE!</v>
      </c>
      <c r="M42" s="28" t="e">
        <v>#DIV/0!</v>
      </c>
      <c r="N42" s="28" t="e">
        <v>#NAME?</v>
      </c>
      <c r="O42" s="28" t="e">
        <v>#NULL!</v>
      </c>
      <c r="P42" s="28" t="e">
        <v>#NUM!</v>
      </c>
      <c r="Q42" s="28" t="e">
        <v>#REF!</v>
      </c>
      <c r="R42" s="110" t="e">
        <f>PRICE("15/4/2005","31/7/2009",C42,6.5%,100,4)</f>
        <v>#NUM!</v>
      </c>
      <c r="S42" s="110">
        <f>PRICE("15/4/2005","31/7/2009",D42,6.5%,100,4)</f>
        <v>75.826977299806586</v>
      </c>
      <c r="T42" s="110">
        <f>PRICE("15/4/2005","31/7/2009",E42,6.5%,100,4)</f>
        <v>447.69159914994805</v>
      </c>
      <c r="U42" s="110">
        <f t="shared" ref="U42:AF42" si="76">PRICE("15/4/2005","31/7/2009",F42,6.5%,100,4)</f>
        <v>1563.2854647003726</v>
      </c>
      <c r="V42" s="110">
        <f t="shared" si="76"/>
        <v>1935.1500865505141</v>
      </c>
      <c r="W42" s="110">
        <f t="shared" si="76"/>
        <v>75.826977299806586</v>
      </c>
      <c r="X42" s="92" t="e">
        <f t="shared" si="76"/>
        <v>#VALUE!</v>
      </c>
      <c r="Y42" s="92" t="e">
        <f t="shared" si="76"/>
        <v>#VALUE!</v>
      </c>
      <c r="Z42" s="92" t="e">
        <f t="shared" si="76"/>
        <v>#N/A</v>
      </c>
      <c r="AA42" s="92" t="e">
        <f t="shared" si="76"/>
        <v>#VALUE!</v>
      </c>
      <c r="AB42" s="92" t="e">
        <f t="shared" si="76"/>
        <v>#DIV/0!</v>
      </c>
      <c r="AC42" s="92" t="e">
        <f t="shared" si="76"/>
        <v>#NAME?</v>
      </c>
      <c r="AD42" s="92" t="e">
        <f t="shared" si="76"/>
        <v>#NULL!</v>
      </c>
      <c r="AE42" s="92" t="e">
        <f t="shared" si="76"/>
        <v>#NUM!</v>
      </c>
      <c r="AF42" s="92" t="e">
        <f t="shared" si="76"/>
        <v>#REF!</v>
      </c>
      <c r="AG42" s="109">
        <f t="array" ref="AG42">PRICE("15/4/2005","31/7/2009",5.75%,6.5%,100,4,{0,1,2,3,4})</f>
        <v>97.209193056189704</v>
      </c>
      <c r="AH42" s="71">
        <f t="array" ref="AH42:AW42">PRICE("15/4/2011","31/7/2011",5.75%,6.5%,100,4,{0,1,4})</f>
        <v>99.783423940397441</v>
      </c>
      <c r="AI42" s="71">
        <v>99.783067700276817</v>
      </c>
      <c r="AJ42" s="71">
        <v>99.783423940397441</v>
      </c>
      <c r="AK42" s="71" t="e">
        <v>#N/A</v>
      </c>
      <c r="AL42" s="71" t="e">
        <v>#N/A</v>
      </c>
      <c r="AM42" s="4" t="e">
        <v>#N/A</v>
      </c>
      <c r="AN42" s="4" t="e">
        <v>#N/A</v>
      </c>
      <c r="AO42" s="4" t="e">
        <v>#N/A</v>
      </c>
      <c r="AP42" s="4" t="e">
        <v>#N/A</v>
      </c>
      <c r="AQ42" s="4" t="e">
        <v>#N/A</v>
      </c>
      <c r="AR42" s="4" t="e">
        <v>#N/A</v>
      </c>
      <c r="AS42" s="4" t="e">
        <v>#N/A</v>
      </c>
      <c r="AT42" s="4" t="e">
        <v>#N/A</v>
      </c>
      <c r="AU42" s="4" t="e">
        <v>#N/A</v>
      </c>
      <c r="AV42" s="4" t="e">
        <v>#N/A</v>
      </c>
      <c r="AW42" s="4" t="e">
        <v>#N/A</v>
      </c>
    </row>
    <row r="43" spans="1:49" x14ac:dyDescent="0.15">
      <c r="A43" s="35" t="s">
        <v>264</v>
      </c>
      <c r="B43" s="36" t="s">
        <v>541</v>
      </c>
      <c r="C43" s="4">
        <v>-0.1</v>
      </c>
      <c r="D43" s="4">
        <v>0</v>
      </c>
      <c r="E43" s="4">
        <v>1</v>
      </c>
      <c r="F43" s="4">
        <v>4</v>
      </c>
      <c r="G43" s="4">
        <v>5</v>
      </c>
      <c r="I43" s="4" t="s">
        <v>32</v>
      </c>
      <c r="J43" s="4" t="b">
        <v>1</v>
      </c>
      <c r="K43" s="4" t="e">
        <v>#N/A</v>
      </c>
      <c r="L43" s="4" t="e">
        <f>#VALUE!</f>
        <v>#VALUE!</v>
      </c>
      <c r="M43" s="28" t="e">
        <v>#DIV/0!</v>
      </c>
      <c r="N43" s="28" t="e">
        <v>#NAME?</v>
      </c>
      <c r="O43" s="28" t="e">
        <v>#NULL!</v>
      </c>
      <c r="P43" s="28" t="e">
        <v>#NUM!</v>
      </c>
      <c r="Q43" s="28" t="e">
        <v>#REF!</v>
      </c>
      <c r="R43" s="110" t="e">
        <f>PRICEDISC("15/4/2005","31/7/2009",5.75%,C43)</f>
        <v>#NUM!</v>
      </c>
      <c r="S43" s="110" t="e">
        <f>PRICEDISC("15/4/2005","31/7/2009",5.75%,D43)</f>
        <v>#NUM!</v>
      </c>
      <c r="T43" s="110">
        <f>PRICEDISC("15/4/2005","31/7/2009",5.75%,E43)</f>
        <v>0.75306944444444435</v>
      </c>
      <c r="U43" s="110">
        <f t="shared" ref="U43:AF43" si="77">PRICEDISC("15/4/2005","31/7/2009",5.75%,F43)</f>
        <v>3.0122777777777774</v>
      </c>
      <c r="V43" s="110">
        <f t="shared" si="77"/>
        <v>3.7653472222222222</v>
      </c>
      <c r="W43" s="110" t="e">
        <f t="shared" si="77"/>
        <v>#NUM!</v>
      </c>
      <c r="X43" s="92" t="e">
        <f t="shared" si="77"/>
        <v>#VALUE!</v>
      </c>
      <c r="Y43" s="92" t="e">
        <f t="shared" si="77"/>
        <v>#VALUE!</v>
      </c>
      <c r="Z43" s="92" t="e">
        <f t="shared" si="77"/>
        <v>#N/A</v>
      </c>
      <c r="AA43" s="92" t="e">
        <f t="shared" si="77"/>
        <v>#VALUE!</v>
      </c>
      <c r="AB43" s="92" t="e">
        <f t="shared" si="77"/>
        <v>#DIV/0!</v>
      </c>
      <c r="AC43" s="92" t="e">
        <f t="shared" si="77"/>
        <v>#NAME?</v>
      </c>
      <c r="AD43" s="92" t="e">
        <f t="shared" si="77"/>
        <v>#NULL!</v>
      </c>
      <c r="AE43" s="92" t="e">
        <f t="shared" si="77"/>
        <v>#NUM!</v>
      </c>
      <c r="AF43" s="92" t="e">
        <f t="shared" si="77"/>
        <v>#REF!</v>
      </c>
      <c r="AG43" s="109">
        <f t="array" ref="AG43">PRICEDISC("15/4/2005","31/7/2009",5.75%,100,{0,1,2,3,4})</f>
        <v>75.30694444444444</v>
      </c>
      <c r="AH43" s="71">
        <f t="array" ref="AH43:AW43">PRICEDISC("15/4/2009","31/7/2009",5.75%,100,{0,1,2,3,4})</f>
        <v>98.30694444444444</v>
      </c>
      <c r="AI43" s="71">
        <v>98.314383561643837</v>
      </c>
      <c r="AJ43" s="71">
        <v>98.290972222222223</v>
      </c>
      <c r="AK43" s="71">
        <v>98.314383561643837</v>
      </c>
      <c r="AL43" s="71">
        <v>98.322916666666671</v>
      </c>
      <c r="AM43" s="4" t="e">
        <v>#N/A</v>
      </c>
      <c r="AN43" s="4" t="e">
        <v>#N/A</v>
      </c>
      <c r="AO43" s="4" t="e">
        <v>#N/A</v>
      </c>
      <c r="AP43" s="4" t="e">
        <v>#N/A</v>
      </c>
      <c r="AQ43" s="4" t="e">
        <v>#N/A</v>
      </c>
      <c r="AR43" s="4" t="e">
        <v>#N/A</v>
      </c>
      <c r="AS43" s="4" t="e">
        <v>#N/A</v>
      </c>
      <c r="AT43" s="4" t="e">
        <v>#N/A</v>
      </c>
      <c r="AU43" s="4" t="e">
        <v>#N/A</v>
      </c>
      <c r="AV43" s="4" t="e">
        <v>#N/A</v>
      </c>
      <c r="AW43" s="4" t="e">
        <v>#N/A</v>
      </c>
    </row>
    <row r="44" spans="1:49" x14ac:dyDescent="0.15">
      <c r="A44" s="35" t="s">
        <v>265</v>
      </c>
      <c r="B44" s="36" t="s">
        <v>541</v>
      </c>
      <c r="C44" s="4">
        <v>-0.1</v>
      </c>
      <c r="D44" s="4">
        <v>0</v>
      </c>
      <c r="E44" s="4">
        <v>1</v>
      </c>
      <c r="F44" s="4">
        <v>4</v>
      </c>
      <c r="G44" s="4">
        <v>5</v>
      </c>
      <c r="I44" s="4" t="s">
        <v>32</v>
      </c>
      <c r="J44" s="4" t="b">
        <v>1</v>
      </c>
      <c r="K44" s="4" t="e">
        <v>#N/A</v>
      </c>
      <c r="L44" s="4" t="e">
        <f>#VALUE!</f>
        <v>#VALUE!</v>
      </c>
      <c r="M44" s="28" t="e">
        <v>#DIV/0!</v>
      </c>
      <c r="N44" s="28" t="e">
        <v>#NAME?</v>
      </c>
      <c r="O44" s="28" t="e">
        <v>#NULL!</v>
      </c>
      <c r="P44" s="28" t="e">
        <v>#NUM!</v>
      </c>
      <c r="Q44" s="28" t="e">
        <v>#REF!</v>
      </c>
      <c r="R44" s="110" t="e">
        <f>PRICEMAT("15/4/2005","31/7/2009","15/4/2000",5.75%,C44)</f>
        <v>#NUM!</v>
      </c>
      <c r="S44" s="110">
        <f>PRICEMAT("15/4/2005","31/7/2009","15/4/2000",5.75%,D44)</f>
        <v>124.69305555555556</v>
      </c>
      <c r="T44" s="110">
        <f>PRICEMAT("15/4/2005","31/7/2009","15/4/2000",5.75%,E44)</f>
        <v>0.23189926547743767</v>
      </c>
      <c r="U44" s="110">
        <f t="shared" ref="U44:AF44" si="78">PRICEMAT("15/4/2005","31/7/2009","15/4/2000",5.75%,F44)</f>
        <v>-20.308756112469439</v>
      </c>
      <c r="V44" s="110">
        <f t="shared" si="78"/>
        <v>-21.921878862793577</v>
      </c>
      <c r="W44" s="110">
        <f t="shared" si="78"/>
        <v>124.69305555555556</v>
      </c>
      <c r="X44" s="92" t="e">
        <f t="shared" si="78"/>
        <v>#VALUE!</v>
      </c>
      <c r="Y44" s="92" t="e">
        <f t="shared" si="78"/>
        <v>#VALUE!</v>
      </c>
      <c r="Z44" s="92" t="e">
        <f t="shared" si="78"/>
        <v>#N/A</v>
      </c>
      <c r="AA44" s="92" t="e">
        <f t="shared" si="78"/>
        <v>#VALUE!</v>
      </c>
      <c r="AB44" s="92" t="e">
        <f t="shared" si="78"/>
        <v>#DIV/0!</v>
      </c>
      <c r="AC44" s="92" t="e">
        <f t="shared" si="78"/>
        <v>#NAME?</v>
      </c>
      <c r="AD44" s="92" t="e">
        <f t="shared" si="78"/>
        <v>#NULL!</v>
      </c>
      <c r="AE44" s="92" t="e">
        <f t="shared" si="78"/>
        <v>#NUM!</v>
      </c>
      <c r="AF44" s="92" t="e">
        <f t="shared" si="78"/>
        <v>#REF!</v>
      </c>
      <c r="AG44" s="109">
        <f t="array" ref="AG44">PRICEMAT("15/4/2005","31/7/2009","15/4/2000",5.75%,100,{0,1,2,3,4})</f>
        <v>-28.393524135260716</v>
      </c>
      <c r="AH44" s="71">
        <f t="array" ref="AH44:AW44">PRICEMAT("15/4/2009","31/7/2009","15/4/2000",5.75%,100,{0,2,3,4})</f>
        <v>-46.709899635036507</v>
      </c>
      <c r="AI44" s="71">
        <v>-47.48120981514969</v>
      </c>
      <c r="AJ44" s="71">
        <v>-46.719102872812584</v>
      </c>
      <c r="AK44" s="71">
        <v>-46.664019337016583</v>
      </c>
      <c r="AL44" s="71" t="e">
        <v>#N/A</v>
      </c>
      <c r="AM44" s="4" t="e">
        <v>#N/A</v>
      </c>
      <c r="AN44" s="4" t="e">
        <v>#N/A</v>
      </c>
      <c r="AO44" s="4" t="e">
        <v>#N/A</v>
      </c>
      <c r="AP44" s="4" t="e">
        <v>#N/A</v>
      </c>
      <c r="AQ44" s="4" t="e">
        <v>#N/A</v>
      </c>
      <c r="AR44" s="4" t="e">
        <v>#N/A</v>
      </c>
      <c r="AS44" s="4" t="e">
        <v>#N/A</v>
      </c>
      <c r="AT44" s="4" t="e">
        <v>#N/A</v>
      </c>
      <c r="AU44" s="4" t="e">
        <v>#N/A</v>
      </c>
      <c r="AV44" s="4" t="e">
        <v>#N/A</v>
      </c>
      <c r="AW44" s="4" t="e">
        <v>#N/A</v>
      </c>
    </row>
    <row r="45" spans="1:49" x14ac:dyDescent="0.15">
      <c r="A45" s="35" t="s">
        <v>266</v>
      </c>
      <c r="B45" s="36" t="s">
        <v>541</v>
      </c>
      <c r="C45" s="4">
        <v>-0.1</v>
      </c>
      <c r="D45" s="4">
        <v>2</v>
      </c>
      <c r="E45" s="4">
        <v>0</v>
      </c>
      <c r="F45" s="4">
        <v>4</v>
      </c>
      <c r="G45" s="4">
        <v>5</v>
      </c>
      <c r="I45" s="4" t="s">
        <v>32</v>
      </c>
      <c r="J45" s="4" t="b">
        <v>1</v>
      </c>
      <c r="K45" s="4" t="e">
        <v>#N/A</v>
      </c>
      <c r="L45" s="4" t="e">
        <f>#VALUE!</f>
        <v>#VALUE!</v>
      </c>
      <c r="M45" s="28" t="e">
        <v>#DIV/0!</v>
      </c>
      <c r="N45" s="28" t="e">
        <v>#NAME?</v>
      </c>
      <c r="O45" s="28" t="e">
        <v>#NULL!</v>
      </c>
      <c r="P45" s="28" t="e">
        <v>#NUM!</v>
      </c>
      <c r="Q45" s="28" t="e">
        <v>#REF!</v>
      </c>
      <c r="R45" s="4">
        <f>PV(C45,3, 22)</f>
        <v>-81.783264746227673</v>
      </c>
      <c r="S45" s="4">
        <f t="shared" ref="S45:AF45" si="79">PV(D45,3, 22)</f>
        <v>-10.592592592592593</v>
      </c>
      <c r="T45" s="4">
        <f t="shared" si="79"/>
        <v>-66</v>
      </c>
      <c r="U45" s="4">
        <f t="shared" si="79"/>
        <v>-5.4560000000000004</v>
      </c>
      <c r="V45" s="4">
        <f t="shared" si="79"/>
        <v>-4.3796296296296298</v>
      </c>
      <c r="W45" s="4">
        <f t="shared" si="79"/>
        <v>-66</v>
      </c>
      <c r="X45" s="4" t="e" vm="19">
        <f t="shared" si="79"/>
        <v>#VALUE!</v>
      </c>
      <c r="Y45" s="4">
        <f t="shared" si="79"/>
        <v>-19.25</v>
      </c>
      <c r="Z45" s="4" t="e">
        <f t="shared" si="79"/>
        <v>#N/A</v>
      </c>
      <c r="AA45" s="4" t="e">
        <f t="shared" si="79"/>
        <v>#VALUE!</v>
      </c>
      <c r="AB45" s="4" t="e">
        <f t="shared" si="79"/>
        <v>#DIV/0!</v>
      </c>
      <c r="AC45" s="4" t="e">
        <f t="shared" si="79"/>
        <v>#NAME?</v>
      </c>
      <c r="AD45" s="4" t="e">
        <f t="shared" si="79"/>
        <v>#NULL!</v>
      </c>
      <c r="AE45" s="4" t="e">
        <f t="shared" si="79"/>
        <v>#NUM!</v>
      </c>
      <c r="AF45" s="4" t="e">
        <f t="shared" si="79"/>
        <v>#REF!</v>
      </c>
      <c r="AG45" s="4">
        <f t="array" ref="AG45">PV(C45:G45,3, 22)</f>
        <v>-81.783264746227673</v>
      </c>
      <c r="AH45" s="4">
        <f t="array" ref="AH45:AW45">PV(C45:G45,3, 22)</f>
        <v>-81.783264746227673</v>
      </c>
      <c r="AI45" s="4">
        <v>-10.592592592592593</v>
      </c>
      <c r="AJ45" s="4">
        <v>-66</v>
      </c>
      <c r="AK45" s="4">
        <v>-5.4560000000000004</v>
      </c>
      <c r="AL45" s="4">
        <v>-4.3796296296296298</v>
      </c>
      <c r="AM45" s="4" t="e">
        <v>#N/A</v>
      </c>
      <c r="AN45" s="4" t="e">
        <v>#N/A</v>
      </c>
      <c r="AO45" s="4" t="e">
        <v>#N/A</v>
      </c>
      <c r="AP45" s="4" t="e">
        <v>#N/A</v>
      </c>
      <c r="AQ45" s="4" t="e">
        <v>#N/A</v>
      </c>
      <c r="AR45" s="4" t="e">
        <v>#N/A</v>
      </c>
      <c r="AS45" s="4" t="e">
        <v>#N/A</v>
      </c>
      <c r="AT45" s="4" t="e">
        <v>#N/A</v>
      </c>
      <c r="AU45" s="4" t="e">
        <v>#N/A</v>
      </c>
      <c r="AV45" s="4" t="e">
        <v>#N/A</v>
      </c>
      <c r="AW45" s="4" t="e">
        <v>#N/A</v>
      </c>
    </row>
    <row r="46" spans="1:49" x14ac:dyDescent="0.15">
      <c r="A46" s="35" t="s">
        <v>267</v>
      </c>
      <c r="B46" s="36" t="s">
        <v>541</v>
      </c>
      <c r="C46" s="4">
        <v>-0.1</v>
      </c>
      <c r="D46" s="4">
        <v>2</v>
      </c>
      <c r="E46" s="4">
        <v>0</v>
      </c>
      <c r="F46" s="4">
        <v>4</v>
      </c>
      <c r="G46" s="4">
        <v>5</v>
      </c>
      <c r="I46" s="4" t="s">
        <v>32</v>
      </c>
      <c r="J46" s="4" t="b">
        <v>1</v>
      </c>
      <c r="K46" s="4" t="e">
        <v>#N/A</v>
      </c>
      <c r="L46" s="4" t="e">
        <f>#VALUE!</f>
        <v>#VALUE!</v>
      </c>
      <c r="M46" s="28" t="e">
        <v>#DIV/0!</v>
      </c>
      <c r="N46" s="28" t="e">
        <v>#NAME?</v>
      </c>
      <c r="O46" s="28" t="e">
        <v>#NULL!</v>
      </c>
      <c r="P46" s="28" t="e">
        <v>#NUM!</v>
      </c>
      <c r="Q46" s="28" t="e">
        <v>#REF!</v>
      </c>
      <c r="R46" s="4" t="e">
        <f>RATE(C46,-388, 22000)</f>
        <v>#NUM!</v>
      </c>
      <c r="S46" s="4">
        <f t="shared" ref="S46:AF46" si="80">RATE(D46,-388, 22000)</f>
        <v>-0.85808740069204448</v>
      </c>
      <c r="T46" s="4" t="e">
        <f t="shared" si="80"/>
        <v>#NUM!</v>
      </c>
      <c r="U46" s="4">
        <f t="shared" si="80"/>
        <v>-0.58668028478913636</v>
      </c>
      <c r="V46" s="4">
        <f t="shared" si="80"/>
        <v>-0.48911548311486908</v>
      </c>
      <c r="W46" s="4" t="e">
        <f t="shared" si="80"/>
        <v>#NUM!</v>
      </c>
      <c r="X46" s="4" t="e" vm="20">
        <f t="shared" si="80"/>
        <v>#VALUE!</v>
      </c>
      <c r="Y46" s="4">
        <f>RATE(J46,-388, 22000)</f>
        <v>-0.98236363636363633</v>
      </c>
      <c r="Z46" s="4" t="e">
        <f t="shared" si="80"/>
        <v>#N/A</v>
      </c>
      <c r="AA46" s="4" t="e">
        <f t="shared" si="80"/>
        <v>#VALUE!</v>
      </c>
      <c r="AB46" s="4" t="e">
        <f t="shared" si="80"/>
        <v>#DIV/0!</v>
      </c>
      <c r="AC46" s="4" t="e">
        <f t="shared" si="80"/>
        <v>#NAME?</v>
      </c>
      <c r="AD46" s="4" t="e">
        <f t="shared" si="80"/>
        <v>#NULL!</v>
      </c>
      <c r="AE46" s="4" t="e">
        <f t="shared" si="80"/>
        <v>#NUM!</v>
      </c>
      <c r="AF46" s="4" t="e">
        <f t="shared" si="80"/>
        <v>#REF!</v>
      </c>
      <c r="AG46" s="4" t="e">
        <f t="array" ref="AG46">RATE(C46:G46,-388, 22000)</f>
        <v>#NUM!</v>
      </c>
      <c r="AH46" s="4" t="e">
        <f t="array" ref="AH46:AW46">RATE(C46:G46,-388, 22000)</f>
        <v>#NUM!</v>
      </c>
      <c r="AI46" s="4">
        <v>-0.85808740069204448</v>
      </c>
      <c r="AJ46" s="4" t="e">
        <v>#NUM!</v>
      </c>
      <c r="AK46" s="4">
        <v>-0.58668028478913636</v>
      </c>
      <c r="AL46" s="4">
        <v>-0.48911548311486908</v>
      </c>
      <c r="AM46" s="4" t="e">
        <v>#N/A</v>
      </c>
      <c r="AN46" s="4" t="e">
        <v>#N/A</v>
      </c>
      <c r="AO46" s="4" t="e">
        <v>#N/A</v>
      </c>
      <c r="AP46" s="4" t="e">
        <v>#N/A</v>
      </c>
      <c r="AQ46" s="4" t="e">
        <v>#N/A</v>
      </c>
      <c r="AR46" s="4" t="e">
        <v>#N/A</v>
      </c>
      <c r="AS46" s="4" t="e">
        <v>#N/A</v>
      </c>
      <c r="AT46" s="4" t="e">
        <v>#N/A</v>
      </c>
      <c r="AU46" s="4" t="e">
        <v>#N/A</v>
      </c>
      <c r="AV46" s="4" t="e">
        <v>#N/A</v>
      </c>
      <c r="AW46" s="4" t="e">
        <v>#N/A</v>
      </c>
    </row>
    <row r="47" spans="1:49" x14ac:dyDescent="0.15">
      <c r="A47" s="35" t="s">
        <v>268</v>
      </c>
      <c r="B47" s="36" t="s">
        <v>541</v>
      </c>
      <c r="C47" s="4">
        <v>0.01</v>
      </c>
      <c r="D47" s="4">
        <v>6</v>
      </c>
      <c r="E47" s="4">
        <v>7</v>
      </c>
      <c r="F47" s="4">
        <v>4</v>
      </c>
      <c r="G47" s="4">
        <v>9</v>
      </c>
      <c r="I47" s="19" t="s">
        <v>820</v>
      </c>
      <c r="J47" s="4" t="b">
        <v>1</v>
      </c>
      <c r="K47" s="4" t="e">
        <v>#N/A</v>
      </c>
      <c r="L47" s="4" t="e">
        <f>#VALUE!</f>
        <v>#VALUE!</v>
      </c>
      <c r="M47" s="28" t="e">
        <v>#DIV/0!</v>
      </c>
      <c r="N47" s="28" t="e">
        <v>#NAME?</v>
      </c>
      <c r="O47" s="28" t="e">
        <v>#NULL!</v>
      </c>
      <c r="P47" s="28" t="e">
        <v>#NUM!</v>
      </c>
      <c r="Q47" s="28" t="e">
        <v>#REF!</v>
      </c>
      <c r="R47" s="88">
        <f t="shared" ref="R47:S47" si="81">RECEIVED(32000,43232,C47,0.014,1)</f>
        <v>1.7559927308391263E-2</v>
      </c>
      <c r="S47" s="88">
        <f t="shared" si="81"/>
        <v>10.535956385034758</v>
      </c>
      <c r="T47" s="88">
        <f>RECEIVED(32000,43232,E47,0.014,1)</f>
        <v>12.291949115873885</v>
      </c>
      <c r="U47" s="88">
        <f t="shared" ref="U47:AF47" si="82">RECEIVED(32000,43232,F47,0.014,1)</f>
        <v>7.0239709233565053</v>
      </c>
      <c r="V47" s="88">
        <f t="shared" si="82"/>
        <v>15.803934577552138</v>
      </c>
      <c r="W47" s="88" t="e">
        <f t="shared" si="82"/>
        <v>#NUM!</v>
      </c>
      <c r="X47" s="88">
        <f t="shared" si="82"/>
        <v>57501.737964058033</v>
      </c>
      <c r="Y47" s="88" t="e">
        <f t="shared" si="82"/>
        <v>#VALUE!</v>
      </c>
      <c r="Z47" s="88" t="e">
        <f t="shared" si="82"/>
        <v>#N/A</v>
      </c>
      <c r="AA47" s="88" t="e">
        <f t="shared" si="82"/>
        <v>#VALUE!</v>
      </c>
      <c r="AB47" s="88" t="e">
        <f t="shared" si="82"/>
        <v>#DIV/0!</v>
      </c>
      <c r="AC47" s="88" t="e">
        <f t="shared" si="82"/>
        <v>#NAME?</v>
      </c>
      <c r="AD47" s="88" t="e">
        <f t="shared" si="82"/>
        <v>#NULL!</v>
      </c>
      <c r="AE47" s="88" t="e">
        <f t="shared" si="82"/>
        <v>#NUM!</v>
      </c>
      <c r="AF47" s="88" t="e">
        <f t="shared" si="82"/>
        <v>#REF!</v>
      </c>
      <c r="AG47" s="87" t="e">
        <f>RECEIVED(32000,43232,R47,C47:Q47,1)</f>
        <v>#VALUE!</v>
      </c>
      <c r="AH47" s="4" t="e">
        <f>RECEIVED(32000,43232,R47,C47:G47,1)</f>
        <v>#VALUE!</v>
      </c>
      <c r="AI47" s="4" t="e">
        <f>RECEIVED(32000,43232,C47:Q47,1400,1)</f>
        <v>#VALUE!</v>
      </c>
      <c r="AJ47" s="4" cm="1">
        <f t="array" ref="AJ47:AN47">RECEIVED(32000,43232,13567,0.01,{0,1,2,3,4})</f>
        <v>19592.121625416185</v>
      </c>
      <c r="AK47" s="4">
        <v>19591.771438737993</v>
      </c>
      <c r="AL47" s="4">
        <v>19719.476744186049</v>
      </c>
      <c r="AM47" s="4">
        <v>19597.732309640654</v>
      </c>
      <c r="AN47" s="4">
        <v>19592.121625416185</v>
      </c>
    </row>
    <row r="48" spans="1:49" x14ac:dyDescent="0.15">
      <c r="A48" s="35" t="s">
        <v>269</v>
      </c>
      <c r="B48" s="36" t="s">
        <v>541</v>
      </c>
      <c r="C48" s="4">
        <v>-0.1</v>
      </c>
      <c r="D48" s="4">
        <v>2</v>
      </c>
      <c r="E48" s="4">
        <v>0</v>
      </c>
      <c r="F48" s="4">
        <v>4</v>
      </c>
      <c r="G48" s="4">
        <v>5</v>
      </c>
      <c r="I48" s="4" t="s">
        <v>32</v>
      </c>
      <c r="J48" s="4" t="b">
        <v>1</v>
      </c>
      <c r="K48" s="4" t="e">
        <v>#N/A</v>
      </c>
      <c r="L48" s="4" t="e">
        <f>#VALUE!</f>
        <v>#VALUE!</v>
      </c>
      <c r="M48" s="28" t="e">
        <v>#DIV/0!</v>
      </c>
      <c r="N48" s="28" t="e">
        <v>#NAME?</v>
      </c>
      <c r="O48" s="28" t="e">
        <v>#NULL!</v>
      </c>
      <c r="P48" s="28" t="e">
        <v>#NUM!</v>
      </c>
      <c r="Q48" s="28" t="e">
        <v>#REF!</v>
      </c>
      <c r="R48" s="4">
        <f>_xlfn.RRI(12,2,1)</f>
        <v>-5.6125687318306472E-2</v>
      </c>
      <c r="S48" s="4">
        <f>_xlfn.RRI(2.5%,2000,2200)</f>
        <v>44.259255568176087</v>
      </c>
      <c r="T48" s="4" t="e">
        <f>_xlfn.RRI(2.5%,2000,-2200)</f>
        <v>#NUM!</v>
      </c>
      <c r="U48" s="4" t="e">
        <f>_xlfn.RRI(2.5%,-2000,2200)</f>
        <v>#NUM!</v>
      </c>
      <c r="V48" s="4" t="e">
        <f t="shared" ref="V48:AA48" si="83">_xlfn.RRI(-2.5%,H48,2200)</f>
        <v>#NUM!</v>
      </c>
      <c r="W48" s="4" t="e" vm="21">
        <f t="shared" si="83"/>
        <v>#VALUE!</v>
      </c>
      <c r="X48" s="4" t="e">
        <f t="shared" si="83"/>
        <v>#NUM!</v>
      </c>
      <c r="Y48" s="4" t="e">
        <f t="shared" si="83"/>
        <v>#N/A</v>
      </c>
      <c r="Z48" s="4" t="e">
        <f t="shared" si="83"/>
        <v>#VALUE!</v>
      </c>
      <c r="AA48" s="4" t="e">
        <f t="shared" si="83"/>
        <v>#DIV/0!</v>
      </c>
      <c r="AB48" s="4" t="e">
        <f t="shared" ref="AB48:AF48" si="84">_xlfn.RRI(-2.5%,N48,2200)</f>
        <v>#NAME?</v>
      </c>
      <c r="AC48" s="4" t="e">
        <f t="shared" si="84"/>
        <v>#NULL!</v>
      </c>
      <c r="AD48" s="4" t="e">
        <f t="shared" si="84"/>
        <v>#NUM!</v>
      </c>
      <c r="AE48" s="4" t="e">
        <f t="shared" si="84"/>
        <v>#REF!</v>
      </c>
      <c r="AF48" s="4" t="e">
        <f t="shared" si="84"/>
        <v>#NUM!</v>
      </c>
      <c r="AG48" s="4" t="e">
        <f t="array" ref="AG48">_xlfn.RRI(C48:Q48,3,2)</f>
        <v>#NUM!</v>
      </c>
      <c r="AH48" s="4" t="e">
        <f t="array" ref="AH48:AW48">_xlfn.RRI(C48:Q48,3,2)</f>
        <v>#NUM!</v>
      </c>
      <c r="AI48" s="4">
        <v>-0.18350341907227397</v>
      </c>
      <c r="AJ48" s="4" t="e">
        <v>#NUM!</v>
      </c>
      <c r="AK48" s="4">
        <v>-9.6397996390155227E-2</v>
      </c>
      <c r="AL48" s="4">
        <v>-7.7892088518272229E-2</v>
      </c>
      <c r="AM48" s="4" t="e">
        <v>#NUM!</v>
      </c>
      <c r="AN48" s="4" t="e" vm="21">
        <v>#VALUE!</v>
      </c>
      <c r="AO48" s="4">
        <v>-0.33333333333333337</v>
      </c>
      <c r="AP48" s="4" t="e">
        <v>#N/A</v>
      </c>
      <c r="AQ48" s="4" t="e">
        <v>#VALUE!</v>
      </c>
      <c r="AR48" s="4" t="e">
        <v>#DIV/0!</v>
      </c>
      <c r="AS48" s="4" t="e">
        <v>#NAME?</v>
      </c>
      <c r="AT48" s="4" t="e">
        <v>#NULL!</v>
      </c>
      <c r="AU48" s="4" t="e">
        <v>#NUM!</v>
      </c>
      <c r="AV48" s="4" t="e">
        <v>#REF!</v>
      </c>
      <c r="AW48" s="4" t="e">
        <v>#N/A</v>
      </c>
    </row>
    <row r="49" spans="1:49" x14ac:dyDescent="0.15">
      <c r="A49" s="35" t="s">
        <v>270</v>
      </c>
      <c r="B49" s="36" t="s">
        <v>541</v>
      </c>
      <c r="C49" s="4">
        <v>-0.1</v>
      </c>
      <c r="D49" s="4">
        <v>2</v>
      </c>
      <c r="E49" s="4">
        <v>0</v>
      </c>
      <c r="F49" s="4">
        <v>4</v>
      </c>
      <c r="G49" s="4">
        <v>5</v>
      </c>
      <c r="I49" s="4" t="s">
        <v>32</v>
      </c>
      <c r="J49" s="4" t="b">
        <v>1</v>
      </c>
      <c r="K49" s="4" t="e">
        <v>#N/A</v>
      </c>
      <c r="L49" s="4" t="e">
        <f>#VALUE!</f>
        <v>#VALUE!</v>
      </c>
      <c r="M49" s="28" t="e">
        <v>#DIV/0!</v>
      </c>
      <c r="N49" s="28" t="e">
        <v>#NAME?</v>
      </c>
      <c r="O49" s="28" t="e">
        <v>#NULL!</v>
      </c>
      <c r="P49" s="28" t="e">
        <v>#NUM!</v>
      </c>
      <c r="Q49" s="28" t="e">
        <v>#REF!</v>
      </c>
      <c r="R49" s="86" t="e">
        <f>SLN(12,2,0)</f>
        <v>#DIV/0!</v>
      </c>
      <c r="S49" s="86">
        <f>SLN(2.5%,2000,2200)</f>
        <v>-0.90907954545454539</v>
      </c>
      <c r="T49" s="86">
        <f>SLN(2.5%,2000,-2200)</f>
        <v>0.90907954545454539</v>
      </c>
      <c r="U49" s="86">
        <f>SLN(2.5%,-2000,2200)</f>
        <v>0.90910227272727273</v>
      </c>
      <c r="V49" s="86">
        <f>SLN(-2.5%,H49,2200)</f>
        <v>-1.1363636363636365E-5</v>
      </c>
      <c r="W49" s="86" t="e" vm="22">
        <f>SLN(-2.5%,I49,2200)</f>
        <v>#VALUE!</v>
      </c>
      <c r="X49" s="86">
        <f t="shared" ref="X49:AF49" si="85">SLN(-2.5%,J49,2200)</f>
        <v>-4.6590909090909088E-4</v>
      </c>
      <c r="Y49" s="86" t="e">
        <f t="shared" si="85"/>
        <v>#N/A</v>
      </c>
      <c r="Z49" s="86" t="e">
        <f t="shared" si="85"/>
        <v>#VALUE!</v>
      </c>
      <c r="AA49" s="86" t="e">
        <f t="shared" si="85"/>
        <v>#DIV/0!</v>
      </c>
      <c r="AB49" s="86" t="e">
        <f t="shared" si="85"/>
        <v>#NAME?</v>
      </c>
      <c r="AC49" s="86" t="e">
        <f t="shared" si="85"/>
        <v>#NULL!</v>
      </c>
      <c r="AD49" s="86" t="e">
        <f t="shared" si="85"/>
        <v>#NUM!</v>
      </c>
      <c r="AE49" s="86" t="e">
        <f t="shared" si="85"/>
        <v>#REF!</v>
      </c>
      <c r="AF49" s="86" t="e">
        <f t="shared" si="85"/>
        <v>#DIV/0!</v>
      </c>
      <c r="AG49" s="4">
        <f t="array" ref="AG49">SLN(C49:Q49,3,2)</f>
        <v>-1.55</v>
      </c>
      <c r="AH49" s="4">
        <f t="array" ref="AH49:AW49">SLN(C49:Q49,3,2)</f>
        <v>-1.55</v>
      </c>
      <c r="AI49" s="4">
        <v>-0.5</v>
      </c>
      <c r="AJ49" s="4">
        <v>-1.5</v>
      </c>
      <c r="AK49" s="4">
        <v>0.5</v>
      </c>
      <c r="AL49" s="4">
        <v>1</v>
      </c>
      <c r="AM49" s="4">
        <v>-1.5</v>
      </c>
      <c r="AN49" s="4" t="e" vm="22">
        <v>#VALUE!</v>
      </c>
      <c r="AO49" s="4">
        <v>-1</v>
      </c>
      <c r="AP49" s="4" t="e">
        <v>#N/A</v>
      </c>
      <c r="AQ49" s="4" t="e">
        <v>#VALUE!</v>
      </c>
      <c r="AR49" s="4" t="e">
        <v>#DIV/0!</v>
      </c>
      <c r="AS49" s="4" t="e">
        <v>#NAME?</v>
      </c>
      <c r="AT49" s="4" t="e">
        <v>#NULL!</v>
      </c>
      <c r="AU49" s="4" t="e">
        <v>#NUM!</v>
      </c>
      <c r="AV49" s="4" t="e">
        <v>#REF!</v>
      </c>
      <c r="AW49" s="4" t="e">
        <v>#N/A</v>
      </c>
    </row>
    <row r="50" spans="1:49" x14ac:dyDescent="0.15">
      <c r="A50" s="35" t="s">
        <v>271</v>
      </c>
      <c r="B50" s="36" t="s">
        <v>541</v>
      </c>
      <c r="C50" s="4">
        <v>-0.1</v>
      </c>
      <c r="D50" s="4">
        <v>2</v>
      </c>
      <c r="E50" s="4">
        <v>0</v>
      </c>
      <c r="F50" s="4">
        <v>4</v>
      </c>
      <c r="G50" s="4">
        <v>5</v>
      </c>
      <c r="I50" s="19" t="s">
        <v>820</v>
      </c>
      <c r="J50" s="4" t="b">
        <v>1</v>
      </c>
      <c r="K50" s="4" t="e">
        <v>#N/A</v>
      </c>
      <c r="L50" s="4" t="e">
        <f>#VALUE!</f>
        <v>#VALUE!</v>
      </c>
      <c r="M50" s="28" t="e">
        <v>#DIV/0!</v>
      </c>
      <c r="N50" s="28" t="e">
        <v>#NAME?</v>
      </c>
      <c r="O50" s="28" t="e">
        <v>#NULL!</v>
      </c>
      <c r="P50" s="28" t="e">
        <v>#NUM!</v>
      </c>
      <c r="Q50" s="28" t="e">
        <v>#REF!</v>
      </c>
      <c r="R50" s="86" t="e">
        <f>SYD(12,2,1,3)</f>
        <v>#NUM!</v>
      </c>
      <c r="S50" s="86">
        <f>SYD(2.5%,2000,2200,0.1)</f>
        <v>-1.8180764848622528</v>
      </c>
      <c r="T50" s="86" t="e">
        <f>SYD(2.5%,2000,2200,0)</f>
        <v>#NUM!</v>
      </c>
      <c r="U50" s="86" t="e">
        <f>SYD(2.5%,-2000,2200, 2201)</f>
        <v>#NUM!</v>
      </c>
      <c r="V50" s="86">
        <f>SYD(-2.5%,H50,2200,1)</f>
        <v>-2.2716946842344388E-5</v>
      </c>
      <c r="W50" s="86">
        <f>SYD(-2.5%,I50,2200,1)</f>
        <v>-29.755588368923217</v>
      </c>
      <c r="X50" s="86">
        <f>SYD(200,J50,2200,1)</f>
        <v>0.18082689686506134</v>
      </c>
      <c r="Y50" s="86" t="e">
        <f t="shared" ref="Y50:AF50" si="86">SYD(-2.5%,K50,2200,1)</f>
        <v>#N/A</v>
      </c>
      <c r="Z50" s="86" t="e">
        <f t="shared" si="86"/>
        <v>#VALUE!</v>
      </c>
      <c r="AA50" s="86" t="e">
        <f t="shared" si="86"/>
        <v>#DIV/0!</v>
      </c>
      <c r="AB50" s="86" t="e">
        <f t="shared" si="86"/>
        <v>#NAME?</v>
      </c>
      <c r="AC50" s="86" t="e">
        <f t="shared" si="86"/>
        <v>#NULL!</v>
      </c>
      <c r="AD50" s="86" t="e">
        <f t="shared" si="86"/>
        <v>#NUM!</v>
      </c>
      <c r="AE50" s="86" t="e">
        <f t="shared" si="86"/>
        <v>#REF!</v>
      </c>
      <c r="AF50" s="86" t="e">
        <f t="shared" si="86"/>
        <v>#NUM!</v>
      </c>
      <c r="AG50" s="86">
        <f t="array" ref="AG50">SYD(C50:Q50,30,2,1)</f>
        <v>-20.066666666666666</v>
      </c>
      <c r="AH50" s="4">
        <f t="array" ref="AH50:AW50">SYD(C50:Q50,3,2,2)</f>
        <v>-1.0333333333333334</v>
      </c>
      <c r="AI50" s="4">
        <v>-0.33333333333333331</v>
      </c>
      <c r="AJ50" s="4">
        <v>-1</v>
      </c>
      <c r="AK50" s="4">
        <v>0.33333333333333331</v>
      </c>
      <c r="AL50" s="4">
        <v>0.66666666666666663</v>
      </c>
      <c r="AM50" s="4">
        <v>-1</v>
      </c>
      <c r="AN50" s="4">
        <v>10914.333333333334</v>
      </c>
      <c r="AO50" s="4">
        <v>-0.66666666666666663</v>
      </c>
      <c r="AP50" s="4" t="e">
        <v>#N/A</v>
      </c>
      <c r="AQ50" s="4" t="e">
        <v>#VALUE!</v>
      </c>
      <c r="AR50" s="4" t="e">
        <v>#DIV/0!</v>
      </c>
      <c r="AS50" s="4" t="e">
        <v>#NAME?</v>
      </c>
      <c r="AT50" s="4" t="e">
        <v>#NULL!</v>
      </c>
      <c r="AU50" s="4" t="e">
        <v>#NUM!</v>
      </c>
      <c r="AV50" s="4" t="e">
        <v>#REF!</v>
      </c>
      <c r="AW50" s="4" t="e">
        <v>#N/A</v>
      </c>
    </row>
    <row r="51" spans="1:49" x14ac:dyDescent="0.15">
      <c r="A51" s="35" t="s">
        <v>272</v>
      </c>
      <c r="B51" s="36" t="s">
        <v>541</v>
      </c>
      <c r="C51" s="4">
        <v>-0.1</v>
      </c>
      <c r="D51" s="4">
        <v>0.3</v>
      </c>
      <c r="E51" s="4">
        <v>0</v>
      </c>
      <c r="F51" s="4">
        <v>4</v>
      </c>
      <c r="G51" s="4">
        <v>5</v>
      </c>
      <c r="I51" s="19" t="s">
        <v>489</v>
      </c>
      <c r="J51" s="4" t="b">
        <v>1</v>
      </c>
      <c r="K51" s="4" t="e">
        <v>#N/A</v>
      </c>
      <c r="L51" s="4" t="e">
        <f>#VALUE!</f>
        <v>#VALUE!</v>
      </c>
      <c r="M51" s="28" t="e">
        <v>#DIV/0!</v>
      </c>
      <c r="N51" s="28" t="e">
        <v>#NAME?</v>
      </c>
      <c r="O51" s="28" t="e">
        <v>#NULL!</v>
      </c>
      <c r="P51" s="28" t="e">
        <v>#NUM!</v>
      </c>
      <c r="Q51" s="28" t="e">
        <v>#REF!</v>
      </c>
      <c r="R51" s="86">
        <f>TBILLEQ(12,42,1)</f>
        <v>1.106060606060606</v>
      </c>
      <c r="S51" s="86" t="e">
        <f>TBILLEQ("2000-1-1","2025-3-4",1)</f>
        <v>#NUM!</v>
      </c>
      <c r="T51" s="86">
        <f>TBILLEQ(DATE(2024,4,1),DATE(2025,3,4),D51)</f>
        <v>0.38836864230175738</v>
      </c>
      <c r="U51" s="86" t="e">
        <f t="shared" ref="U51:AF51" si="87">TBILLEQ(DATE(2024,4,1),DATE(2025,3,4),E51)</f>
        <v>#NUM!</v>
      </c>
      <c r="V51" s="86" t="e">
        <f t="shared" si="87"/>
        <v>#NUM!</v>
      </c>
      <c r="W51" s="86" t="e">
        <f t="shared" si="87"/>
        <v>#NUM!</v>
      </c>
      <c r="X51" s="86" t="e">
        <f t="shared" si="87"/>
        <v>#NUM!</v>
      </c>
      <c r="Y51" s="86">
        <f>TBILLEQ(DATE(2024,4,1),DATE(2025,3,4),I51)</f>
        <v>6.4204037698130012</v>
      </c>
      <c r="Z51" s="86" t="e">
        <f t="shared" si="87"/>
        <v>#VALUE!</v>
      </c>
      <c r="AA51" s="86" t="e">
        <f t="shared" si="87"/>
        <v>#N/A</v>
      </c>
      <c r="AB51" s="86" t="e">
        <f t="shared" si="87"/>
        <v>#VALUE!</v>
      </c>
      <c r="AC51" s="86" t="e">
        <f t="shared" si="87"/>
        <v>#DIV/0!</v>
      </c>
      <c r="AD51" s="86" t="e">
        <f t="shared" si="87"/>
        <v>#NAME?</v>
      </c>
      <c r="AE51" s="86" t="e">
        <f t="shared" si="87"/>
        <v>#NULL!</v>
      </c>
      <c r="AF51" s="86" t="e">
        <f>TBILLEQ(DATE(2024,4,1),DATE(2025,3,4),P51)</f>
        <v>#NUM!</v>
      </c>
      <c r="AG51" s="86" t="e">
        <f>TBILLEQ(DATE(2024,4,1),DATE(2025,3,4),C51:Q51)</f>
        <v>#VALUE!</v>
      </c>
      <c r="AH51" s="4" t="e">
        <f>TBILLEQ(DATE(2024,4,1),DATE(2025,3,4),D51:F51)</f>
        <v>#VALUE!</v>
      </c>
    </row>
    <row r="52" spans="1:49" x14ac:dyDescent="0.15">
      <c r="A52" s="35" t="s">
        <v>273</v>
      </c>
      <c r="B52" s="36" t="s">
        <v>541</v>
      </c>
      <c r="C52" s="4">
        <v>-0.1</v>
      </c>
      <c r="D52" s="4">
        <v>0.3</v>
      </c>
      <c r="E52" s="4">
        <v>0</v>
      </c>
      <c r="F52" s="4">
        <v>4</v>
      </c>
      <c r="G52" s="4">
        <v>5</v>
      </c>
      <c r="I52" s="19" t="s">
        <v>820</v>
      </c>
      <c r="J52" s="4" t="b">
        <v>1</v>
      </c>
      <c r="K52" s="4" t="e">
        <v>#N/A</v>
      </c>
      <c r="L52" s="4" t="e">
        <f>#VALUE!</f>
        <v>#VALUE!</v>
      </c>
      <c r="M52" s="28" t="e">
        <v>#DIV/0!</v>
      </c>
      <c r="N52" s="28" t="e">
        <v>#NAME?</v>
      </c>
      <c r="O52" s="28" t="e">
        <v>#NULL!</v>
      </c>
      <c r="P52" s="28" t="e">
        <v>#NUM!</v>
      </c>
      <c r="Q52" s="28" t="e">
        <v>#REF!</v>
      </c>
      <c r="R52" s="86">
        <f>TBILLPRICE(12,42,1)</f>
        <v>91.666666666666657</v>
      </c>
      <c r="S52" s="86" t="e">
        <f>TBILLPRICE("2000-1-1","2025-3-4",1)</f>
        <v>#NUM!</v>
      </c>
      <c r="T52" s="112">
        <f>TBILLPRICE(DATE(2024,4,1),DATE(2025,3,4),D52)</f>
        <v>71.916666666666671</v>
      </c>
      <c r="U52" s="86" t="e">
        <f>TBILLPRICE(DATE(2024,4,1),DATE(2025,3,4),E52)</f>
        <v>#NUM!</v>
      </c>
      <c r="V52" s="86" t="e">
        <f>TBILLPRICE(DATE(2024,4,1),DATE(2025,3,4),F52)</f>
        <v>#NUM!</v>
      </c>
      <c r="W52" s="86" t="e">
        <f t="shared" ref="W52:AF52" si="88">TBILLPRICE(DATE(2024,4,1),DATE(2025,3,4),G52)</f>
        <v>#NUM!</v>
      </c>
      <c r="X52" s="86" t="e">
        <f t="shared" si="88"/>
        <v>#NUM!</v>
      </c>
      <c r="Y52" s="86" t="e">
        <f>TBILLPRICE(DATE(2024,4,1),DATE(2025,3,4),I52)</f>
        <v>#NUM!</v>
      </c>
      <c r="Z52" s="86" t="e">
        <f>TBILLPRICE(DATE(2024,4,1),DATE(2025,3,4),J52)</f>
        <v>#VALUE!</v>
      </c>
      <c r="AA52" s="86" t="e">
        <f t="shared" si="88"/>
        <v>#N/A</v>
      </c>
      <c r="AB52" s="86" t="e">
        <f t="shared" si="88"/>
        <v>#VALUE!</v>
      </c>
      <c r="AC52" s="86" t="e">
        <f t="shared" si="88"/>
        <v>#DIV/0!</v>
      </c>
      <c r="AD52" s="86" t="e">
        <f t="shared" si="88"/>
        <v>#NAME?</v>
      </c>
      <c r="AE52" s="86" t="e">
        <f t="shared" si="88"/>
        <v>#NULL!</v>
      </c>
      <c r="AF52" s="86" t="e">
        <f t="shared" si="88"/>
        <v>#NUM!</v>
      </c>
      <c r="AG52" s="86" t="e">
        <f>TBILLPRICE(DATE(2024,4,1),DATE(2025,3,4),C52:Q52)</f>
        <v>#VALUE!</v>
      </c>
      <c r="AH52" s="4" t="e">
        <f>TBILLPRICE(DATE(2024,4,1),DATE(2025,3,4),D52:F52)</f>
        <v>#VALUE!</v>
      </c>
    </row>
    <row r="53" spans="1:49" x14ac:dyDescent="0.15">
      <c r="A53" s="35" t="s">
        <v>274</v>
      </c>
      <c r="B53" s="36" t="s">
        <v>541</v>
      </c>
      <c r="C53" s="4">
        <v>-0.1</v>
      </c>
      <c r="D53" s="4">
        <v>0.3</v>
      </c>
      <c r="E53" s="4">
        <v>0</v>
      </c>
      <c r="F53" s="4">
        <v>4</v>
      </c>
      <c r="G53" s="4">
        <v>5</v>
      </c>
      <c r="I53" s="19" t="s">
        <v>820</v>
      </c>
      <c r="J53" s="4" t="b">
        <v>1</v>
      </c>
      <c r="K53" s="4" t="e">
        <v>#N/A</v>
      </c>
      <c r="L53" s="4" t="e">
        <f>#VALUE!</f>
        <v>#VALUE!</v>
      </c>
      <c r="M53" s="28" t="e">
        <v>#DIV/0!</v>
      </c>
      <c r="N53" s="28" t="e">
        <v>#NAME?</v>
      </c>
      <c r="O53" s="28" t="e">
        <v>#NULL!</v>
      </c>
      <c r="P53" s="28" t="e">
        <v>#NUM!</v>
      </c>
      <c r="Q53" s="28" t="e">
        <v>#REF!</v>
      </c>
      <c r="R53" s="86">
        <f>TBILLYIELD(12,42,1)</f>
        <v>1188</v>
      </c>
      <c r="S53" s="86" t="e">
        <f>TBILLYIELD("2000-1-1","2025-3-4",1)</f>
        <v>#NUM!</v>
      </c>
      <c r="T53" s="112">
        <f>TBILLYIELD(DATE(2024,4,1),DATE(2025,3,4),D53)</f>
        <v>355.01483679525228</v>
      </c>
      <c r="U53" s="86" t="e">
        <f>TBILLYIELD(DATE(2024,4,1),DATE(2025,3,4),E53)</f>
        <v>#NUM!</v>
      </c>
      <c r="V53" s="86">
        <f>TBILLYIELD(DATE(2024,4,1),DATE(2025,3,4),F53)</f>
        <v>25.637982195845698</v>
      </c>
      <c r="W53" s="86">
        <f>TBILLYIELD(DATE(2024,4,1),DATE(2025,3,4),G53)</f>
        <v>20.29673590504451</v>
      </c>
      <c r="X53" s="86" t="e">
        <f>TBILLYIELD(DATE(2024,4,1),DATE(2025,3,4),H53)</f>
        <v>#NUM!</v>
      </c>
      <c r="Y53" s="86">
        <f t="shared" ref="Y53:AF53" si="89">TBILLYIELD(DATE(2024,4,1),DATE(2025,3,4),I53)</f>
        <v>-1.0649870299242385</v>
      </c>
      <c r="Z53" s="86" t="e">
        <f t="shared" si="89"/>
        <v>#VALUE!</v>
      </c>
      <c r="AA53" s="86" t="e">
        <f t="shared" si="89"/>
        <v>#N/A</v>
      </c>
      <c r="AB53" s="86" t="e">
        <f t="shared" si="89"/>
        <v>#VALUE!</v>
      </c>
      <c r="AC53" s="86" t="e">
        <f t="shared" si="89"/>
        <v>#DIV/0!</v>
      </c>
      <c r="AD53" s="86" t="e">
        <f t="shared" si="89"/>
        <v>#NAME?</v>
      </c>
      <c r="AE53" s="86" t="e">
        <f t="shared" si="89"/>
        <v>#NULL!</v>
      </c>
      <c r="AF53" s="86" t="e">
        <f t="shared" si="89"/>
        <v>#NUM!</v>
      </c>
      <c r="AG53" s="86" t="e">
        <f>TBILLYIELD(DATE(2024,4,1),DATE(2025,3,4),C53:Q53)</f>
        <v>#VALUE!</v>
      </c>
      <c r="AH53" s="4" t="e">
        <f>TBILLYIELD(DATE(2024,4,1),DATE(2025,3,4),D53:F53)</f>
        <v>#VALUE!</v>
      </c>
    </row>
    <row r="54" spans="1:49" x14ac:dyDescent="0.15">
      <c r="A54" s="35" t="s">
        <v>275</v>
      </c>
      <c r="B54" s="36" t="s">
        <v>541</v>
      </c>
      <c r="C54" s="4">
        <v>4.2</v>
      </c>
      <c r="D54" s="4">
        <v>-3</v>
      </c>
      <c r="E54" s="4">
        <v>7</v>
      </c>
      <c r="F54" s="4">
        <v>4</v>
      </c>
      <c r="G54" s="4">
        <v>9</v>
      </c>
      <c r="I54" s="19" t="s">
        <v>833</v>
      </c>
      <c r="J54" s="4" t="b">
        <v>1</v>
      </c>
      <c r="K54" s="4" t="e">
        <v>#N/A</v>
      </c>
      <c r="L54" s="4" t="e">
        <f>#VALUE!</f>
        <v>#VALUE!</v>
      </c>
      <c r="M54" s="28" t="e">
        <v>#DIV/0!</v>
      </c>
      <c r="N54" s="28" t="e">
        <v>#NAME?</v>
      </c>
      <c r="O54" s="28" t="e">
        <v>#NULL!</v>
      </c>
      <c r="P54" s="28" t="e">
        <v>#NUM!</v>
      </c>
      <c r="Q54" s="28" t="e">
        <v>#REF!</v>
      </c>
      <c r="R54" s="86">
        <f>VDB(2400,300,10*12,C54,18,1.4,TRUE)</f>
        <v>341.59973986675504</v>
      </c>
      <c r="S54" s="86" t="e">
        <f t="shared" ref="S54:Y54" si="90">VDB(2400,300,10*12,D54,18)</f>
        <v>#NUM!</v>
      </c>
      <c r="T54" s="86">
        <f>VDB(2400,300,10*12,E54,18,1.3,FALSE)</f>
        <v>251.10612829376967</v>
      </c>
      <c r="U54" s="86">
        <f t="shared" si="90"/>
        <v>470.48125691701432</v>
      </c>
      <c r="V54" s="86">
        <f t="shared" si="90"/>
        <v>289.61513157763642</v>
      </c>
      <c r="W54" s="86">
        <f t="shared" si="90"/>
        <v>626.52551617627341</v>
      </c>
      <c r="X54" s="86" t="e">
        <f t="shared" si="90"/>
        <v>#NUM!</v>
      </c>
      <c r="Y54" s="86">
        <f t="shared" si="90"/>
        <v>586.52551617627341</v>
      </c>
      <c r="Z54" s="86" t="e">
        <f>VDB(2400,300,10*12,K54,18)</f>
        <v>#N/A</v>
      </c>
      <c r="AA54" s="86" t="e">
        <f t="shared" ref="AA54" si="91">VDB(2400,300,10*12,L54,18)</f>
        <v>#VALUE!</v>
      </c>
      <c r="AB54" s="86" t="e">
        <f t="shared" ref="AB54" si="92">VDB(2400,300,10*12,M54,18)</f>
        <v>#DIV/0!</v>
      </c>
      <c r="AC54" s="86" t="e">
        <f t="shared" ref="AC54" si="93">VDB(2400,300,10*12,N54,18)</f>
        <v>#NAME?</v>
      </c>
      <c r="AD54" s="86" t="e">
        <f t="shared" ref="AD54" si="94">VDB(2400,300,10*12,O54,18)</f>
        <v>#NULL!</v>
      </c>
      <c r="AE54" s="86" t="e">
        <f t="shared" ref="AE54" si="95">VDB(2400,300,10*12,P54,18)</f>
        <v>#NUM!</v>
      </c>
      <c r="AF54" s="86" t="e">
        <f t="shared" ref="AF54:AG54" si="96">VDB(2400,300,10*12,Q54,18)</f>
        <v>#REF!</v>
      </c>
      <c r="AG54" s="86">
        <f t="array" ref="AG54">VDB(2400,300,10*12,C54:G54,18,2,1)</f>
        <v>463.00140444787831</v>
      </c>
      <c r="AH54" s="4">
        <f t="array" ref="AH54:AW54">VDB(2400,C54:Q54,10*12,6,18,3.3,1)</f>
        <v>577.38559236366154</v>
      </c>
      <c r="AI54" s="4" t="e">
        <v>#NUM!</v>
      </c>
      <c r="AJ54" s="4">
        <v>577.38559236366154</v>
      </c>
      <c r="AK54" s="4">
        <v>577.38559236366154</v>
      </c>
      <c r="AL54" s="4">
        <v>577.38559236366154</v>
      </c>
      <c r="AM54" s="4">
        <v>577.38559236366154</v>
      </c>
      <c r="AN54" s="4">
        <v>577.38559236366154</v>
      </c>
      <c r="AO54" s="4">
        <v>577.38559236366154</v>
      </c>
      <c r="AP54" s="4" t="e">
        <v>#N/A</v>
      </c>
      <c r="AQ54" s="4" t="e">
        <v>#VALUE!</v>
      </c>
      <c r="AR54" s="4" t="e">
        <v>#DIV/0!</v>
      </c>
      <c r="AS54" s="4" t="e">
        <v>#NAME?</v>
      </c>
      <c r="AT54" s="4" t="e">
        <v>#NULL!</v>
      </c>
      <c r="AU54" s="4" t="e">
        <v>#NUM!</v>
      </c>
      <c r="AV54" s="4" t="e">
        <v>#REF!</v>
      </c>
      <c r="AW54" s="4" t="e">
        <v>#N/A</v>
      </c>
    </row>
    <row r="55" spans="1:49" x14ac:dyDescent="0.15">
      <c r="A55" s="99" t="s">
        <v>276</v>
      </c>
      <c r="B55" s="100" t="s">
        <v>541</v>
      </c>
      <c r="C55" s="4">
        <v>1</v>
      </c>
      <c r="D55" s="4">
        <v>99</v>
      </c>
      <c r="E55" s="4">
        <v>55</v>
      </c>
      <c r="F55" s="4">
        <v>4</v>
      </c>
      <c r="G55" s="19">
        <v>9</v>
      </c>
      <c r="I55" s="4">
        <v>32015</v>
      </c>
      <c r="J55" s="4" t="b">
        <v>1</v>
      </c>
      <c r="K55" s="4" t="e">
        <v>#N/A</v>
      </c>
      <c r="L55" s="4" t="e">
        <f>#VALUE!</f>
        <v>#VALUE!</v>
      </c>
      <c r="M55" s="28" t="e">
        <v>#DIV/0!</v>
      </c>
      <c r="N55" s="28" t="e">
        <v>#NAME?</v>
      </c>
      <c r="O55" s="28" t="e">
        <v>#NULL!</v>
      </c>
      <c r="P55" s="28" t="e">
        <v>#NUM!</v>
      </c>
      <c r="Q55" s="28" t="e">
        <v>#REF!</v>
      </c>
      <c r="R55" s="4">
        <f>XIRR(C56:G56,C55:G55,C55)</f>
        <v>0.59931974858045578</v>
      </c>
      <c r="S55" s="4" t="e">
        <f>XIRR(C57,$C$56:$G$56,$C$55:$G$55)</f>
        <v>#VALUE!</v>
      </c>
      <c r="T55" s="4" t="e">
        <f>XIRR(D56:H56,D55:H55)</f>
        <v>#NUM!</v>
      </c>
      <c r="U55" s="4" t="e">
        <f>XIRR({-10,#N/A,1,2,7},{3,#REF!,7,4,9})</f>
        <v>#REF!</v>
      </c>
      <c r="V55" s="4" t="e">
        <f>XIRR({-10,#N/A,1,2,7},{3,#VALUE!,7,4,9},#REF!)</f>
        <v>#REF!</v>
      </c>
      <c r="W55" s="4" t="e">
        <f>XIRR($C$56:$G$56,$C$55:$G$55,I57)</f>
        <v>#VALUE!</v>
      </c>
      <c r="X55" s="4">
        <f>XIRR($C$56:$G$56,$C$55:$G$55,"26/08/1987")</f>
        <v>0.59931975404310833</v>
      </c>
      <c r="Y55" s="4" t="e">
        <f>XIRR($C$56:$G$56,$C$55:$G$55,TRUE)</f>
        <v>#VALUE!</v>
      </c>
      <c r="Z55" s="4" t="e">
        <f>XIRR($C$56:$G$56,$C$55:$G$55,TRUE)</f>
        <v>#VALUE!</v>
      </c>
      <c r="AA55" s="4" t="e">
        <f>XIRR($C$56:$G$56,$C$55:$G$55,#N/A)</f>
        <v>#N/A</v>
      </c>
      <c r="AB55" s="4" t="e">
        <f>XIRR($C$56:$G$56,$C$55:$G$55,#VALUE!)</f>
        <v>#VALUE!</v>
      </c>
      <c r="AC55" s="4" t="e">
        <f>XIRR($C$56:$G$56,$C$55:$G$55,#DIV/0!)</f>
        <v>#DIV/0!</v>
      </c>
      <c r="AD55" s="4">
        <f>XIRR($C$56:H$56,$C$55:H$55)</f>
        <v>0.59931975007057214</v>
      </c>
      <c r="AE55" s="4">
        <f>XIRR($C$56:I$56,$C$55:I$55)</f>
        <v>0.59931975007057214</v>
      </c>
      <c r="AF55" s="4" t="e">
        <f>XIRR($C$56:J$56,$C$55:J$55)</f>
        <v>#VALUE!</v>
      </c>
      <c r="AG55" s="4" t="e">
        <f>XIRR($C$56:J$56,$C$55:J$55)</f>
        <v>#VALUE!</v>
      </c>
      <c r="AH55" s="4">
        <f t="array" ref="AH55:AW55">XIRR($C$56:$G$56,$C$55:$G$55,D56)</f>
        <v>0.59931974858045578</v>
      </c>
      <c r="AI55" s="4">
        <v>0.59931974858045578</v>
      </c>
      <c r="AJ55" s="4">
        <v>0.59931974858045578</v>
      </c>
      <c r="AK55" s="4">
        <v>0.59931974858045578</v>
      </c>
      <c r="AL55" s="4">
        <v>0.59931974858045578</v>
      </c>
      <c r="AM55" s="4">
        <v>0.59931974858045578</v>
      </c>
      <c r="AN55" s="4">
        <v>0.59931974858045578</v>
      </c>
      <c r="AO55" s="4">
        <v>0.59931974858045578</v>
      </c>
      <c r="AP55" s="4">
        <v>0.59931974858045578</v>
      </c>
      <c r="AQ55" s="4">
        <v>0.59931974858045578</v>
      </c>
      <c r="AR55" s="4">
        <v>0.59931974858045578</v>
      </c>
      <c r="AS55" s="4">
        <v>0.59931974858045578</v>
      </c>
      <c r="AT55" s="4">
        <v>0.59931974858045578</v>
      </c>
      <c r="AU55" s="4">
        <v>0.59931974858045578</v>
      </c>
      <c r="AV55" s="4">
        <v>0.59931974858045578</v>
      </c>
      <c r="AW55" s="4">
        <v>0.59931974858045578</v>
      </c>
    </row>
    <row r="56" spans="1:49" x14ac:dyDescent="0.15">
      <c r="A56" s="99"/>
      <c r="B56" s="100"/>
      <c r="C56" s="4">
        <v>-10</v>
      </c>
      <c r="D56" s="4">
        <v>1</v>
      </c>
      <c r="E56" s="4">
        <v>5</v>
      </c>
      <c r="F56" s="4">
        <v>1E-4</v>
      </c>
      <c r="G56" s="4">
        <v>4.5</v>
      </c>
      <c r="I56" s="19" t="s">
        <v>445</v>
      </c>
      <c r="J56" s="4" t="b">
        <v>1</v>
      </c>
      <c r="K56" s="4" t="e">
        <v>#N/A</v>
      </c>
      <c r="L56" s="4" t="e">
        <f>#VALUE!</f>
        <v>#VALUE!</v>
      </c>
      <c r="M56" s="28" t="e">
        <v>#DIV/0!</v>
      </c>
      <c r="N56" s="28" t="e">
        <v>#NAME?</v>
      </c>
      <c r="O56" s="28" t="e">
        <v>#NULL!</v>
      </c>
      <c r="P56" s="28" t="e">
        <v>#NUM!</v>
      </c>
      <c r="Q56" s="28" t="e">
        <v>#REF!</v>
      </c>
      <c r="R56" s="4" t="e">
        <f>XIRR(C55:G55,C56:G56,D56)</f>
        <v>#NUM!</v>
      </c>
      <c r="S56" s="4" t="e">
        <f>XIRR($C$56:$G$56,$C$55:$G$55,-0.1)</f>
        <v>#NUM!</v>
      </c>
      <c r="T56" s="4">
        <f>XIRR($C$56:$G$56,$C$55:$G$55,D56)</f>
        <v>0.59931974858045578</v>
      </c>
      <c r="U56" s="4">
        <f>XIRR($C$56:$G$56,$C$55:$G$55,E57)</f>
        <v>0.59931975585937503</v>
      </c>
      <c r="V56" s="4">
        <f>XIRR($C$56:$G$56,$C$55:$G$55,F57)</f>
        <v>0.59931974858045578</v>
      </c>
      <c r="W56" s="4">
        <f>XIRR($C$56:$G$56,$C$55:$G$55,H57)</f>
        <v>0.59931975585937503</v>
      </c>
      <c r="X56" s="4">
        <f>XIRR($C$56:$G$56,$C$55:$G$55,I56)</f>
        <v>0.59931974858045578</v>
      </c>
      <c r="Y56" s="4" t="e">
        <f>XIRR($C$56:$G$56,$C$55:$G$55,J57)</f>
        <v>#VALUE!</v>
      </c>
      <c r="Z56" s="4" t="e">
        <f t="shared" ref="Z56:AE56" si="97">XIRR($C$56:$G$56,$C$55:$G$55,K57)</f>
        <v>#N/A</v>
      </c>
      <c r="AA56" s="4" t="e">
        <f t="shared" si="97"/>
        <v>#VALUE!</v>
      </c>
      <c r="AB56" s="4" t="e">
        <f t="shared" si="97"/>
        <v>#DIV/0!</v>
      </c>
      <c r="AC56" s="4" t="e">
        <f t="shared" si="97"/>
        <v>#NAME?</v>
      </c>
      <c r="AD56" s="4" t="e">
        <f t="shared" si="97"/>
        <v>#NULL!</v>
      </c>
      <c r="AE56" s="4" t="e">
        <f t="shared" si="97"/>
        <v>#NUM!</v>
      </c>
      <c r="AF56" s="4" t="e">
        <f>XIRR($C$56:$G$56,$C$55:$G$55,Q57)</f>
        <v>#REF!</v>
      </c>
      <c r="AG56" s="4" t="e">
        <f>XIRR($C$56:$G$56,$C$55:$G$55,D57:Q57)</f>
        <v>#VALUE!</v>
      </c>
      <c r="AH56" s="4" t="e">
        <f t="array" ref="AH56:AW56">XIRR($C$56:$G$56,$C$55:$G$55,C57:Q57)</f>
        <v>#VALUE!</v>
      </c>
      <c r="AI56" s="4" t="e">
        <v>#VALUE!</v>
      </c>
      <c r="AJ56" s="4" t="e">
        <v>#VALUE!</v>
      </c>
      <c r="AK56" s="4" t="e">
        <v>#VALUE!</v>
      </c>
      <c r="AL56" s="4" t="e">
        <v>#VALUE!</v>
      </c>
      <c r="AM56" s="4" t="e">
        <v>#VALUE!</v>
      </c>
      <c r="AN56" s="4" t="e">
        <v>#VALUE!</v>
      </c>
      <c r="AO56" s="4" t="e">
        <v>#VALUE!</v>
      </c>
      <c r="AP56" s="4" t="e">
        <v>#VALUE!</v>
      </c>
      <c r="AQ56" s="4" t="e">
        <v>#VALUE!</v>
      </c>
      <c r="AR56" s="4" t="e">
        <v>#VALUE!</v>
      </c>
      <c r="AS56" s="4" t="e">
        <v>#VALUE!</v>
      </c>
      <c r="AT56" s="4" t="e">
        <v>#VALUE!</v>
      </c>
      <c r="AU56" s="4" t="e">
        <v>#VALUE!</v>
      </c>
      <c r="AV56" s="4" t="e">
        <v>#VALUE!</v>
      </c>
      <c r="AW56" s="4" t="e">
        <v>#VALUE!</v>
      </c>
    </row>
    <row r="57" spans="1:49" x14ac:dyDescent="0.15">
      <c r="A57" s="35" t="s">
        <v>277</v>
      </c>
      <c r="B57" s="36" t="s">
        <v>541</v>
      </c>
      <c r="C57" s="4">
        <v>-0.1</v>
      </c>
      <c r="D57" s="4">
        <v>2</v>
      </c>
      <c r="E57" s="4">
        <v>0</v>
      </c>
      <c r="F57" s="4">
        <v>4</v>
      </c>
      <c r="G57" s="4">
        <v>5</v>
      </c>
      <c r="I57" s="4" t="s">
        <v>32</v>
      </c>
      <c r="J57" s="4" t="b">
        <v>1</v>
      </c>
      <c r="K57" s="4" t="e">
        <v>#N/A</v>
      </c>
      <c r="L57" s="4" t="e">
        <f>#VALUE!</f>
        <v>#VALUE!</v>
      </c>
      <c r="M57" s="28" t="e">
        <v>#DIV/0!</v>
      </c>
      <c r="N57" s="28" t="e">
        <v>#NAME?</v>
      </c>
      <c r="O57" s="28" t="e">
        <v>#NULL!</v>
      </c>
      <c r="P57" s="28" t="e">
        <v>#NUM!</v>
      </c>
      <c r="Q57" s="28" t="e">
        <v>#REF!</v>
      </c>
      <c r="R57" s="4">
        <f>XNPV(R55,C56:G56,C55:G55)</f>
        <v>4.5941641602098571E-9</v>
      </c>
      <c r="S57" s="4" t="e">
        <f t="shared" ref="S57:AA57" si="98">XNPV(C57,$C$56:$G$56,$C$55:$G$55)</f>
        <v>#NUM!</v>
      </c>
      <c r="T57" s="4">
        <f t="shared" si="98"/>
        <v>-0.61247484329765634</v>
      </c>
      <c r="U57" s="4" t="e">
        <f t="shared" si="98"/>
        <v>#NUM!</v>
      </c>
      <c r="V57" s="4">
        <f t="shared" si="98"/>
        <v>-1.0661583524424625</v>
      </c>
      <c r="W57" s="4">
        <f t="shared" si="98"/>
        <v>-1.2193650514728072</v>
      </c>
      <c r="X57" s="4" t="e">
        <f t="shared" si="98"/>
        <v>#NUM!</v>
      </c>
      <c r="Y57" s="4" t="e">
        <f t="shared" si="98"/>
        <v>#VALUE!</v>
      </c>
      <c r="Z57" s="4" t="e">
        <f t="shared" si="98"/>
        <v>#VALUE!</v>
      </c>
      <c r="AA57" s="4" t="e">
        <f t="shared" si="98"/>
        <v>#N/A</v>
      </c>
      <c r="AB57" s="4" t="e">
        <f>XNPV(L57,$C$56:$G$56,$C$55:$G$55)</f>
        <v>#VALUE!</v>
      </c>
      <c r="AC57" s="4" t="e">
        <f>XNPV(M57,$C$56:$G$56,$C$55:$G$55)</f>
        <v>#DIV/0!</v>
      </c>
      <c r="AD57" s="4" t="e">
        <f>XNPV(N57,$C$56:$G$56,$C$55:$G$55)</f>
        <v>#NAME?</v>
      </c>
      <c r="AE57" s="4" t="e">
        <f>XNPV(O57,$C$56:$G$56,$C$55:$G$55)</f>
        <v>#NULL!</v>
      </c>
      <c r="AF57" s="4" t="e">
        <f>XNPV(P57,$C$56:$G$56,$C$55:$G$55)</f>
        <v>#NUM!</v>
      </c>
      <c r="AG57" s="4" t="e">
        <f>XNPV(D57:E57,$C$56:$G$56,$C$55:$G$55)</f>
        <v>#VALUE!</v>
      </c>
      <c r="AH57" s="4" t="e">
        <f t="array" ref="AH57:AW57">XNPV(D57:Q57,$C$56:$G$56,$C$55:$G$55)</f>
        <v>#VALUE!</v>
      </c>
      <c r="AI57" s="4" t="e">
        <v>#VALUE!</v>
      </c>
      <c r="AJ57" s="4" t="e">
        <v>#VALUE!</v>
      </c>
      <c r="AK57" s="4" t="e">
        <v>#VALUE!</v>
      </c>
      <c r="AL57" s="4" t="e">
        <v>#VALUE!</v>
      </c>
      <c r="AM57" s="4" t="e">
        <v>#VALUE!</v>
      </c>
      <c r="AN57" s="4" t="e">
        <v>#VALUE!</v>
      </c>
      <c r="AO57" s="4" t="e">
        <v>#VALUE!</v>
      </c>
      <c r="AP57" s="4" t="e">
        <v>#VALUE!</v>
      </c>
      <c r="AQ57" s="4" t="e">
        <v>#VALUE!</v>
      </c>
      <c r="AR57" s="4" t="e">
        <v>#VALUE!</v>
      </c>
      <c r="AS57" s="4" t="e">
        <v>#VALUE!</v>
      </c>
      <c r="AT57" s="4" t="e">
        <v>#VALUE!</v>
      </c>
      <c r="AU57" s="4" t="e">
        <v>#VALUE!</v>
      </c>
      <c r="AV57" s="4" t="e">
        <v>#VALUE!</v>
      </c>
      <c r="AW57" s="4" t="e">
        <v>#VALUE!</v>
      </c>
    </row>
    <row r="58" spans="1:49" x14ac:dyDescent="0.15">
      <c r="A58" s="35" t="s">
        <v>278</v>
      </c>
      <c r="B58" s="36" t="s">
        <v>541</v>
      </c>
      <c r="C58" s="4">
        <v>-0.1</v>
      </c>
      <c r="D58" s="4">
        <v>0</v>
      </c>
      <c r="E58" s="4">
        <v>1</v>
      </c>
      <c r="F58" s="4">
        <v>4</v>
      </c>
      <c r="G58" s="4">
        <v>5</v>
      </c>
      <c r="I58" s="4" t="s">
        <v>32</v>
      </c>
      <c r="J58" s="4" t="b">
        <v>1</v>
      </c>
      <c r="K58" s="4" t="e">
        <v>#N/A</v>
      </c>
      <c r="L58" s="4" t="e">
        <f>#VALUE!</f>
        <v>#VALUE!</v>
      </c>
      <c r="M58" s="28" t="e">
        <v>#DIV/0!</v>
      </c>
      <c r="N58" s="28" t="e">
        <v>#NAME?</v>
      </c>
      <c r="O58" s="28" t="e">
        <v>#NULL!</v>
      </c>
      <c r="P58" s="28" t="e">
        <v>#NUM!</v>
      </c>
      <c r="Q58" s="28" t="e">
        <v>#REF!</v>
      </c>
      <c r="R58" s="110" t="e">
        <f>YIELD("15/4/2005","31/7/2009",C58,6.5%,100,4)</f>
        <v>#NUM!</v>
      </c>
      <c r="S58" s="110">
        <f>YIELD("15/4/2005","31/7/2009",D58,6.5%,100,4)</f>
        <v>2.1336010409109454</v>
      </c>
      <c r="T58" s="110">
        <f>YIELD("15/4/2005","31/7/2009",E58,6.5%,100,4)</f>
        <v>24.775835128247355</v>
      </c>
      <c r="U58" s="110">
        <f>YIELD("15/4/2005","31/7/2009",F58,6.5%,100,4)</f>
        <v>24.981805934340152</v>
      </c>
      <c r="V58" s="110">
        <f>YIELD("15/4/2005","31/7/2009",G58,6.5%,100,4)</f>
        <v>24.995636758287361</v>
      </c>
      <c r="W58" s="110">
        <f>YIELD("15/4/2005","31/7/2009",H58,6.5%,100,4)</f>
        <v>2.1336010409109454</v>
      </c>
      <c r="X58" s="92" t="e">
        <f>YIELD("15/4/2005","31/7/2009",I58,6.5%,100,4)</f>
        <v>#VALUE!</v>
      </c>
      <c r="Y58" s="92" t="e">
        <f>YIELD("15/4/2005","31/7/2009",J58,6.5%,100,4)</f>
        <v>#VALUE!</v>
      </c>
      <c r="Z58" s="92" t="e">
        <f>YIELD("15/4/2005","31/7/2009",K58,6.5%,100,4)</f>
        <v>#N/A</v>
      </c>
      <c r="AA58" s="92" t="e">
        <f t="shared" ref="AA58:AF58" si="99">YIELD("15/4/2005","31/7/2009",L58,6.5%,100,4)</f>
        <v>#VALUE!</v>
      </c>
      <c r="AB58" s="92" t="e">
        <f t="shared" si="99"/>
        <v>#DIV/0!</v>
      </c>
      <c r="AC58" s="92" t="e">
        <f t="shared" si="99"/>
        <v>#NAME?</v>
      </c>
      <c r="AD58" s="92" t="e">
        <f t="shared" si="99"/>
        <v>#NULL!</v>
      </c>
      <c r="AE58" s="92" t="e">
        <f t="shared" si="99"/>
        <v>#NUM!</v>
      </c>
      <c r="AF58" s="92" t="e">
        <f t="shared" si="99"/>
        <v>#REF!</v>
      </c>
      <c r="AG58" s="109">
        <f t="array" ref="AG58">YIELD("15/4/2005","31/7/2009",5.75%,6.5%,100,4,{0,1,2,3,4})</f>
        <v>20.888740855602528</v>
      </c>
      <c r="AH58" s="71" t="e">
        <f t="array" ref="AH58:AW58">YIELD("15/4/2011","31/7/2011",5.75%,1200,100,4,{0,1,4})</f>
        <v>#NUM!</v>
      </c>
      <c r="AI58" s="71" t="e">
        <v>#NUM!</v>
      </c>
      <c r="AJ58" s="71" t="e">
        <v>#NUM!</v>
      </c>
      <c r="AK58" s="71" t="e">
        <v>#N/A</v>
      </c>
      <c r="AL58" s="71" t="e">
        <v>#N/A</v>
      </c>
      <c r="AM58" s="4" t="e">
        <v>#N/A</v>
      </c>
      <c r="AN58" s="4" t="e">
        <v>#N/A</v>
      </c>
      <c r="AO58" s="4" t="e">
        <v>#N/A</v>
      </c>
      <c r="AP58" s="4" t="e">
        <v>#N/A</v>
      </c>
      <c r="AQ58" s="4" t="e">
        <v>#N/A</v>
      </c>
      <c r="AR58" s="4" t="e">
        <v>#N/A</v>
      </c>
      <c r="AS58" s="4" t="e">
        <v>#N/A</v>
      </c>
      <c r="AT58" s="4" t="e">
        <v>#N/A</v>
      </c>
      <c r="AU58" s="4" t="e">
        <v>#N/A</v>
      </c>
      <c r="AV58" s="4" t="e">
        <v>#N/A</v>
      </c>
      <c r="AW58" s="4" t="e">
        <v>#N/A</v>
      </c>
    </row>
    <row r="59" spans="1:49" x14ac:dyDescent="0.15">
      <c r="A59" s="35" t="s">
        <v>279</v>
      </c>
      <c r="B59" s="36" t="s">
        <v>541</v>
      </c>
      <c r="C59" s="4">
        <v>-0.1</v>
      </c>
      <c r="D59" s="4">
        <v>0</v>
      </c>
      <c r="E59" s="4">
        <v>1</v>
      </c>
      <c r="F59" s="4">
        <v>4</v>
      </c>
      <c r="G59" s="4">
        <v>5</v>
      </c>
      <c r="I59" s="4" t="s">
        <v>32</v>
      </c>
      <c r="J59" s="4" t="b">
        <v>1</v>
      </c>
      <c r="K59" s="4" t="e">
        <v>#N/A</v>
      </c>
      <c r="L59" s="4" t="e">
        <f>#VALUE!</f>
        <v>#VALUE!</v>
      </c>
      <c r="M59" s="28" t="e">
        <v>#DIV/0!</v>
      </c>
      <c r="N59" s="28" t="e">
        <v>#NAME?</v>
      </c>
      <c r="O59" s="28" t="e">
        <v>#NULL!</v>
      </c>
      <c r="P59" s="28" t="e">
        <v>#NUM!</v>
      </c>
      <c r="Q59" s="28" t="e">
        <v>#REF!</v>
      </c>
      <c r="R59" s="110" t="e">
        <f>YIELDDISC("15/4/2005","31/7/2009",5.75%,C59)</f>
        <v>#NUM!</v>
      </c>
      <c r="S59" s="110" t="e">
        <f>YIELDDISC("15/4/2005","31/7/2009",5.75%,D59)</f>
        <v>#NUM!</v>
      </c>
      <c r="T59" s="110">
        <f>YIELDDISC("15/4/2005","31/7/2009",5.75%,E59)</f>
        <v>3.8168625906968892</v>
      </c>
      <c r="U59" s="110">
        <f>YIELDDISC("15/4/2005","31/7/2009",5.75%,F59)</f>
        <v>15.966027335620675</v>
      </c>
      <c r="V59" s="110">
        <f>YIELDDISC("15/4/2005","31/7/2009",5.75%,G59)</f>
        <v>20.015748917261934</v>
      </c>
      <c r="W59" s="110" t="e">
        <f>YIELDDISC("15/4/2005","31/7/2009",5.75%,H59)</f>
        <v>#NUM!</v>
      </c>
      <c r="X59" s="92" t="e">
        <f>YIELDDISC("15/4/2005","31/7/2009",5.75%,I59)</f>
        <v>#VALUE!</v>
      </c>
      <c r="Y59" s="92" t="e">
        <f>YIELDDISC("15/4/2005","31/7/2009",5.75%,J59)</f>
        <v>#VALUE!</v>
      </c>
      <c r="Z59" s="92" t="e">
        <f>YIELDDISC("15/4/2005","31/7/2009",5.75%,K59)</f>
        <v>#N/A</v>
      </c>
      <c r="AA59" s="92" t="e">
        <f t="shared" ref="AA59:AF59" si="100">YIELDDISC("15/4/2005","31/7/2009",5.75%,L59)</f>
        <v>#VALUE!</v>
      </c>
      <c r="AB59" s="92" t="e">
        <f t="shared" si="100"/>
        <v>#DIV/0!</v>
      </c>
      <c r="AC59" s="92" t="e">
        <f t="shared" si="100"/>
        <v>#NAME?</v>
      </c>
      <c r="AD59" s="92" t="e">
        <f t="shared" si="100"/>
        <v>#NULL!</v>
      </c>
      <c r="AE59" s="92" t="e">
        <f t="shared" si="100"/>
        <v>#NUM!</v>
      </c>
      <c r="AF59" s="92" t="e">
        <f t="shared" si="100"/>
        <v>#REF!</v>
      </c>
      <c r="AG59" s="109">
        <f t="array" ref="AG59">YIELDDISC("15/4/2005","31/7/2009",5.75%,100,{0,1,2,3,4})</f>
        <v>404.73929917318179</v>
      </c>
      <c r="AH59" s="71">
        <f t="array" ref="AH59:AW59">YIELDDISC("15/4/2009","31/7/2009",5.75%,100,{0,1,2,3,4})</f>
        <v>5903.0844954881049</v>
      </c>
      <c r="AI59" s="71">
        <v>5929.1365298659075</v>
      </c>
      <c r="AJ59" s="71">
        <v>5847.9154815115799</v>
      </c>
      <c r="AK59" s="71">
        <v>5929.1365298659075</v>
      </c>
      <c r="AL59" s="71">
        <v>5959.3043478260861</v>
      </c>
      <c r="AM59" s="4" t="e">
        <v>#N/A</v>
      </c>
      <c r="AN59" s="4" t="e">
        <v>#N/A</v>
      </c>
      <c r="AO59" s="4" t="e">
        <v>#N/A</v>
      </c>
      <c r="AP59" s="4" t="e">
        <v>#N/A</v>
      </c>
      <c r="AQ59" s="4" t="e">
        <v>#N/A</v>
      </c>
      <c r="AR59" s="4" t="e">
        <v>#N/A</v>
      </c>
      <c r="AS59" s="4" t="e">
        <v>#N/A</v>
      </c>
      <c r="AT59" s="4" t="e">
        <v>#N/A</v>
      </c>
      <c r="AU59" s="4" t="e">
        <v>#N/A</v>
      </c>
      <c r="AV59" s="4" t="e">
        <v>#N/A</v>
      </c>
      <c r="AW59" s="4" t="e">
        <v>#N/A</v>
      </c>
    </row>
    <row r="60" spans="1:49" x14ac:dyDescent="0.15">
      <c r="A60" s="35" t="s">
        <v>280</v>
      </c>
      <c r="B60" s="36" t="s">
        <v>541</v>
      </c>
      <c r="C60" s="4">
        <v>-0.1</v>
      </c>
      <c r="D60" s="4">
        <v>0</v>
      </c>
      <c r="E60" s="4">
        <v>1</v>
      </c>
      <c r="F60" s="4">
        <v>4</v>
      </c>
      <c r="G60" s="4">
        <v>5</v>
      </c>
      <c r="I60" s="4" t="s">
        <v>32</v>
      </c>
      <c r="J60" s="4" t="b">
        <v>1</v>
      </c>
      <c r="K60" s="4" t="e">
        <v>#N/A</v>
      </c>
      <c r="L60" s="4" t="e">
        <f>#VALUE!</f>
        <v>#VALUE!</v>
      </c>
      <c r="M60" s="28" t="e">
        <v>#DIV/0!</v>
      </c>
      <c r="N60" s="28" t="e">
        <v>#NAME?</v>
      </c>
      <c r="O60" s="28" t="e">
        <v>#NULL!</v>
      </c>
      <c r="P60" s="28" t="e">
        <v>#NUM!</v>
      </c>
      <c r="Q60" s="28" t="e">
        <v>#REF!</v>
      </c>
      <c r="R60" s="110" t="e">
        <f>YIELDMAT("15/4/2005","31/7/2009","15/4/2000",5.75%,C60)</f>
        <v>#NUM!</v>
      </c>
      <c r="S60" s="110" t="e">
        <f>YIELDMAT("15/4/2005","31/7/2009","15/4/2000",5.75%,D60)</f>
        <v>#NUM!</v>
      </c>
      <c r="T60" s="110">
        <f>YIELDMAT("15/4/2005","31/7/2009","15/4/2000",5.75%,E60)</f>
        <v>0.9681694152434579</v>
      </c>
      <c r="U60" s="110">
        <f>YIELDMAT("15/4/2005","31/7/2009","15/4/2000",5.75%,F60)</f>
        <v>0.85815154597434407</v>
      </c>
      <c r="V60" s="110">
        <f>YIELDMAT("15/4/2005","31/7/2009","15/4/2000",5.75%,G60)</f>
        <v>0.8258253078434189</v>
      </c>
      <c r="W60" s="110" t="e">
        <f>YIELDMAT("15/4/2005","31/7/2009","15/4/2000",5.75%,H60)</f>
        <v>#NUM!</v>
      </c>
      <c r="X60" s="92" t="e">
        <f>YIELDMAT("15/4/2005","31/7/2009","15/4/2000",5.75%,I60)</f>
        <v>#VALUE!</v>
      </c>
      <c r="Y60" s="92" t="e">
        <f>YIELDMAT("15/4/2005","31/7/2009","15/4/2000",5.75%,J60)</f>
        <v>#VALUE!</v>
      </c>
      <c r="Z60" s="92" t="e">
        <f>YIELDMAT("15/4/2005","31/7/2009","15/4/2000",5.75%,K60)</f>
        <v>#N/A</v>
      </c>
      <c r="AA60" s="92" t="e">
        <f t="shared" ref="AA60:AF60" si="101">YIELDMAT("15/4/2005","31/7/2009","15/4/2000",5.75%,L60)</f>
        <v>#VALUE!</v>
      </c>
      <c r="AB60" s="92" t="e">
        <f t="shared" si="101"/>
        <v>#DIV/0!</v>
      </c>
      <c r="AC60" s="92" t="e">
        <f t="shared" si="101"/>
        <v>#NAME?</v>
      </c>
      <c r="AD60" s="92" t="e">
        <f t="shared" si="101"/>
        <v>#NULL!</v>
      </c>
      <c r="AE60" s="92" t="e">
        <f t="shared" si="101"/>
        <v>#NUM!</v>
      </c>
      <c r="AF60" s="92" t="e">
        <f t="shared" si="101"/>
        <v>#REF!</v>
      </c>
      <c r="AG60" s="109">
        <f t="array" ref="AG60">YIELDMAT("15/4/2005","31/7/2009","15/4/2000",5.75%,100,{0,1,2,3,4})</f>
        <v>4.4660194174757258E-2</v>
      </c>
      <c r="AH60" s="71">
        <f t="array" ref="AH60:AW60">YIELDMAT("15/4/2009","31/7/2009","15/4/2000",5.75%,100,{0,2,3,4})</f>
        <v>3.7891268533772414E-2</v>
      </c>
      <c r="AI60" s="71">
        <v>3.7704746335399067E-2</v>
      </c>
      <c r="AJ60" s="71">
        <v>3.7883403053235294E-2</v>
      </c>
      <c r="AK60" s="71">
        <v>3.7891268533772296E-2</v>
      </c>
      <c r="AL60" s="71" t="e">
        <v>#N/A</v>
      </c>
      <c r="AM60" s="4" t="e">
        <v>#N/A</v>
      </c>
      <c r="AN60" s="4" t="e">
        <v>#N/A</v>
      </c>
      <c r="AO60" s="4" t="e">
        <v>#N/A</v>
      </c>
      <c r="AP60" s="4" t="e">
        <v>#N/A</v>
      </c>
      <c r="AQ60" s="4" t="e">
        <v>#N/A</v>
      </c>
      <c r="AR60" s="4" t="e">
        <v>#N/A</v>
      </c>
      <c r="AS60" s="4" t="e">
        <v>#N/A</v>
      </c>
      <c r="AT60" s="4" t="e">
        <v>#N/A</v>
      </c>
      <c r="AU60" s="4" t="e">
        <v>#N/A</v>
      </c>
      <c r="AV60" s="4" t="e">
        <v>#N/A</v>
      </c>
      <c r="AW60" s="4" t="e">
        <v>#N/A</v>
      </c>
    </row>
    <row r="61" spans="1:49" x14ac:dyDescent="0.15">
      <c r="R61" s="93"/>
    </row>
    <row r="62" spans="1:49" x14ac:dyDescent="0.15">
      <c r="L62" s="92"/>
    </row>
    <row r="63" spans="1:49" x14ac:dyDescent="0.15">
      <c r="L63" s="108"/>
      <c r="R63" s="17"/>
      <c r="S63" s="17"/>
      <c r="U63" s="109"/>
      <c r="V63" s="17"/>
    </row>
    <row r="64" spans="1:49" x14ac:dyDescent="0.15">
      <c r="R64" s="111"/>
      <c r="T64" s="109"/>
      <c r="U64" s="109"/>
      <c r="V64" s="109"/>
    </row>
    <row r="65" spans="2:23" ht="15" x14ac:dyDescent="0.2">
      <c r="B65" s="89"/>
      <c r="L65" s="113"/>
      <c r="T65" s="109"/>
      <c r="U65" s="109"/>
      <c r="V65" s="109"/>
    </row>
    <row r="66" spans="2:23" x14ac:dyDescent="0.15">
      <c r="L66" s="108"/>
      <c r="R66" s="74"/>
      <c r="S66" s="74"/>
      <c r="T66" s="109"/>
      <c r="U66" s="109"/>
      <c r="V66" s="109"/>
      <c r="W66" s="74"/>
    </row>
    <row r="67" spans="2:23" x14ac:dyDescent="0.15">
      <c r="R67" s="17"/>
      <c r="S67" s="17"/>
      <c r="U67" s="109"/>
      <c r="V67" s="109"/>
    </row>
    <row r="68" spans="2:23" x14ac:dyDescent="0.15">
      <c r="U68" s="109"/>
      <c r="V68" s="109"/>
    </row>
    <row r="69" spans="2:23" x14ac:dyDescent="0.15">
      <c r="R69" s="17"/>
      <c r="S69" s="17"/>
      <c r="U69" s="109"/>
      <c r="V69" s="109"/>
    </row>
    <row r="70" spans="2:23" x14ac:dyDescent="0.15">
      <c r="U70" s="109"/>
      <c r="V70" s="109"/>
    </row>
  </sheetData>
  <mergeCells count="13">
    <mergeCell ref="A55:A56"/>
    <mergeCell ref="A26:A27"/>
    <mergeCell ref="C1:Q1"/>
    <mergeCell ref="R1:AW1"/>
    <mergeCell ref="C2:G2"/>
    <mergeCell ref="K2:Q2"/>
    <mergeCell ref="R2:V2"/>
    <mergeCell ref="Z2:AF2"/>
    <mergeCell ref="AH2:AW2"/>
    <mergeCell ref="B55:B56"/>
    <mergeCell ref="B26:B27"/>
    <mergeCell ref="B30:B31"/>
    <mergeCell ref="A30:A31"/>
  </mergeCells>
  <phoneticPr fontId="5" type="noConversion"/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AW27"/>
  <sheetViews>
    <sheetView zoomScale="116" zoomScaleNormal="100" workbookViewId="0">
      <selection activeCell="A21" sqref="A21"/>
    </sheetView>
  </sheetViews>
  <sheetFormatPr baseColWidth="10" defaultColWidth="10.83203125" defaultRowHeight="11" x14ac:dyDescent="0.15"/>
  <cols>
    <col min="1" max="1" width="9" style="42" bestFit="1" customWidth="1"/>
    <col min="2" max="2" width="5.1640625" style="41" bestFit="1" customWidth="1"/>
    <col min="3" max="4" width="1.5" style="4" bestFit="1" customWidth="1"/>
    <col min="5" max="5" width="2.83203125" style="4" bestFit="1" customWidth="1"/>
    <col min="6" max="6" width="2.1640625" style="4" bestFit="1" customWidth="1"/>
    <col min="7" max="7" width="1.83203125" style="4" bestFit="1" customWidth="1"/>
    <col min="8" max="8" width="4.6640625" style="4" bestFit="1" customWidth="1"/>
    <col min="9" max="9" width="15.5" style="4" bestFit="1" customWidth="1"/>
    <col min="10" max="10" width="3.6640625" style="4" bestFit="1" customWidth="1"/>
    <col min="11" max="11" width="7.83203125" style="4" bestFit="1" customWidth="1"/>
    <col min="12" max="12" width="3.6640625" style="4" bestFit="1" customWidth="1"/>
    <col min="13" max="13" width="5.1640625" style="4" bestFit="1" customWidth="1"/>
    <col min="14" max="14" width="5.6640625" style="4" bestFit="1" customWidth="1"/>
    <col min="15" max="15" width="4.6640625" style="4" bestFit="1" customWidth="1"/>
    <col min="16" max="16" width="4.83203125" style="4" bestFit="1" customWidth="1"/>
    <col min="17" max="17" width="4" style="4" bestFit="1" customWidth="1"/>
    <col min="18" max="22" width="4.1640625" style="4" bestFit="1" customWidth="1"/>
    <col min="23" max="23" width="4.6640625" style="4" bestFit="1" customWidth="1"/>
    <col min="24" max="26" width="5.6640625" style="4" bestFit="1" customWidth="1"/>
    <col min="27" max="27" width="4.1640625" style="4" bestFit="1" customWidth="1"/>
    <col min="28" max="28" width="5.1640625" style="4" bestFit="1" customWidth="1"/>
    <col min="29" max="29" width="5.6640625" style="4" bestFit="1" customWidth="1"/>
    <col min="30" max="30" width="4.6640625" style="4" bestFit="1" customWidth="1"/>
    <col min="31" max="31" width="4.83203125" style="4" bestFit="1" customWidth="1"/>
    <col min="32" max="32" width="4.1640625" style="4" bestFit="1" customWidth="1"/>
    <col min="33" max="33" width="9.83203125" style="4" bestFit="1" customWidth="1"/>
    <col min="34" max="34" width="5.83203125" style="4" bestFit="1" customWidth="1"/>
    <col min="35" max="49" width="5.6640625" style="4" bestFit="1" customWidth="1"/>
    <col min="50" max="16384" width="10.83203125" style="4"/>
  </cols>
  <sheetData>
    <row r="1" spans="1:49" x14ac:dyDescent="0.15">
      <c r="A1" s="42" t="s">
        <v>542</v>
      </c>
      <c r="B1" s="80">
        <f>COUNTIF(B3:B278,"=DONE")/COUNTA(A3:A278)</f>
        <v>0.72727272727272729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49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49" ht="11" customHeight="1" x14ac:dyDescent="0.2">
      <c r="A3" s="40" t="s">
        <v>208</v>
      </c>
      <c r="I3" s="34"/>
      <c r="K3" s="27"/>
      <c r="M3" s="33"/>
    </row>
    <row r="4" spans="1:49" x14ac:dyDescent="0.15">
      <c r="A4" s="35" t="s">
        <v>209</v>
      </c>
      <c r="B4" s="36" t="s">
        <v>541</v>
      </c>
      <c r="C4" s="4">
        <v>0</v>
      </c>
      <c r="D4" s="4">
        <v>1</v>
      </c>
      <c r="E4" s="4">
        <v>2.2999999999999998</v>
      </c>
      <c r="F4" s="4">
        <v>10</v>
      </c>
      <c r="G4" s="4">
        <v>-1</v>
      </c>
      <c r="H4" s="6"/>
      <c r="I4" s="6" t="s">
        <v>32</v>
      </c>
      <c r="J4" s="6" t="b">
        <v>1</v>
      </c>
      <c r="K4" s="6" t="e">
        <v>#VALUE!</v>
      </c>
      <c r="L4" s="6" t="e">
        <v>#N/A</v>
      </c>
      <c r="M4" s="7" t="e">
        <v>#DIV/0!</v>
      </c>
      <c r="N4" s="7" t="e">
        <v>#NAME?</v>
      </c>
      <c r="O4" s="7" t="e">
        <v>#NULL!</v>
      </c>
      <c r="P4" s="7" t="e">
        <v>#NUM!</v>
      </c>
      <c r="Q4" s="7" t="e">
        <v>#REF!</v>
      </c>
      <c r="R4" s="6" t="e">
        <f>ERROR.TYPE(C4)</f>
        <v>#N/A</v>
      </c>
      <c r="S4" s="6" t="e">
        <f t="shared" ref="S4:AF4" si="0">ERROR.TYPE(D4)</f>
        <v>#N/A</v>
      </c>
      <c r="T4" s="6">
        <f>ERROR.TYPE(#GETTING_DATA)</f>
        <v>8</v>
      </c>
      <c r="U4" s="6" t="e">
        <f t="shared" si="0"/>
        <v>#N/A</v>
      </c>
      <c r="V4" s="6" t="e">
        <f t="shared" si="0"/>
        <v>#N/A</v>
      </c>
      <c r="W4" s="6" t="e">
        <f t="shared" si="0"/>
        <v>#N/A</v>
      </c>
      <c r="X4" s="6" t="e">
        <f t="shared" si="0"/>
        <v>#N/A</v>
      </c>
      <c r="Y4" s="6" t="e">
        <f t="shared" si="0"/>
        <v>#N/A</v>
      </c>
      <c r="Z4" s="6">
        <f t="shared" si="0"/>
        <v>3</v>
      </c>
      <c r="AA4" s="6">
        <f t="shared" si="0"/>
        <v>7</v>
      </c>
      <c r="AB4" s="6">
        <f t="shared" si="0"/>
        <v>2</v>
      </c>
      <c r="AC4" s="6">
        <f t="shared" si="0"/>
        <v>5</v>
      </c>
      <c r="AD4" s="6">
        <f t="shared" si="0"/>
        <v>1</v>
      </c>
      <c r="AE4" s="6">
        <f t="shared" si="0"/>
        <v>6</v>
      </c>
      <c r="AF4" s="6">
        <f t="shared" si="0"/>
        <v>4</v>
      </c>
      <c r="AG4" s="6" t="e">
        <f t="array" ref="AG4">ERROR.TYPE(C4:Q4)</f>
        <v>#N/A</v>
      </c>
      <c r="AH4" s="6" t="e">
        <f t="array" ref="AH4">ERROR.TYPE(H4:Q4)</f>
        <v>#N/A</v>
      </c>
      <c r="AI4" s="4" t="e">
        <f t="array" ref="AI4:AW4">ERROR.TYPE(D4:Q4)</f>
        <v>#N/A</v>
      </c>
      <c r="AJ4" s="4" t="e">
        <v>#N/A</v>
      </c>
      <c r="AK4" s="4" t="e">
        <v>#N/A</v>
      </c>
      <c r="AL4" s="4" t="e">
        <v>#N/A</v>
      </c>
      <c r="AM4" s="4" t="e">
        <v>#N/A</v>
      </c>
      <c r="AN4" s="4" t="e">
        <v>#N/A</v>
      </c>
      <c r="AO4" s="4" t="e">
        <v>#N/A</v>
      </c>
      <c r="AP4" s="4">
        <v>3</v>
      </c>
      <c r="AQ4" s="4">
        <v>7</v>
      </c>
      <c r="AR4" s="4">
        <v>2</v>
      </c>
      <c r="AS4" s="4">
        <v>5</v>
      </c>
      <c r="AT4" s="4">
        <v>1</v>
      </c>
      <c r="AU4" s="4">
        <v>6</v>
      </c>
      <c r="AV4" s="4">
        <v>4</v>
      </c>
      <c r="AW4" s="4" t="e">
        <v>#N/A</v>
      </c>
    </row>
    <row r="5" spans="1:49" x14ac:dyDescent="0.15">
      <c r="A5" s="40" t="s">
        <v>210</v>
      </c>
    </row>
    <row r="6" spans="1:49" x14ac:dyDescent="0.15">
      <c r="A6" s="35" t="s">
        <v>211</v>
      </c>
      <c r="B6" s="36" t="s">
        <v>541</v>
      </c>
      <c r="C6" s="4">
        <v>0</v>
      </c>
      <c r="D6" s="4">
        <v>1</v>
      </c>
      <c r="E6" s="4">
        <v>2.2999999999999998</v>
      </c>
      <c r="F6" s="4">
        <v>10</v>
      </c>
      <c r="G6" s="4">
        <v>-1</v>
      </c>
      <c r="H6" s="6"/>
      <c r="I6" s="6" t="s">
        <v>32</v>
      </c>
      <c r="J6" s="6" t="b">
        <v>1</v>
      </c>
      <c r="K6" s="6" t="e">
        <v>#VALUE!</v>
      </c>
      <c r="L6" s="6" t="e">
        <v>#N/A</v>
      </c>
      <c r="M6" s="7" t="e">
        <v>#DIV/0!</v>
      </c>
      <c r="N6" s="7" t="e">
        <v>#NAME?</v>
      </c>
      <c r="O6" s="7" t="e">
        <v>#NULL!</v>
      </c>
      <c r="P6" s="7" t="e">
        <v>#NUM!</v>
      </c>
      <c r="Q6" s="7" t="e">
        <v>#REF!</v>
      </c>
      <c r="R6" s="6" t="b">
        <f>ISBLANK(C6)</f>
        <v>0</v>
      </c>
      <c r="S6" s="6" t="b">
        <f t="shared" ref="S6:AF6" si="1">ISBLANK(D6)</f>
        <v>0</v>
      </c>
      <c r="T6" s="6" t="b">
        <f t="shared" si="1"/>
        <v>0</v>
      </c>
      <c r="U6" s="6" t="b">
        <f t="shared" si="1"/>
        <v>0</v>
      </c>
      <c r="V6" s="6" t="b">
        <f t="shared" si="1"/>
        <v>0</v>
      </c>
      <c r="W6" s="6" t="b">
        <f t="shared" si="1"/>
        <v>1</v>
      </c>
      <c r="X6" s="6" t="b">
        <f t="shared" si="1"/>
        <v>0</v>
      </c>
      <c r="Y6" s="6" t="b">
        <f t="shared" si="1"/>
        <v>0</v>
      </c>
      <c r="Z6" s="6" t="b">
        <f t="shared" si="1"/>
        <v>0</v>
      </c>
      <c r="AA6" s="6" t="b">
        <f t="shared" si="1"/>
        <v>0</v>
      </c>
      <c r="AB6" s="6" t="b">
        <f t="shared" si="1"/>
        <v>0</v>
      </c>
      <c r="AC6" s="6" t="b">
        <f t="shared" si="1"/>
        <v>0</v>
      </c>
      <c r="AD6" s="6" t="b">
        <f t="shared" si="1"/>
        <v>0</v>
      </c>
      <c r="AE6" s="6" t="b">
        <f t="shared" si="1"/>
        <v>0</v>
      </c>
      <c r="AF6" s="6" t="b">
        <f t="shared" si="1"/>
        <v>0</v>
      </c>
      <c r="AG6" s="6" t="b">
        <f t="array" ref="AG6">ISBLANK(C6:Q6)</f>
        <v>0</v>
      </c>
      <c r="AH6" s="6" t="b">
        <f t="array" ref="AH6">ISBLANK(H6:Q6)</f>
        <v>1</v>
      </c>
      <c r="AI6" s="4" t="b">
        <f t="array" ref="AI6:AW6">ISBLANK(D6:Q6)</f>
        <v>0</v>
      </c>
      <c r="AJ6" s="4" t="b">
        <v>0</v>
      </c>
      <c r="AK6" s="4" t="b">
        <v>0</v>
      </c>
      <c r="AL6" s="4" t="b">
        <v>0</v>
      </c>
      <c r="AM6" s="4" t="b">
        <v>1</v>
      </c>
      <c r="AN6" s="4" t="b">
        <v>0</v>
      </c>
      <c r="AO6" s="4" t="b">
        <v>0</v>
      </c>
      <c r="AP6" s="4" t="b">
        <v>0</v>
      </c>
      <c r="AQ6" s="4" t="b">
        <v>0</v>
      </c>
      <c r="AR6" s="4" t="b">
        <v>0</v>
      </c>
      <c r="AS6" s="4" t="b">
        <v>0</v>
      </c>
      <c r="AT6" s="4" t="b">
        <v>0</v>
      </c>
      <c r="AU6" s="4" t="b">
        <v>0</v>
      </c>
      <c r="AV6" s="4" t="b">
        <v>0</v>
      </c>
      <c r="AW6" s="4" t="b">
        <v>0</v>
      </c>
    </row>
    <row r="7" spans="1:49" x14ac:dyDescent="0.15">
      <c r="A7" s="37" t="s">
        <v>36</v>
      </c>
      <c r="B7" s="36" t="s">
        <v>541</v>
      </c>
      <c r="C7" s="4">
        <v>0</v>
      </c>
      <c r="D7" s="4">
        <v>1</v>
      </c>
      <c r="E7" s="4">
        <v>2.2999999999999998</v>
      </c>
      <c r="F7" s="4">
        <v>10</v>
      </c>
      <c r="G7" s="4">
        <v>-1</v>
      </c>
      <c r="H7" s="6"/>
      <c r="I7" s="6" t="s">
        <v>32</v>
      </c>
      <c r="J7" s="6" t="b">
        <v>1</v>
      </c>
      <c r="K7" s="6" t="e">
        <v>#VALUE!</v>
      </c>
      <c r="L7" s="6" t="e">
        <v>#N/A</v>
      </c>
      <c r="M7" s="7" t="e">
        <v>#DIV/0!</v>
      </c>
      <c r="N7" s="7" t="e">
        <v>#NAME?</v>
      </c>
      <c r="O7" s="7" t="e">
        <v>#NULL!</v>
      </c>
      <c r="P7" s="7" t="e">
        <v>#NUM!</v>
      </c>
      <c r="Q7" s="7" t="e">
        <v>#REF!</v>
      </c>
      <c r="R7" s="6" t="b">
        <f t="shared" ref="R7:AF7" si="2">ISERR(C7)</f>
        <v>0</v>
      </c>
      <c r="S7" s="6" t="b">
        <f t="shared" si="2"/>
        <v>0</v>
      </c>
      <c r="T7" s="6" t="b">
        <f t="shared" si="2"/>
        <v>0</v>
      </c>
      <c r="U7" s="6" t="b">
        <f t="shared" si="2"/>
        <v>0</v>
      </c>
      <c r="V7" s="6" t="b">
        <f t="shared" si="2"/>
        <v>0</v>
      </c>
      <c r="W7" s="6" t="b">
        <f t="shared" si="2"/>
        <v>0</v>
      </c>
      <c r="X7" s="6" t="b">
        <f t="shared" si="2"/>
        <v>0</v>
      </c>
      <c r="Y7" s="6" t="b">
        <f t="shared" si="2"/>
        <v>0</v>
      </c>
      <c r="Z7" s="6" t="b">
        <f t="shared" si="2"/>
        <v>1</v>
      </c>
      <c r="AA7" s="6" t="b">
        <f t="shared" si="2"/>
        <v>0</v>
      </c>
      <c r="AB7" s="6" t="b">
        <f t="shared" si="2"/>
        <v>1</v>
      </c>
      <c r="AC7" s="6" t="b">
        <f t="shared" si="2"/>
        <v>1</v>
      </c>
      <c r="AD7" s="6" t="b">
        <f t="shared" si="2"/>
        <v>1</v>
      </c>
      <c r="AE7" s="6" t="b">
        <f t="shared" si="2"/>
        <v>1</v>
      </c>
      <c r="AF7" s="6" t="b">
        <f t="shared" si="2"/>
        <v>1</v>
      </c>
      <c r="AG7" s="6" t="b">
        <f t="array" ref="AG7">ISERR(C7:E7)</f>
        <v>0</v>
      </c>
      <c r="AH7" s="6" t="b">
        <f t="array" ref="AH7:AW7">ISERR(C7:Q7)</f>
        <v>0</v>
      </c>
      <c r="AI7" s="6" t="b">
        <v>0</v>
      </c>
      <c r="AJ7" s="6" t="b">
        <v>0</v>
      </c>
      <c r="AK7" s="6" t="b">
        <v>0</v>
      </c>
      <c r="AL7" s="6" t="b">
        <v>0</v>
      </c>
      <c r="AM7" s="6" t="b">
        <v>0</v>
      </c>
      <c r="AN7" s="6" t="b">
        <v>0</v>
      </c>
      <c r="AO7" s="6" t="b">
        <v>0</v>
      </c>
      <c r="AP7" s="6" t="b">
        <v>1</v>
      </c>
      <c r="AQ7" s="6" t="b">
        <v>0</v>
      </c>
      <c r="AR7" s="6" t="b">
        <v>1</v>
      </c>
      <c r="AS7" s="6" t="b">
        <v>1</v>
      </c>
      <c r="AT7" s="6" t="b">
        <v>1</v>
      </c>
      <c r="AU7" s="6" t="b">
        <v>1</v>
      </c>
      <c r="AV7" s="6" t="b">
        <v>1</v>
      </c>
      <c r="AW7" s="4" t="b">
        <v>0</v>
      </c>
    </row>
    <row r="8" spans="1:49" x14ac:dyDescent="0.15">
      <c r="A8" s="37" t="s">
        <v>37</v>
      </c>
      <c r="B8" s="36" t="s">
        <v>541</v>
      </c>
      <c r="C8" s="4">
        <v>0</v>
      </c>
      <c r="D8" s="4">
        <v>1</v>
      </c>
      <c r="E8" s="4">
        <v>2.2999999999999998</v>
      </c>
      <c r="F8" s="4">
        <v>10</v>
      </c>
      <c r="G8" s="4">
        <v>-1</v>
      </c>
      <c r="H8" s="6"/>
      <c r="I8" s="6" t="s">
        <v>32</v>
      </c>
      <c r="J8" s="6" t="b">
        <v>1</v>
      </c>
      <c r="K8" s="6" t="e">
        <v>#VALUE!</v>
      </c>
      <c r="L8" s="6" t="e">
        <v>#N/A</v>
      </c>
      <c r="M8" s="7" t="e">
        <v>#DIV/0!</v>
      </c>
      <c r="N8" s="7" t="e">
        <v>#NAME?</v>
      </c>
      <c r="O8" s="7" t="e">
        <v>#NULL!</v>
      </c>
      <c r="P8" s="7" t="e">
        <v>#NUM!</v>
      </c>
      <c r="Q8" s="7" t="e">
        <v>#REF!</v>
      </c>
      <c r="R8" s="6" t="b">
        <f t="shared" ref="R8:AF8" si="3">ISERROR(C8)</f>
        <v>0</v>
      </c>
      <c r="S8" s="6" t="b">
        <f t="shared" si="3"/>
        <v>0</v>
      </c>
      <c r="T8" s="6" t="b">
        <f t="shared" si="3"/>
        <v>0</v>
      </c>
      <c r="U8" s="6" t="b">
        <f t="shared" si="3"/>
        <v>0</v>
      </c>
      <c r="V8" s="6" t="b">
        <f t="shared" si="3"/>
        <v>0</v>
      </c>
      <c r="W8" s="6" t="b">
        <f t="shared" si="3"/>
        <v>0</v>
      </c>
      <c r="X8" s="6" t="b">
        <f t="shared" si="3"/>
        <v>0</v>
      </c>
      <c r="Y8" s="6" t="b">
        <f t="shared" si="3"/>
        <v>0</v>
      </c>
      <c r="Z8" s="6" t="b">
        <f t="shared" si="3"/>
        <v>1</v>
      </c>
      <c r="AA8" s="6" t="b">
        <f t="shared" si="3"/>
        <v>1</v>
      </c>
      <c r="AB8" s="6" t="b">
        <f t="shared" si="3"/>
        <v>1</v>
      </c>
      <c r="AC8" s="6" t="b">
        <f t="shared" si="3"/>
        <v>1</v>
      </c>
      <c r="AD8" s="6" t="b">
        <f t="shared" si="3"/>
        <v>1</v>
      </c>
      <c r="AE8" s="6" t="b">
        <f t="shared" si="3"/>
        <v>1</v>
      </c>
      <c r="AF8" s="6" t="b">
        <f t="shared" si="3"/>
        <v>1</v>
      </c>
      <c r="AG8" s="6" t="b">
        <f t="array" ref="AG8">ISERR(C8:E8)</f>
        <v>0</v>
      </c>
      <c r="AH8" s="6" t="b">
        <f t="array" ref="AH8:AW8">ISERROR(C8:Q8)</f>
        <v>0</v>
      </c>
      <c r="AI8" s="6" t="b">
        <v>0</v>
      </c>
      <c r="AJ8" s="6" t="b">
        <v>0</v>
      </c>
      <c r="AK8" s="6" t="b">
        <v>0</v>
      </c>
      <c r="AL8" s="6" t="b">
        <v>0</v>
      </c>
      <c r="AM8" s="6" t="b">
        <v>0</v>
      </c>
      <c r="AN8" s="6" t="b">
        <v>0</v>
      </c>
      <c r="AO8" s="6" t="b">
        <v>0</v>
      </c>
      <c r="AP8" s="6" t="b">
        <v>1</v>
      </c>
      <c r="AQ8" s="6" t="b">
        <v>1</v>
      </c>
      <c r="AR8" s="6" t="b">
        <v>1</v>
      </c>
      <c r="AS8" s="6" t="b">
        <v>1</v>
      </c>
      <c r="AT8" s="6" t="b">
        <v>1</v>
      </c>
      <c r="AU8" s="6" t="b">
        <v>1</v>
      </c>
      <c r="AV8" s="6" t="b">
        <v>1</v>
      </c>
      <c r="AW8" s="4" t="b">
        <v>1</v>
      </c>
    </row>
    <row r="9" spans="1:49" x14ac:dyDescent="0.15">
      <c r="A9" s="35" t="s">
        <v>212</v>
      </c>
      <c r="B9" s="36" t="s">
        <v>541</v>
      </c>
      <c r="C9" s="4">
        <v>0</v>
      </c>
      <c r="D9" s="4">
        <v>1</v>
      </c>
      <c r="E9" s="4">
        <v>2.2999999999999998</v>
      </c>
      <c r="F9" s="4">
        <v>10</v>
      </c>
      <c r="G9" s="4">
        <v>-1</v>
      </c>
      <c r="H9" s="6"/>
      <c r="I9" s="16" t="s">
        <v>489</v>
      </c>
      <c r="J9" s="6" t="b">
        <v>1</v>
      </c>
      <c r="K9" s="6" t="e">
        <v>#VALUE!</v>
      </c>
      <c r="L9" s="6" t="e">
        <v>#N/A</v>
      </c>
      <c r="M9" s="7" t="e">
        <v>#DIV/0!</v>
      </c>
      <c r="N9" s="7" t="e">
        <v>#NAME?</v>
      </c>
      <c r="O9" s="7" t="e">
        <v>#NULL!</v>
      </c>
      <c r="P9" s="7" t="e">
        <v>#NUM!</v>
      </c>
      <c r="Q9" s="7" t="e">
        <v>#REF!</v>
      </c>
      <c r="R9" s="6" t="b">
        <f>ISEVEN(C9)</f>
        <v>1</v>
      </c>
      <c r="S9" s="6" t="b">
        <f t="shared" ref="S9:AF9" si="4">ISEVEN(D9)</f>
        <v>0</v>
      </c>
      <c r="T9" s="6" t="b">
        <f>ISEVEN(E9)</f>
        <v>1</v>
      </c>
      <c r="U9" s="6" t="b">
        <f t="shared" si="4"/>
        <v>1</v>
      </c>
      <c r="V9" s="6" t="b">
        <f t="shared" si="4"/>
        <v>0</v>
      </c>
      <c r="W9" s="6" t="b">
        <f>ISEVEN(H9)</f>
        <v>1</v>
      </c>
      <c r="X9" s="6" t="b">
        <f>ISEVEN(I9)</f>
        <v>0</v>
      </c>
      <c r="Y9" s="6" t="e">
        <f t="shared" si="4"/>
        <v>#VALUE!</v>
      </c>
      <c r="Z9" s="6" t="e">
        <f t="shared" si="4"/>
        <v>#VALUE!</v>
      </c>
      <c r="AA9" s="6" t="e">
        <f t="shared" si="4"/>
        <v>#N/A</v>
      </c>
      <c r="AB9" s="6" t="e">
        <f>ISEVEN(M9)</f>
        <v>#DIV/0!</v>
      </c>
      <c r="AC9" s="6" t="e">
        <f t="shared" si="4"/>
        <v>#NAME?</v>
      </c>
      <c r="AD9" s="6" t="e">
        <f t="shared" si="4"/>
        <v>#NULL!</v>
      </c>
      <c r="AE9" s="6" t="e">
        <f t="shared" si="4"/>
        <v>#NUM!</v>
      </c>
      <c r="AF9" s="6" t="e">
        <f t="shared" si="4"/>
        <v>#REF!</v>
      </c>
      <c r="AG9" s="4" t="e">
        <f>ISEVEN(C9:Q9)</f>
        <v>#VALUE!</v>
      </c>
      <c r="AH9" s="4" t="e">
        <f t="array" ref="AH9:AJ9">ISEVEN(C9:J9)</f>
        <v>#VALUE!</v>
      </c>
      <c r="AI9" s="4" t="e">
        <v>#VALUE!</v>
      </c>
      <c r="AJ9" s="4" t="e">
        <v>#VALUE!</v>
      </c>
      <c r="AK9" s="4" t="e">
        <f t="array" ref="AK9:AN9">ISEVEN(C9:G9)</f>
        <v>#VALUE!</v>
      </c>
      <c r="AL9" s="4" t="e">
        <v>#VALUE!</v>
      </c>
      <c r="AM9" s="4" t="e">
        <v>#VALUE!</v>
      </c>
      <c r="AN9" s="4" t="e">
        <v>#VALUE!</v>
      </c>
      <c r="AO9" s="4" t="e">
        <f t="array" ref="AO9:AW9">ISEVEN(M9:Q9)</f>
        <v>#VALUE!</v>
      </c>
      <c r="AP9" s="4" t="e">
        <v>#VALUE!</v>
      </c>
      <c r="AQ9" s="4" t="e">
        <v>#VALUE!</v>
      </c>
      <c r="AR9" s="4" t="e">
        <v>#VALUE!</v>
      </c>
      <c r="AS9" s="4" t="e">
        <v>#VALUE!</v>
      </c>
      <c r="AT9" s="4" t="e">
        <v>#VALUE!</v>
      </c>
      <c r="AU9" s="4" t="e">
        <v>#VALUE!</v>
      </c>
      <c r="AV9" s="4" t="e">
        <v>#VALUE!</v>
      </c>
      <c r="AW9" s="4" t="e">
        <v>#VALUE!</v>
      </c>
    </row>
    <row r="10" spans="1:49" x14ac:dyDescent="0.15">
      <c r="A10" s="35" t="s">
        <v>213</v>
      </c>
      <c r="B10" s="36" t="s">
        <v>541</v>
      </c>
      <c r="C10" s="4">
        <v>0</v>
      </c>
      <c r="D10" s="4">
        <v>1</v>
      </c>
      <c r="E10" s="4">
        <v>2.2999999999999998</v>
      </c>
      <c r="F10" s="4">
        <f>10</f>
        <v>10</v>
      </c>
      <c r="G10" s="4">
        <v>-1</v>
      </c>
      <c r="H10" s="6"/>
      <c r="I10" s="16" t="s">
        <v>489</v>
      </c>
      <c r="J10" s="6" t="b">
        <v>1</v>
      </c>
      <c r="K10" s="6" t="e">
        <f>#VALUE!</f>
        <v>#VALUE!</v>
      </c>
      <c r="L10" s="6" t="e">
        <v>#N/A</v>
      </c>
      <c r="M10" s="7" t="e">
        <v>#DIV/0!</v>
      </c>
      <c r="N10" s="7" t="e">
        <v>#NAME?</v>
      </c>
      <c r="O10" s="7" t="e">
        <v>#NULL!</v>
      </c>
      <c r="P10" s="7" t="e">
        <v>#NUM!</v>
      </c>
      <c r="Q10" s="7" t="e">
        <v>#REF!</v>
      </c>
      <c r="R10" s="6" t="b">
        <f>_xlfn.ISFORMULA(C10)</f>
        <v>0</v>
      </c>
      <c r="S10" s="6" t="b">
        <f>_xlfn.ISFORMULA(D10)</f>
        <v>0</v>
      </c>
      <c r="T10" s="6" t="b">
        <f t="shared" ref="T10:AF10" si="5">_xlfn.ISFORMULA(E10)</f>
        <v>0</v>
      </c>
      <c r="U10" s="6" t="b">
        <f t="shared" si="5"/>
        <v>1</v>
      </c>
      <c r="V10" s="6" t="b">
        <f t="shared" si="5"/>
        <v>0</v>
      </c>
      <c r="W10" s="6" t="b">
        <f t="shared" si="5"/>
        <v>0</v>
      </c>
      <c r="X10" s="6" t="b">
        <f t="shared" si="5"/>
        <v>0</v>
      </c>
      <c r="Y10" s="6" t="b">
        <f t="shared" si="5"/>
        <v>0</v>
      </c>
      <c r="Z10" s="6" t="b">
        <f>_xlfn.ISFORMULA(K10)</f>
        <v>1</v>
      </c>
      <c r="AA10" s="6" t="b">
        <f>_xlfn.ISFORMULA(L10)</f>
        <v>0</v>
      </c>
      <c r="AB10" s="6" t="b">
        <f t="shared" si="5"/>
        <v>0</v>
      </c>
      <c r="AC10" s="6" t="b">
        <f t="shared" si="5"/>
        <v>0</v>
      </c>
      <c r="AD10" s="6" t="b">
        <f t="shared" si="5"/>
        <v>0</v>
      </c>
      <c r="AE10" s="6" t="b">
        <f t="shared" si="5"/>
        <v>0</v>
      </c>
      <c r="AF10" s="6" t="b">
        <f t="shared" si="5"/>
        <v>0</v>
      </c>
      <c r="AG10" s="4" t="b">
        <f t="array" ref="AG10">_xlfn.ISFORMULA(C10:Q10)</f>
        <v>0</v>
      </c>
      <c r="AH10" s="4" t="b">
        <f t="array" ref="AH10:AW10">_xlfn.ISFORMULA(C10:J10)</f>
        <v>0</v>
      </c>
      <c r="AI10" s="4" t="b">
        <v>0</v>
      </c>
      <c r="AJ10" s="4" t="b">
        <v>0</v>
      </c>
      <c r="AK10" s="4" t="b">
        <v>1</v>
      </c>
      <c r="AL10" s="4" t="b">
        <v>0</v>
      </c>
      <c r="AM10" s="4" t="b">
        <v>0</v>
      </c>
      <c r="AN10" s="4" t="b">
        <v>0</v>
      </c>
      <c r="AO10" s="4" t="b">
        <v>0</v>
      </c>
      <c r="AP10" s="4" t="e">
        <v>#N/A</v>
      </c>
      <c r="AQ10" s="4" t="e">
        <v>#N/A</v>
      </c>
      <c r="AR10" s="4" t="e">
        <v>#N/A</v>
      </c>
      <c r="AS10" s="4" t="e">
        <v>#N/A</v>
      </c>
      <c r="AT10" s="4" t="e">
        <v>#N/A</v>
      </c>
      <c r="AU10" s="4" t="e">
        <v>#N/A</v>
      </c>
      <c r="AV10" s="4" t="e">
        <v>#N/A</v>
      </c>
      <c r="AW10" s="4" t="e">
        <v>#N/A</v>
      </c>
    </row>
    <row r="11" spans="1:49" x14ac:dyDescent="0.15">
      <c r="A11" s="35" t="s">
        <v>214</v>
      </c>
      <c r="B11" s="36" t="s">
        <v>541</v>
      </c>
      <c r="C11" s="4">
        <v>0</v>
      </c>
      <c r="D11" s="4">
        <v>1</v>
      </c>
      <c r="E11" s="4">
        <v>2.2999999999999998</v>
      </c>
      <c r="F11" s="4">
        <v>10</v>
      </c>
      <c r="G11" s="4">
        <v>-1</v>
      </c>
      <c r="H11" s="6"/>
      <c r="I11" s="16" t="s">
        <v>489</v>
      </c>
      <c r="J11" s="6" t="b">
        <v>1</v>
      </c>
      <c r="K11" s="6" t="e">
        <v>#VALUE!</v>
      </c>
      <c r="L11" s="6" t="e">
        <v>#N/A</v>
      </c>
      <c r="M11" s="7" t="e">
        <v>#DIV/0!</v>
      </c>
      <c r="N11" s="7" t="e">
        <v>#NAME?</v>
      </c>
      <c r="O11" s="7" t="e">
        <v>#NULL!</v>
      </c>
      <c r="P11" s="7" t="e">
        <v>#NUM!</v>
      </c>
      <c r="Q11" s="7" t="e">
        <v>#REF!</v>
      </c>
      <c r="R11" s="6" t="b">
        <f>ISLOGICAL(C11)</f>
        <v>0</v>
      </c>
      <c r="S11" s="6" t="b">
        <f t="shared" ref="S11:AF11" si="6">ISLOGICAL(D11)</f>
        <v>0</v>
      </c>
      <c r="T11" s="6" t="b">
        <f t="shared" si="6"/>
        <v>0</v>
      </c>
      <c r="U11" s="6" t="b">
        <f t="shared" si="6"/>
        <v>0</v>
      </c>
      <c r="V11" s="6" t="b">
        <f t="shared" si="6"/>
        <v>0</v>
      </c>
      <c r="W11" s="6" t="b">
        <f t="shared" si="6"/>
        <v>0</v>
      </c>
      <c r="X11" s="6" t="b">
        <f t="shared" si="6"/>
        <v>0</v>
      </c>
      <c r="Y11" s="6" t="b">
        <f t="shared" si="6"/>
        <v>1</v>
      </c>
      <c r="Z11" s="6" t="b">
        <f t="shared" si="6"/>
        <v>0</v>
      </c>
      <c r="AA11" s="6" t="b">
        <f t="shared" si="6"/>
        <v>0</v>
      </c>
      <c r="AB11" s="6" t="b">
        <f t="shared" si="6"/>
        <v>0</v>
      </c>
      <c r="AC11" s="6" t="b">
        <f t="shared" si="6"/>
        <v>0</v>
      </c>
      <c r="AD11" s="6" t="b">
        <f t="shared" si="6"/>
        <v>0</v>
      </c>
      <c r="AE11" s="6" t="b">
        <f t="shared" si="6"/>
        <v>0</v>
      </c>
      <c r="AF11" s="6" t="b">
        <f t="shared" si="6"/>
        <v>0</v>
      </c>
      <c r="AG11" s="4" t="b">
        <f t="array" ref="AG11">ISLOGICAL(J11:Q11)</f>
        <v>1</v>
      </c>
      <c r="AH11" s="4" t="b">
        <f t="array" ref="AH11:AJ11">ISLOGICAL(C11:Q11)</f>
        <v>0</v>
      </c>
      <c r="AI11" s="4" t="b">
        <v>0</v>
      </c>
      <c r="AJ11" s="4" t="b">
        <v>0</v>
      </c>
      <c r="AK11" s="4" t="b">
        <f t="array" ref="AK11:AN11">ISLOGICAL(H11:L11)</f>
        <v>0</v>
      </c>
      <c r="AL11" s="4" t="b">
        <v>0</v>
      </c>
      <c r="AM11" s="4" t="b">
        <v>1</v>
      </c>
      <c r="AN11" s="4" t="b">
        <v>0</v>
      </c>
      <c r="AO11" s="4" t="b">
        <f t="array" ref="AO11:AW11">ISLOGICAL(M11:Q11)</f>
        <v>0</v>
      </c>
      <c r="AP11" s="4" t="b">
        <v>0</v>
      </c>
      <c r="AQ11" s="4" t="b">
        <v>0</v>
      </c>
      <c r="AR11" s="4" t="b">
        <v>0</v>
      </c>
      <c r="AS11" s="4" t="b">
        <v>0</v>
      </c>
      <c r="AT11" s="4" t="b">
        <v>0</v>
      </c>
      <c r="AU11" s="4" t="b">
        <v>0</v>
      </c>
      <c r="AV11" s="4" t="b">
        <v>0</v>
      </c>
      <c r="AW11" s="4" t="b">
        <v>0</v>
      </c>
    </row>
    <row r="12" spans="1:49" x14ac:dyDescent="0.15">
      <c r="A12" s="35" t="s">
        <v>215</v>
      </c>
      <c r="B12" s="36" t="s">
        <v>541</v>
      </c>
      <c r="C12" s="4">
        <v>0</v>
      </c>
      <c r="D12" s="4">
        <v>1</v>
      </c>
      <c r="E12" s="4">
        <v>2.2999999999999998</v>
      </c>
      <c r="F12" s="4">
        <v>10</v>
      </c>
      <c r="G12" s="4">
        <v>-1</v>
      </c>
      <c r="H12" s="6"/>
      <c r="I12" s="6" t="s">
        <v>32</v>
      </c>
      <c r="J12" s="6" t="b">
        <v>1</v>
      </c>
      <c r="K12" s="6" t="e">
        <v>#VALUE!</v>
      </c>
      <c r="L12" s="6" t="e">
        <v>#N/A</v>
      </c>
      <c r="M12" s="7" t="e">
        <v>#DIV/0!</v>
      </c>
      <c r="N12" s="7" t="e">
        <v>#NAME?</v>
      </c>
      <c r="O12" s="7" t="e">
        <v>#NULL!</v>
      </c>
      <c r="P12" s="7" t="e">
        <v>#NUM!</v>
      </c>
      <c r="Q12" s="7" t="e">
        <v>#REF!</v>
      </c>
      <c r="R12" s="6" t="b">
        <f>ISNA(C12)</f>
        <v>0</v>
      </c>
      <c r="S12" s="6" t="b">
        <f t="shared" ref="S12:AF12" si="7">ISNA(D12)</f>
        <v>0</v>
      </c>
      <c r="T12" s="6" t="b">
        <f t="shared" si="7"/>
        <v>0</v>
      </c>
      <c r="U12" s="6" t="b">
        <f t="shared" si="7"/>
        <v>0</v>
      </c>
      <c r="V12" s="6" t="b">
        <f t="shared" si="7"/>
        <v>0</v>
      </c>
      <c r="W12" s="6" t="b">
        <f t="shared" si="7"/>
        <v>0</v>
      </c>
      <c r="X12" s="6" t="b">
        <f t="shared" si="7"/>
        <v>0</v>
      </c>
      <c r="Y12" s="6" t="b">
        <f t="shared" si="7"/>
        <v>0</v>
      </c>
      <c r="Z12" s="6" t="b">
        <f t="shared" si="7"/>
        <v>0</v>
      </c>
      <c r="AA12" s="6" t="b">
        <f t="shared" si="7"/>
        <v>1</v>
      </c>
      <c r="AB12" s="6" t="b">
        <f t="shared" si="7"/>
        <v>0</v>
      </c>
      <c r="AC12" s="6" t="b">
        <f t="shared" si="7"/>
        <v>0</v>
      </c>
      <c r="AD12" s="6" t="b">
        <f t="shared" si="7"/>
        <v>0</v>
      </c>
      <c r="AE12" s="6" t="b">
        <f t="shared" si="7"/>
        <v>0</v>
      </c>
      <c r="AF12" s="6" t="b">
        <f t="shared" si="7"/>
        <v>0</v>
      </c>
      <c r="AG12" s="6" t="b">
        <f t="array" ref="AG12">ISNA(C12:E12)</f>
        <v>0</v>
      </c>
      <c r="AH12" s="6" t="b">
        <f t="array" ref="AH12:AW12">ISNA(C12:Q12)</f>
        <v>0</v>
      </c>
      <c r="AI12" s="6" t="b">
        <v>0</v>
      </c>
      <c r="AJ12" s="6" t="b">
        <v>0</v>
      </c>
      <c r="AK12" s="6" t="b">
        <v>0</v>
      </c>
      <c r="AL12" s="6" t="b">
        <v>0</v>
      </c>
      <c r="AM12" s="6" t="b">
        <v>0</v>
      </c>
      <c r="AN12" s="6" t="b">
        <v>0</v>
      </c>
      <c r="AO12" s="6" t="b">
        <v>0</v>
      </c>
      <c r="AP12" s="6" t="b">
        <v>0</v>
      </c>
      <c r="AQ12" s="6" t="b">
        <v>1</v>
      </c>
      <c r="AR12" s="6" t="b">
        <v>0</v>
      </c>
      <c r="AS12" s="6" t="b">
        <v>0</v>
      </c>
      <c r="AT12" s="6" t="b">
        <v>0</v>
      </c>
      <c r="AU12" s="6" t="b">
        <v>0</v>
      </c>
      <c r="AV12" s="6" t="b">
        <v>0</v>
      </c>
      <c r="AW12" s="4" t="b">
        <v>1</v>
      </c>
    </row>
    <row r="13" spans="1:49" x14ac:dyDescent="0.15">
      <c r="A13" s="35" t="s">
        <v>216</v>
      </c>
      <c r="B13" s="36" t="s">
        <v>541</v>
      </c>
      <c r="C13" s="4">
        <v>0</v>
      </c>
      <c r="D13" s="4">
        <v>1</v>
      </c>
      <c r="E13" s="4">
        <v>2.2999999999999998</v>
      </c>
      <c r="F13" s="4">
        <v>10</v>
      </c>
      <c r="G13" s="4">
        <v>-1</v>
      </c>
      <c r="H13" s="6"/>
      <c r="I13" s="16" t="s">
        <v>489</v>
      </c>
      <c r="J13" s="6" t="b">
        <v>1</v>
      </c>
      <c r="K13" s="6" t="e">
        <v>#VALUE!</v>
      </c>
      <c r="L13" s="6" t="e">
        <v>#N/A</v>
      </c>
      <c r="M13" s="7" t="e">
        <v>#DIV/0!</v>
      </c>
      <c r="N13" s="7" t="e">
        <v>#NAME?</v>
      </c>
      <c r="O13" s="7" t="e">
        <v>#NULL!</v>
      </c>
      <c r="P13" s="7" t="e">
        <v>#NUM!</v>
      </c>
      <c r="Q13" s="7" t="e">
        <v>#REF!</v>
      </c>
      <c r="R13" s="6" t="b">
        <f>ISNONTEXT(C13)</f>
        <v>1</v>
      </c>
      <c r="S13" s="6" t="b">
        <f t="shared" ref="S13:AF13" si="8">ISNONTEXT(D13)</f>
        <v>1</v>
      </c>
      <c r="T13" s="6" t="b">
        <f t="shared" si="8"/>
        <v>1</v>
      </c>
      <c r="U13" s="6" t="b">
        <f t="shared" si="8"/>
        <v>1</v>
      </c>
      <c r="V13" s="6" t="b">
        <f t="shared" si="8"/>
        <v>1</v>
      </c>
      <c r="W13" s="6" t="b">
        <f t="shared" si="8"/>
        <v>1</v>
      </c>
      <c r="X13" s="6" t="b">
        <f t="shared" si="8"/>
        <v>0</v>
      </c>
      <c r="Y13" s="6" t="b">
        <f t="shared" si="8"/>
        <v>1</v>
      </c>
      <c r="Z13" s="6" t="b">
        <f t="shared" si="8"/>
        <v>1</v>
      </c>
      <c r="AA13" s="6" t="b">
        <f t="shared" si="8"/>
        <v>1</v>
      </c>
      <c r="AB13" s="6" t="b">
        <f t="shared" si="8"/>
        <v>1</v>
      </c>
      <c r="AC13" s="6" t="b">
        <f t="shared" si="8"/>
        <v>1</v>
      </c>
      <c r="AD13" s="6" t="b">
        <f t="shared" si="8"/>
        <v>1</v>
      </c>
      <c r="AE13" s="6" t="b">
        <f t="shared" si="8"/>
        <v>1</v>
      </c>
      <c r="AF13" s="6" t="b">
        <f t="shared" si="8"/>
        <v>1</v>
      </c>
      <c r="AG13" s="4" t="b">
        <f t="array" ref="AG13">ISNONTEXT(I13:Q13)</f>
        <v>0</v>
      </c>
      <c r="AH13" s="4" t="b">
        <f t="array" ref="AH13:AJ13">ISNONTEXT(C13:Q13)</f>
        <v>1</v>
      </c>
      <c r="AI13" s="4" t="b">
        <v>1</v>
      </c>
      <c r="AJ13" s="4" t="b">
        <v>1</v>
      </c>
      <c r="AK13" s="4" t="b">
        <f t="array" ref="AK13:AN13">ISNONTEXT(F13:J13)</f>
        <v>1</v>
      </c>
      <c r="AL13" s="4" t="b">
        <v>1</v>
      </c>
      <c r="AM13" s="4" t="b">
        <v>1</v>
      </c>
      <c r="AN13" s="4" t="b">
        <v>0</v>
      </c>
      <c r="AO13" s="4" t="b">
        <f t="array" ref="AO13:AW13">ISNONTEXT(M13:Q13)</f>
        <v>1</v>
      </c>
      <c r="AP13" s="4" t="b">
        <v>1</v>
      </c>
      <c r="AQ13" s="4" t="b">
        <v>1</v>
      </c>
      <c r="AR13" s="4" t="b">
        <v>1</v>
      </c>
      <c r="AS13" s="4" t="b">
        <v>1</v>
      </c>
      <c r="AT13" s="4" t="b">
        <v>1</v>
      </c>
      <c r="AU13" s="4" t="b">
        <v>1</v>
      </c>
      <c r="AV13" s="4" t="b">
        <v>1</v>
      </c>
      <c r="AW13" s="4" t="b">
        <v>1</v>
      </c>
    </row>
    <row r="14" spans="1:49" x14ac:dyDescent="0.15">
      <c r="A14" s="35" t="s">
        <v>217</v>
      </c>
      <c r="B14" s="36" t="s">
        <v>541</v>
      </c>
      <c r="C14" s="4">
        <v>0</v>
      </c>
      <c r="D14" s="4">
        <v>1</v>
      </c>
      <c r="E14" s="4">
        <v>2.2999999999999998</v>
      </c>
      <c r="F14" s="4">
        <v>10</v>
      </c>
      <c r="G14" s="4">
        <v>-1</v>
      </c>
      <c r="H14" s="6"/>
      <c r="I14" s="6" t="s">
        <v>32</v>
      </c>
      <c r="J14" s="6" t="b">
        <v>1</v>
      </c>
      <c r="K14" s="6" t="e">
        <v>#VALUE!</v>
      </c>
      <c r="L14" s="6" t="e">
        <v>#N/A</v>
      </c>
      <c r="M14" s="7" t="e">
        <v>#DIV/0!</v>
      </c>
      <c r="N14" s="7" t="e">
        <v>#NAME?</v>
      </c>
      <c r="O14" s="7" t="e">
        <v>#NULL!</v>
      </c>
      <c r="P14" s="7" t="e">
        <v>#NUM!</v>
      </c>
      <c r="Q14" s="7" t="e">
        <v>#REF!</v>
      </c>
      <c r="R14" s="4" t="b">
        <f>ISNUMBER(C14)</f>
        <v>1</v>
      </c>
      <c r="S14" s="4" t="b">
        <f t="shared" ref="S14:AF14" si="9">ISNUMBER(D14)</f>
        <v>1</v>
      </c>
      <c r="T14" s="4" t="b">
        <f t="shared" si="9"/>
        <v>1</v>
      </c>
      <c r="U14" s="4" t="b">
        <f t="shared" si="9"/>
        <v>1</v>
      </c>
      <c r="V14" s="4" t="b">
        <f t="shared" si="9"/>
        <v>1</v>
      </c>
      <c r="W14" s="4" t="b">
        <f t="shared" si="9"/>
        <v>0</v>
      </c>
      <c r="X14" s="4" t="b">
        <f t="shared" si="9"/>
        <v>0</v>
      </c>
      <c r="Y14" s="4" t="b">
        <f t="shared" si="9"/>
        <v>0</v>
      </c>
      <c r="Z14" s="4" t="b">
        <f t="shared" si="9"/>
        <v>0</v>
      </c>
      <c r="AA14" s="4" t="b">
        <f t="shared" si="9"/>
        <v>0</v>
      </c>
      <c r="AB14" s="4" t="b">
        <f t="shared" si="9"/>
        <v>0</v>
      </c>
      <c r="AC14" s="4" t="b">
        <f t="shared" si="9"/>
        <v>0</v>
      </c>
      <c r="AD14" s="4" t="b">
        <f t="shared" si="9"/>
        <v>0</v>
      </c>
      <c r="AE14" s="4" t="b">
        <f t="shared" si="9"/>
        <v>0</v>
      </c>
      <c r="AF14" s="4" t="b">
        <f t="shared" si="9"/>
        <v>0</v>
      </c>
      <c r="AG14" s="4" t="b">
        <f t="array" ref="AG14">ISNUMBER(C14:Q14)</f>
        <v>1</v>
      </c>
      <c r="AH14" s="4" t="b">
        <f t="array" ref="AH14:AW14">ISNUMBER(C14:P14)</f>
        <v>1</v>
      </c>
      <c r="AI14" s="4" t="b">
        <v>1</v>
      </c>
      <c r="AJ14" s="4" t="b">
        <v>1</v>
      </c>
      <c r="AK14" s="4" t="b">
        <v>1</v>
      </c>
      <c r="AL14" s="4" t="b">
        <v>1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  <c r="AR14" s="4" t="b">
        <v>0</v>
      </c>
      <c r="AS14" s="4" t="b">
        <v>0</v>
      </c>
      <c r="AT14" s="4" t="b">
        <v>0</v>
      </c>
      <c r="AU14" s="4" t="b">
        <v>0</v>
      </c>
      <c r="AV14" s="4" t="b">
        <v>0</v>
      </c>
      <c r="AW14" s="4" t="b">
        <v>0</v>
      </c>
    </row>
    <row r="15" spans="1:49" x14ac:dyDescent="0.15">
      <c r="A15" s="35" t="s">
        <v>218</v>
      </c>
      <c r="B15" s="36" t="s">
        <v>541</v>
      </c>
      <c r="C15" s="4">
        <v>0</v>
      </c>
      <c r="D15" s="4">
        <v>1</v>
      </c>
      <c r="E15" s="4">
        <v>2.2999999999999998</v>
      </c>
      <c r="F15" s="4">
        <v>10</v>
      </c>
      <c r="G15" s="4">
        <v>-1</v>
      </c>
      <c r="H15" s="6"/>
      <c r="I15" s="16" t="s">
        <v>489</v>
      </c>
      <c r="J15" s="6" t="b">
        <v>1</v>
      </c>
      <c r="K15" s="6" t="e">
        <v>#VALUE!</v>
      </c>
      <c r="L15" s="6" t="e">
        <v>#N/A</v>
      </c>
      <c r="M15" s="7" t="e">
        <v>#DIV/0!</v>
      </c>
      <c r="N15" s="7" t="e">
        <v>#NAME?</v>
      </c>
      <c r="O15" s="7" t="e">
        <v>#NULL!</v>
      </c>
      <c r="P15" s="7" t="e">
        <v>#NUM!</v>
      </c>
      <c r="Q15" s="7" t="e">
        <v>#REF!</v>
      </c>
      <c r="R15" s="6" t="b">
        <f>ISODD(C15)</f>
        <v>0</v>
      </c>
      <c r="S15" s="6" t="b">
        <f t="shared" ref="S15:AF15" si="10">ISODD(D15)</f>
        <v>1</v>
      </c>
      <c r="T15" s="6" t="b">
        <f>ISODD(E15)</f>
        <v>0</v>
      </c>
      <c r="U15" s="6" t="b">
        <f t="shared" si="10"/>
        <v>0</v>
      </c>
      <c r="V15" s="6" t="b">
        <f t="shared" si="10"/>
        <v>1</v>
      </c>
      <c r="W15" s="6" t="b">
        <f t="shared" si="10"/>
        <v>0</v>
      </c>
      <c r="X15" s="6" t="b">
        <f t="shared" si="10"/>
        <v>1</v>
      </c>
      <c r="Y15" s="6" t="e">
        <f t="shared" si="10"/>
        <v>#VALUE!</v>
      </c>
      <c r="Z15" s="6" t="e">
        <f t="shared" si="10"/>
        <v>#VALUE!</v>
      </c>
      <c r="AA15" s="6" t="e">
        <f t="shared" si="10"/>
        <v>#N/A</v>
      </c>
      <c r="AB15" s="6" t="e">
        <f t="shared" si="10"/>
        <v>#DIV/0!</v>
      </c>
      <c r="AC15" s="6" t="e">
        <f t="shared" si="10"/>
        <v>#NAME?</v>
      </c>
      <c r="AD15" s="6" t="e">
        <f t="shared" si="10"/>
        <v>#NULL!</v>
      </c>
      <c r="AE15" s="6" t="e">
        <f t="shared" si="10"/>
        <v>#NUM!</v>
      </c>
      <c r="AF15" s="6" t="e">
        <f t="shared" si="10"/>
        <v>#REF!</v>
      </c>
      <c r="AG15" s="4" t="e">
        <f>ISODD(C15:Q15)</f>
        <v>#VALUE!</v>
      </c>
      <c r="AH15" s="4" t="e">
        <f t="array" ref="AH15:AJ15">ISODD(C15:Q15)</f>
        <v>#VALUE!</v>
      </c>
      <c r="AI15" s="4" t="e">
        <v>#VALUE!</v>
      </c>
      <c r="AJ15" s="4" t="e">
        <v>#VALUE!</v>
      </c>
      <c r="AK15" s="4" t="e">
        <f t="array" ref="AK15:AN15">ISODD(C15:G15)</f>
        <v>#VALUE!</v>
      </c>
      <c r="AL15" s="4" t="e">
        <v>#VALUE!</v>
      </c>
      <c r="AM15" s="4" t="e">
        <v>#VALUE!</v>
      </c>
      <c r="AN15" s="4" t="e">
        <v>#VALUE!</v>
      </c>
      <c r="AO15" s="4" t="e">
        <f t="array" ref="AO15:AW15">ISODD(M15:Q15)</f>
        <v>#VALUE!</v>
      </c>
      <c r="AP15" s="4" t="e">
        <v>#VALUE!</v>
      </c>
      <c r="AQ15" s="4" t="e">
        <v>#VALUE!</v>
      </c>
      <c r="AR15" s="4" t="e">
        <v>#VALUE!</v>
      </c>
      <c r="AS15" s="4" t="e">
        <v>#VALUE!</v>
      </c>
      <c r="AT15" s="4" t="e">
        <v>#VALUE!</v>
      </c>
      <c r="AU15" s="4" t="e">
        <v>#VALUE!</v>
      </c>
      <c r="AV15" s="4" t="e">
        <v>#VALUE!</v>
      </c>
      <c r="AW15" s="4" t="e">
        <v>#VALUE!</v>
      </c>
    </row>
    <row r="16" spans="1:49" x14ac:dyDescent="0.15">
      <c r="A16" s="40" t="s">
        <v>522</v>
      </c>
      <c r="H16" s="6"/>
      <c r="I16" s="16"/>
      <c r="J16" s="6"/>
      <c r="K16" s="6"/>
      <c r="L16" s="6"/>
      <c r="M16" s="7"/>
      <c r="N16" s="7"/>
      <c r="O16" s="7"/>
      <c r="P16" s="7"/>
      <c r="Q16" s="7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49" x14ac:dyDescent="0.15">
      <c r="A17" s="35" t="s">
        <v>219</v>
      </c>
      <c r="B17" s="36" t="s">
        <v>541</v>
      </c>
      <c r="C17" s="4">
        <v>0</v>
      </c>
      <c r="D17" s="4">
        <v>1</v>
      </c>
      <c r="E17" s="4">
        <v>2.2999999999999998</v>
      </c>
      <c r="F17" s="4">
        <v>10</v>
      </c>
      <c r="G17" s="4">
        <v>-1</v>
      </c>
      <c r="H17" s="6"/>
      <c r="I17" s="6" t="s">
        <v>32</v>
      </c>
      <c r="J17" s="6" t="b">
        <v>1</v>
      </c>
      <c r="K17" s="6" t="e">
        <v>#VALUE!</v>
      </c>
      <c r="L17" s="6" t="e">
        <v>#N/A</v>
      </c>
      <c r="M17" s="7" t="e">
        <v>#DIV/0!</v>
      </c>
      <c r="N17" s="7" t="e">
        <v>#NAME?</v>
      </c>
      <c r="O17" s="7" t="e">
        <v>#NULL!</v>
      </c>
      <c r="P17" s="7" t="e">
        <v>#NUM!</v>
      </c>
      <c r="Q17" s="7" t="e">
        <v>#REF!</v>
      </c>
      <c r="R17" s="6" t="b">
        <f>ISREF(0)</f>
        <v>0</v>
      </c>
      <c r="S17" s="6" t="b">
        <f t="shared" ref="S17:AF17" si="11">ISREF(D17)</f>
        <v>1</v>
      </c>
      <c r="T17" s="6" t="b">
        <f t="shared" si="11"/>
        <v>1</v>
      </c>
      <c r="U17" s="6" t="b">
        <f t="shared" si="11"/>
        <v>1</v>
      </c>
      <c r="V17" s="6" t="b">
        <f>ISREF(G17)</f>
        <v>1</v>
      </c>
      <c r="W17" s="6" t="b">
        <f>ISREF("")</f>
        <v>0</v>
      </c>
      <c r="X17" s="6" t="b">
        <f>ISREF(I17)</f>
        <v>1</v>
      </c>
      <c r="Y17" s="6" t="b">
        <f t="shared" si="11"/>
        <v>1</v>
      </c>
      <c r="Z17" s="6" t="b">
        <f t="shared" si="11"/>
        <v>1</v>
      </c>
      <c r="AA17" s="6" t="b">
        <f t="shared" si="11"/>
        <v>1</v>
      </c>
      <c r="AB17" s="6" t="b">
        <f t="shared" si="11"/>
        <v>1</v>
      </c>
      <c r="AC17" s="6" t="b">
        <f t="shared" si="11"/>
        <v>1</v>
      </c>
      <c r="AD17" s="6" t="b">
        <f t="shared" si="11"/>
        <v>1</v>
      </c>
      <c r="AE17" s="6" t="b">
        <f t="shared" si="11"/>
        <v>1</v>
      </c>
      <c r="AF17" s="6" t="b">
        <f t="shared" si="11"/>
        <v>1</v>
      </c>
      <c r="AG17" s="6" t="b">
        <f t="array" ref="AG17">ISREF(C17:E17)</f>
        <v>1</v>
      </c>
      <c r="AH17" s="6" t="b">
        <f t="array" ref="AH17:AW17">ISREF(C17:Q17)</f>
        <v>1</v>
      </c>
      <c r="AI17" s="6" t="b">
        <v>1</v>
      </c>
      <c r="AJ17" s="6" t="b">
        <v>1</v>
      </c>
      <c r="AK17" s="6" t="b">
        <v>1</v>
      </c>
      <c r="AL17" s="6" t="b">
        <v>1</v>
      </c>
      <c r="AM17" s="6" t="b">
        <v>1</v>
      </c>
      <c r="AN17" s="6" t="b">
        <v>1</v>
      </c>
      <c r="AO17" s="6" t="b">
        <v>1</v>
      </c>
      <c r="AP17" s="6" t="b">
        <v>1</v>
      </c>
      <c r="AQ17" s="6" t="b">
        <v>1</v>
      </c>
      <c r="AR17" s="6" t="b">
        <v>1</v>
      </c>
      <c r="AS17" s="6" t="b">
        <v>1</v>
      </c>
      <c r="AT17" s="6" t="b">
        <v>1</v>
      </c>
      <c r="AU17" s="6" t="b">
        <v>1</v>
      </c>
      <c r="AV17" s="6" t="b">
        <v>1</v>
      </c>
      <c r="AW17" s="4" t="b">
        <v>1</v>
      </c>
    </row>
    <row r="18" spans="1:49" x14ac:dyDescent="0.15">
      <c r="A18" s="35" t="s">
        <v>220</v>
      </c>
      <c r="B18" s="36" t="s">
        <v>541</v>
      </c>
      <c r="C18" s="4">
        <v>0</v>
      </c>
      <c r="D18" s="4">
        <v>1</v>
      </c>
      <c r="E18" s="4">
        <v>2.2999999999999998</v>
      </c>
      <c r="F18" s="4">
        <v>10</v>
      </c>
      <c r="G18" s="4">
        <v>-1</v>
      </c>
      <c r="H18" s="6"/>
      <c r="I18" s="16" t="s">
        <v>489</v>
      </c>
      <c r="J18" s="6" t="b">
        <v>1</v>
      </c>
      <c r="K18" s="6" t="e">
        <v>#VALUE!</v>
      </c>
      <c r="L18" s="6" t="e">
        <v>#N/A</v>
      </c>
      <c r="M18" s="7" t="e">
        <v>#DIV/0!</v>
      </c>
      <c r="N18" s="7" t="e">
        <v>#NAME?</v>
      </c>
      <c r="O18" s="7" t="e">
        <v>#NULL!</v>
      </c>
      <c r="P18" s="7" t="e">
        <v>#NUM!</v>
      </c>
      <c r="Q18" s="7" t="e">
        <v>#REF!</v>
      </c>
      <c r="R18" s="6" t="b">
        <f>ISTEXT(C18)</f>
        <v>0</v>
      </c>
      <c r="S18" s="6" t="b">
        <f t="shared" ref="S18:AF18" si="12">ISTEXT(D18)</f>
        <v>0</v>
      </c>
      <c r="T18" s="6" t="b">
        <f t="shared" si="12"/>
        <v>0</v>
      </c>
      <c r="U18" s="6" t="b">
        <f t="shared" si="12"/>
        <v>0</v>
      </c>
      <c r="V18" s="6" t="b">
        <f t="shared" si="12"/>
        <v>0</v>
      </c>
      <c r="W18" s="6" t="b">
        <f t="shared" si="12"/>
        <v>0</v>
      </c>
      <c r="X18" s="6" t="b">
        <f t="shared" si="12"/>
        <v>1</v>
      </c>
      <c r="Y18" s="6" t="b">
        <f t="shared" si="12"/>
        <v>0</v>
      </c>
      <c r="Z18" s="6" t="b">
        <f t="shared" si="12"/>
        <v>0</v>
      </c>
      <c r="AA18" s="6" t="b">
        <f t="shared" si="12"/>
        <v>0</v>
      </c>
      <c r="AB18" s="6" t="b">
        <f t="shared" si="12"/>
        <v>0</v>
      </c>
      <c r="AC18" s="6" t="b">
        <f t="shared" si="12"/>
        <v>0</v>
      </c>
      <c r="AD18" s="6" t="b">
        <f t="shared" si="12"/>
        <v>0</v>
      </c>
      <c r="AE18" s="6" t="b">
        <f t="shared" si="12"/>
        <v>0</v>
      </c>
      <c r="AF18" s="6" t="b">
        <f t="shared" si="12"/>
        <v>0</v>
      </c>
      <c r="AG18" s="4" t="b">
        <f t="array" ref="AG18">ISTEXT(I18:Q18)</f>
        <v>1</v>
      </c>
      <c r="AH18" s="4" t="b">
        <f t="array" ref="AH18:AJ18">ISTEXT(C18:Q18)</f>
        <v>0</v>
      </c>
      <c r="AI18" s="4" t="b">
        <v>0</v>
      </c>
      <c r="AJ18" s="4" t="b">
        <v>0</v>
      </c>
      <c r="AK18" s="4" t="b">
        <f t="array" ref="AK18:AN18">ISTEXT(F18:J18)</f>
        <v>0</v>
      </c>
      <c r="AL18" s="4" t="b">
        <v>0</v>
      </c>
      <c r="AM18" s="4" t="b">
        <v>0</v>
      </c>
      <c r="AN18" s="4" t="b">
        <v>1</v>
      </c>
      <c r="AO18" s="4" t="b">
        <f t="array" ref="AO18:AW18">ISTEXT(M18:Q18)</f>
        <v>0</v>
      </c>
      <c r="AP18" s="4" t="b">
        <v>0</v>
      </c>
      <c r="AQ18" s="4" t="b">
        <v>0</v>
      </c>
      <c r="AR18" s="4" t="b">
        <v>0</v>
      </c>
      <c r="AS18" s="4" t="b">
        <v>0</v>
      </c>
      <c r="AT18" s="4" t="b">
        <v>0</v>
      </c>
      <c r="AU18" s="4" t="b">
        <v>0</v>
      </c>
      <c r="AV18" s="4" t="b">
        <v>0</v>
      </c>
      <c r="AW18" s="4" t="b">
        <v>0</v>
      </c>
    </row>
    <row r="19" spans="1:49" x14ac:dyDescent="0.15">
      <c r="A19" s="35" t="s">
        <v>221</v>
      </c>
      <c r="B19" s="36" t="s">
        <v>541</v>
      </c>
      <c r="C19" s="4">
        <v>4</v>
      </c>
      <c r="D19" s="4">
        <v>1</v>
      </c>
      <c r="E19" s="4">
        <v>2.2999999999999998</v>
      </c>
      <c r="F19" s="4">
        <v>10</v>
      </c>
      <c r="G19" s="4">
        <v>-1</v>
      </c>
      <c r="H19" s="6"/>
      <c r="I19" s="16" t="s">
        <v>489</v>
      </c>
      <c r="J19" s="6" t="b">
        <v>1</v>
      </c>
      <c r="K19" s="6" t="e">
        <v>#VALUE!</v>
      </c>
      <c r="L19" s="6" t="e">
        <v>#N/A</v>
      </c>
      <c r="M19" s="7" t="e">
        <v>#DIV/0!</v>
      </c>
      <c r="N19" s="7" t="e">
        <v>#NAME?</v>
      </c>
      <c r="O19" s="7" t="e">
        <v>#NULL!</v>
      </c>
      <c r="P19" s="7" t="e">
        <v>#NUM!</v>
      </c>
      <c r="Q19" s="7" t="e">
        <v>#REF!</v>
      </c>
      <c r="R19" s="6">
        <f>N(C19)</f>
        <v>4</v>
      </c>
      <c r="S19" s="6">
        <f t="shared" ref="S19:AF19" si="13">N(D19)</f>
        <v>1</v>
      </c>
      <c r="T19" s="6">
        <f t="shared" si="13"/>
        <v>2.2999999999999998</v>
      </c>
      <c r="U19" s="6">
        <f t="shared" si="13"/>
        <v>10</v>
      </c>
      <c r="V19" s="6">
        <f t="shared" si="13"/>
        <v>-1</v>
      </c>
      <c r="W19" s="6">
        <f t="shared" si="13"/>
        <v>0</v>
      </c>
      <c r="X19" s="6">
        <f t="shared" si="13"/>
        <v>0</v>
      </c>
      <c r="Y19" s="6">
        <f t="shared" si="13"/>
        <v>1</v>
      </c>
      <c r="Z19" s="6" t="e">
        <f t="shared" si="13"/>
        <v>#VALUE!</v>
      </c>
      <c r="AA19" s="6" t="e">
        <f t="shared" si="13"/>
        <v>#N/A</v>
      </c>
      <c r="AB19" s="6" t="e">
        <f t="shared" si="13"/>
        <v>#DIV/0!</v>
      </c>
      <c r="AC19" s="6" t="e">
        <f t="shared" si="13"/>
        <v>#NAME?</v>
      </c>
      <c r="AD19" s="6" t="e">
        <f t="shared" si="13"/>
        <v>#NULL!</v>
      </c>
      <c r="AE19" s="6" t="e">
        <f t="shared" si="13"/>
        <v>#NUM!</v>
      </c>
      <c r="AF19" s="6" t="e">
        <f t="shared" si="13"/>
        <v>#REF!</v>
      </c>
      <c r="AG19" s="4">
        <f t="array" ref="AG19">N(I19:Q19)</f>
        <v>0</v>
      </c>
      <c r="AH19" s="4">
        <f t="array" ref="AH19:AW19">N(C19:Q19)</f>
        <v>4</v>
      </c>
      <c r="AI19" s="4">
        <v>4</v>
      </c>
      <c r="AJ19" s="4">
        <v>4</v>
      </c>
      <c r="AK19" s="4">
        <v>4</v>
      </c>
      <c r="AL19" s="4">
        <v>4</v>
      </c>
      <c r="AM19" s="4">
        <v>4</v>
      </c>
      <c r="AN19" s="4">
        <v>4</v>
      </c>
      <c r="AO19" s="4">
        <v>4</v>
      </c>
      <c r="AP19" s="4">
        <v>4</v>
      </c>
      <c r="AQ19" s="4">
        <v>4</v>
      </c>
      <c r="AR19" s="4">
        <v>4</v>
      </c>
      <c r="AS19" s="4">
        <v>4</v>
      </c>
      <c r="AT19" s="4">
        <v>4</v>
      </c>
      <c r="AU19" s="4">
        <v>4</v>
      </c>
      <c r="AV19" s="4">
        <v>4</v>
      </c>
      <c r="AW19" s="4">
        <v>4</v>
      </c>
    </row>
    <row r="20" spans="1:49" x14ac:dyDescent="0.15">
      <c r="A20" s="35" t="s">
        <v>222</v>
      </c>
      <c r="B20" s="36" t="s">
        <v>541</v>
      </c>
      <c r="W20" s="4" t="e">
        <f>NA()</f>
        <v>#N/A</v>
      </c>
      <c r="AH20" s="4" t="e">
        <f t="array" ref="AH20:AW20">NA()</f>
        <v>#N/A</v>
      </c>
      <c r="AI20" s="4" t="e">
        <v>#N/A</v>
      </c>
      <c r="AJ20" s="4" t="e">
        <v>#N/A</v>
      </c>
      <c r="AK20" s="4" t="e">
        <v>#N/A</v>
      </c>
      <c r="AL20" s="4" t="e">
        <v>#N/A</v>
      </c>
      <c r="AM20" s="4" t="e">
        <v>#N/A</v>
      </c>
      <c r="AN20" s="4" t="e">
        <v>#N/A</v>
      </c>
      <c r="AO20" s="4" t="e">
        <v>#N/A</v>
      </c>
      <c r="AP20" s="4" t="e">
        <v>#N/A</v>
      </c>
      <c r="AQ20" s="4" t="e">
        <v>#N/A</v>
      </c>
      <c r="AR20" s="4" t="e">
        <v>#N/A</v>
      </c>
      <c r="AS20" s="4" t="e">
        <v>#N/A</v>
      </c>
      <c r="AT20" s="4" t="e">
        <v>#N/A</v>
      </c>
      <c r="AU20" s="4" t="e">
        <v>#N/A</v>
      </c>
      <c r="AV20" s="4" t="e">
        <v>#N/A</v>
      </c>
      <c r="AW20" s="4" t="e">
        <v>#N/A</v>
      </c>
    </row>
    <row r="21" spans="1:49" x14ac:dyDescent="0.15">
      <c r="A21" s="40" t="s">
        <v>223</v>
      </c>
    </row>
    <row r="22" spans="1:49" x14ac:dyDescent="0.15">
      <c r="A22" s="40" t="s">
        <v>224</v>
      </c>
    </row>
    <row r="23" spans="1:49" x14ac:dyDescent="0.15">
      <c r="A23" s="40" t="s">
        <v>563</v>
      </c>
    </row>
    <row r="24" spans="1:49" x14ac:dyDescent="0.15">
      <c r="A24" s="35" t="s">
        <v>225</v>
      </c>
      <c r="B24" s="36" t="s">
        <v>541</v>
      </c>
      <c r="C24" s="4">
        <v>0</v>
      </c>
      <c r="D24" s="4">
        <v>1</v>
      </c>
      <c r="E24" s="4">
        <v>2.2999999999999998</v>
      </c>
      <c r="F24" s="4">
        <v>10</v>
      </c>
      <c r="G24" s="4">
        <v>-1</v>
      </c>
      <c r="H24" s="6"/>
      <c r="I24" s="6" t="s">
        <v>32</v>
      </c>
      <c r="J24" s="6" t="b">
        <v>1</v>
      </c>
      <c r="K24" s="6" t="e">
        <v>#VALUE!</v>
      </c>
      <c r="L24" s="6" t="e">
        <v>#N/A</v>
      </c>
      <c r="M24" s="7" t="e">
        <v>#DIV/0!</v>
      </c>
      <c r="N24" s="7" t="e">
        <v>#NAME?</v>
      </c>
      <c r="O24" s="7" t="e">
        <v>#NULL!</v>
      </c>
      <c r="P24" s="7" t="e">
        <v>#NUM!</v>
      </c>
      <c r="Q24" s="7" t="e">
        <v>#REF!</v>
      </c>
      <c r="R24" s="6">
        <f>TYPE(C24)</f>
        <v>1</v>
      </c>
      <c r="S24" s="4">
        <f>TYPE(_xleta.SUM)</f>
        <v>128</v>
      </c>
      <c r="T24" s="6">
        <f t="shared" ref="T24:AF24" si="14">TYPE(E24)</f>
        <v>1</v>
      </c>
      <c r="U24" s="6">
        <f t="shared" si="14"/>
        <v>1</v>
      </c>
      <c r="V24" s="6">
        <f t="shared" si="14"/>
        <v>1</v>
      </c>
      <c r="W24" s="6">
        <f>TYPE(H24)</f>
        <v>1</v>
      </c>
      <c r="X24" s="6">
        <f t="shared" si="14"/>
        <v>2</v>
      </c>
      <c r="Y24" s="6">
        <f t="shared" si="14"/>
        <v>4</v>
      </c>
      <c r="Z24" s="6">
        <f t="shared" si="14"/>
        <v>16</v>
      </c>
      <c r="AA24" s="6">
        <f t="shared" si="14"/>
        <v>16</v>
      </c>
      <c r="AB24" s="6">
        <f t="shared" si="14"/>
        <v>16</v>
      </c>
      <c r="AC24" s="6">
        <f t="shared" si="14"/>
        <v>16</v>
      </c>
      <c r="AD24" s="6">
        <f t="shared" si="14"/>
        <v>16</v>
      </c>
      <c r="AE24" s="6">
        <f t="shared" si="14"/>
        <v>16</v>
      </c>
      <c r="AF24" s="6">
        <f t="shared" si="14"/>
        <v>16</v>
      </c>
      <c r="AG24" s="6">
        <f t="array" ref="AG24">TYPE(C24:Q24)</f>
        <v>64</v>
      </c>
      <c r="AH24" s="6">
        <f t="array" ref="AH24">TYPE(H24:Q24)</f>
        <v>64</v>
      </c>
      <c r="AI24" s="4">
        <f t="array" ref="AI24:AW24">TYPE(D24:Q24)</f>
        <v>64</v>
      </c>
      <c r="AJ24" s="4">
        <v>64</v>
      </c>
      <c r="AK24" s="4">
        <v>64</v>
      </c>
      <c r="AL24" s="4">
        <v>64</v>
      </c>
      <c r="AM24" s="4">
        <v>64</v>
      </c>
      <c r="AN24" s="4">
        <v>64</v>
      </c>
      <c r="AO24" s="4">
        <v>64</v>
      </c>
      <c r="AP24" s="4">
        <v>64</v>
      </c>
      <c r="AQ24" s="4">
        <v>64</v>
      </c>
      <c r="AR24" s="4">
        <v>64</v>
      </c>
      <c r="AS24" s="4">
        <v>64</v>
      </c>
      <c r="AT24" s="4">
        <v>64</v>
      </c>
      <c r="AU24" s="4">
        <v>64</v>
      </c>
      <c r="AV24" s="4">
        <v>64</v>
      </c>
      <c r="AW24" s="4">
        <v>64</v>
      </c>
    </row>
    <row r="27" spans="1:49" x14ac:dyDescent="0.15">
      <c r="AG27" s="6"/>
    </row>
  </sheetData>
  <mergeCells count="7">
    <mergeCell ref="C1:Q1"/>
    <mergeCell ref="R1:AW1"/>
    <mergeCell ref="C2:G2"/>
    <mergeCell ref="K2:Q2"/>
    <mergeCell ref="R2:V2"/>
    <mergeCell ref="Z2:AF2"/>
    <mergeCell ref="AH2:AW2"/>
  </mergeCells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rgb="FF00B050"/>
  </sheetPr>
  <dimension ref="A1:BK31"/>
  <sheetViews>
    <sheetView zoomScale="200" zoomScaleNormal="100" workbookViewId="0">
      <selection activeCell="P19" sqref="P19"/>
    </sheetView>
  </sheetViews>
  <sheetFormatPr baseColWidth="10" defaultColWidth="10.83203125" defaultRowHeight="11" x14ac:dyDescent="0.15"/>
  <cols>
    <col min="1" max="1" width="8.6640625" style="42" bestFit="1" customWidth="1"/>
    <col min="2" max="2" width="5.33203125" style="41" bestFit="1" customWidth="1"/>
    <col min="3" max="3" width="5.6640625" style="4" bestFit="1" customWidth="1"/>
    <col min="4" max="4" width="2.1640625" style="4" bestFit="1" customWidth="1"/>
    <col min="5" max="5" width="5.6640625" style="4" bestFit="1" customWidth="1"/>
    <col min="6" max="6" width="2.33203125" style="4" bestFit="1" customWidth="1"/>
    <col min="7" max="7" width="2" style="4" bestFit="1" customWidth="1"/>
    <col min="8" max="8" width="4.6640625" style="4" bestFit="1" customWidth="1"/>
    <col min="9" max="9" width="5.6640625" style="4" bestFit="1" customWidth="1"/>
    <col min="10" max="10" width="4.33203125" style="4" bestFit="1" customWidth="1"/>
    <col min="11" max="11" width="5.83203125" style="4" bestFit="1" customWidth="1"/>
    <col min="12" max="12" width="3.83203125" style="4" bestFit="1" customWidth="1"/>
    <col min="13" max="13" width="5.33203125" style="4" bestFit="1" customWidth="1"/>
    <col min="14" max="14" width="5.83203125" style="4" bestFit="1" customWidth="1"/>
    <col min="15" max="15" width="4.83203125" style="4" bestFit="1" customWidth="1"/>
    <col min="16" max="16" width="5" style="4" bestFit="1" customWidth="1"/>
    <col min="17" max="17" width="4.1640625" style="4" bestFit="1" customWidth="1"/>
    <col min="18" max="18" width="5.83203125" style="4" bestFit="1" customWidth="1"/>
    <col min="19" max="20" width="5.6640625" style="4" bestFit="1" customWidth="1"/>
    <col min="21" max="22" width="4.6640625" style="4" bestFit="1" customWidth="1"/>
    <col min="23" max="26" width="5.83203125" style="4" bestFit="1" customWidth="1"/>
    <col min="27" max="27" width="5.33203125" style="4" bestFit="1" customWidth="1"/>
    <col min="28" max="29" width="5.83203125" style="4" bestFit="1" customWidth="1"/>
    <col min="30" max="31" width="5" style="4" bestFit="1" customWidth="1"/>
    <col min="32" max="32" width="4.1640625" style="4" bestFit="1" customWidth="1"/>
    <col min="33" max="33" width="10" style="4" bestFit="1" customWidth="1"/>
    <col min="34" max="34" width="6.33203125" style="4" bestFit="1" customWidth="1"/>
    <col min="35" max="35" width="6" style="4" bestFit="1" customWidth="1"/>
    <col min="36" max="36" width="6.1640625" style="4" bestFit="1" customWidth="1"/>
    <col min="37" max="37" width="6" style="4" bestFit="1" customWidth="1"/>
    <col min="38" max="38" width="4.5" style="4" bestFit="1" customWidth="1"/>
    <col min="39" max="39" width="5.83203125" style="4" bestFit="1" customWidth="1"/>
    <col min="40" max="40" width="6.5" style="4" bestFit="1" customWidth="1"/>
    <col min="41" max="41" width="4.5" style="4" bestFit="1" customWidth="1"/>
    <col min="42" max="42" width="6.1640625" style="4" bestFit="1" customWidth="1"/>
    <col min="43" max="43" width="4.33203125" style="4" bestFit="1" customWidth="1"/>
    <col min="44" max="46" width="6" style="4" bestFit="1" customWidth="1"/>
    <col min="47" max="47" width="5.1640625" style="4" bestFit="1" customWidth="1"/>
    <col min="48" max="48" width="5.6640625" style="4" bestFit="1" customWidth="1"/>
    <col min="49" max="49" width="4.33203125" style="4" bestFit="1" customWidth="1"/>
    <col min="50" max="16384" width="10.83203125" style="4"/>
  </cols>
  <sheetData>
    <row r="1" spans="1:63" x14ac:dyDescent="0.15">
      <c r="A1" s="42" t="s">
        <v>542</v>
      </c>
      <c r="B1" s="80">
        <f>COUNTIF(B3:B282,"=DONE")/COUNTA(A3:A282)</f>
        <v>1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63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63" x14ac:dyDescent="0.15">
      <c r="A3" s="35" t="s">
        <v>566</v>
      </c>
      <c r="B3" s="36" t="s">
        <v>541</v>
      </c>
      <c r="C3" s="4">
        <v>0</v>
      </c>
      <c r="D3" s="4">
        <v>1</v>
      </c>
      <c r="E3" s="4">
        <v>2.2999999999999998</v>
      </c>
      <c r="F3" s="4">
        <v>0</v>
      </c>
      <c r="G3" s="4">
        <v>-1</v>
      </c>
      <c r="H3" s="16"/>
      <c r="I3" s="16" t="s">
        <v>414</v>
      </c>
      <c r="J3" s="6" t="b">
        <f>FALSE</f>
        <v>0</v>
      </c>
      <c r="K3" s="6" t="e">
        <f>#VALUE!</f>
        <v>#VALUE!</v>
      </c>
      <c r="L3" s="6" t="e">
        <v>#N/A</v>
      </c>
      <c r="M3" s="7" t="e">
        <v>#DIV/0!</v>
      </c>
      <c r="N3" s="7" t="e">
        <v>#NAME?</v>
      </c>
      <c r="O3" s="7" t="e">
        <v>#NULL!</v>
      </c>
      <c r="P3" s="7" t="e">
        <v>#NUM!</v>
      </c>
      <c r="Q3" s="7" t="e">
        <v>#REF!</v>
      </c>
      <c r="R3" s="4" t="b">
        <f t="shared" ref="R3:AF3" si="0">AND(C3,TRUE)</f>
        <v>0</v>
      </c>
      <c r="S3" s="4" t="b">
        <f t="shared" si="0"/>
        <v>1</v>
      </c>
      <c r="T3" s="4" t="b">
        <f t="shared" si="0"/>
        <v>1</v>
      </c>
      <c r="U3" s="4" t="b">
        <f t="shared" si="0"/>
        <v>0</v>
      </c>
      <c r="V3" s="4" t="b">
        <f t="shared" si="0"/>
        <v>1</v>
      </c>
      <c r="W3" s="4" t="b">
        <f t="shared" si="0"/>
        <v>1</v>
      </c>
      <c r="X3" s="4" t="b">
        <f t="shared" si="0"/>
        <v>1</v>
      </c>
      <c r="Y3" s="4" t="b">
        <f t="shared" si="0"/>
        <v>0</v>
      </c>
      <c r="Z3" s="4" t="e">
        <f t="shared" si="0"/>
        <v>#VALUE!</v>
      </c>
      <c r="AA3" s="4" t="e">
        <f t="shared" si="0"/>
        <v>#N/A</v>
      </c>
      <c r="AB3" s="4" t="e">
        <f t="shared" si="0"/>
        <v>#DIV/0!</v>
      </c>
      <c r="AC3" s="4" t="e">
        <f t="shared" si="0"/>
        <v>#NAME?</v>
      </c>
      <c r="AD3" s="4" t="e">
        <f t="shared" si="0"/>
        <v>#NULL!</v>
      </c>
      <c r="AE3" s="4" t="e">
        <f t="shared" si="0"/>
        <v>#NUM!</v>
      </c>
      <c r="AF3" s="4" t="e">
        <f t="shared" si="0"/>
        <v>#REF!</v>
      </c>
      <c r="AG3" s="4" t="b">
        <f>AND(C3:D3,C3)</f>
        <v>0</v>
      </c>
      <c r="AH3" s="4" t="e">
        <f t="array" ref="AH3:AI3">AND(FALSE,C3:Q3)</f>
        <v>#VALUE!</v>
      </c>
      <c r="AI3" s="4" t="e">
        <v>#VALUE!</v>
      </c>
      <c r="AJ3" s="4" t="e">
        <f t="array" ref="AJ3:AK3">AND(C3:P3,D3:Q3)</f>
        <v>#VALUE!</v>
      </c>
      <c r="AK3" s="4" t="e">
        <v>#VALUE!</v>
      </c>
      <c r="AL3" s="4" t="b">
        <f t="array" ref="AL3:AN3">AND(C3:D3,C3)</f>
        <v>0</v>
      </c>
      <c r="AM3" s="4" t="b">
        <v>0</v>
      </c>
      <c r="AN3" s="4" t="b">
        <v>0</v>
      </c>
      <c r="AO3" s="4" t="b">
        <f>AND(F3,C3)</f>
        <v>0</v>
      </c>
      <c r="AP3" s="4" t="e">
        <f>AND(TRUE,"0",#REF!)</f>
        <v>#REF!</v>
      </c>
      <c r="AQ3" s="4" t="e">
        <f>AND(TRUE,#REF!,"0")</f>
        <v>#REF!</v>
      </c>
      <c r="AR3" s="4" t="e">
        <f>AND(H3:I3)</f>
        <v>#VALUE!</v>
      </c>
      <c r="AS3" s="4" t="e">
        <f>AND(TRUE,"ciao",#REF!,"0")</f>
        <v>#REF!</v>
      </c>
      <c r="AT3" s="4" t="b">
        <f>AND(TRUE,"0")</f>
        <v>1</v>
      </c>
    </row>
    <row r="4" spans="1:63" x14ac:dyDescent="0.15">
      <c r="A4" s="35" t="s">
        <v>514</v>
      </c>
      <c r="B4" s="36" t="s">
        <v>541</v>
      </c>
      <c r="C4" s="4">
        <v>0</v>
      </c>
      <c r="D4" s="4">
        <v>1</v>
      </c>
      <c r="E4" s="4">
        <v>2.2999999999999998</v>
      </c>
      <c r="F4" s="4">
        <v>0</v>
      </c>
      <c r="G4" s="4">
        <v>-1</v>
      </c>
      <c r="H4" s="16"/>
      <c r="I4" s="16" t="s">
        <v>414</v>
      </c>
      <c r="J4" s="6" t="b">
        <f>FALSE</f>
        <v>0</v>
      </c>
      <c r="K4" s="6" t="e">
        <f>#VALUE!</f>
        <v>#VALUE!</v>
      </c>
      <c r="L4" s="6" t="e">
        <v>#N/A</v>
      </c>
      <c r="M4" s="7" t="e">
        <v>#DIV/0!</v>
      </c>
      <c r="N4" s="7" t="e">
        <v>#NAME?</v>
      </c>
      <c r="O4" s="7" t="e">
        <v>#NULL!</v>
      </c>
      <c r="P4" s="7" t="e">
        <v>#NUM!</v>
      </c>
      <c r="Q4" s="7" t="e">
        <v>#REF!</v>
      </c>
      <c r="R4" s="4" cm="1">
        <f t="array" ref="R4:AF4">_xlfn.BYCOL(C4:Q5,_xlfn.LAMBDA(_xlpm.x,SUM(_xlpm.x)))</f>
        <v>0</v>
      </c>
      <c r="S4" s="4">
        <v>2</v>
      </c>
      <c r="T4" s="4">
        <v>4.5999999999999996</v>
      </c>
      <c r="U4" s="4">
        <v>1</v>
      </c>
      <c r="V4" s="4">
        <v>-2</v>
      </c>
      <c r="W4" s="4">
        <v>0</v>
      </c>
      <c r="X4" s="4">
        <v>0</v>
      </c>
      <c r="Y4" s="4">
        <v>0</v>
      </c>
      <c r="Z4" s="4" t="e">
        <v>#VALUE!</v>
      </c>
      <c r="AA4" s="4" t="e">
        <v>#N/A</v>
      </c>
      <c r="AB4" s="4" t="e">
        <v>#DIV/0!</v>
      </c>
      <c r="AC4" s="4" t="e">
        <v>#NAME?</v>
      </c>
      <c r="AD4" s="4" t="e">
        <v>#NULL!</v>
      </c>
      <c r="AE4" s="4" t="e">
        <v>#NUM!</v>
      </c>
      <c r="AF4" s="4" t="e">
        <v>#REF!</v>
      </c>
      <c r="AG4" s="4" t="b">
        <f>AND(C4:D4,C4)</f>
        <v>0</v>
      </c>
      <c r="AH4" s="4" t="e">
        <f t="array" ref="AH4:AI4">AND(FALSE,C4:Q4)</f>
        <v>#VALUE!</v>
      </c>
      <c r="AI4" s="4" t="e">
        <v>#VALUE!</v>
      </c>
      <c r="AJ4" s="4" t="e">
        <f t="array" ref="AJ4:AK4">AND(C4:P4,D4:Q4)</f>
        <v>#VALUE!</v>
      </c>
      <c r="AK4" s="4" t="e">
        <v>#VALUE!</v>
      </c>
      <c r="AL4" s="4" t="b">
        <f t="array" ref="AL4:AN4">AND(C4:D4,C4)</f>
        <v>0</v>
      </c>
      <c r="AM4" s="4" t="b">
        <v>0</v>
      </c>
      <c r="AN4" s="4" t="b">
        <v>0</v>
      </c>
      <c r="AO4" s="4" t="b">
        <f>AND(F4,C4)</f>
        <v>0</v>
      </c>
      <c r="AP4" s="4" t="e">
        <f>AND(TRUE,"0",#REF!)</f>
        <v>#REF!</v>
      </c>
      <c r="AQ4" s="4" t="e">
        <f>AND(TRUE,#REF!,"0")</f>
        <v>#REF!</v>
      </c>
      <c r="AR4" s="4" t="e">
        <f>AND(H4:I4)</f>
        <v>#VALUE!</v>
      </c>
      <c r="AS4" s="4" t="e">
        <f>AND(TRUE,"ciao",#REF!,"0")</f>
        <v>#REF!</v>
      </c>
      <c r="AT4" s="4" t="b">
        <f>AND(TRUE,"0")</f>
        <v>1</v>
      </c>
    </row>
    <row r="5" spans="1:63" x14ac:dyDescent="0.15">
      <c r="A5" s="99" t="s">
        <v>515</v>
      </c>
      <c r="B5" s="100" t="s">
        <v>541</v>
      </c>
      <c r="C5" s="4">
        <v>0</v>
      </c>
      <c r="D5" s="4">
        <v>1</v>
      </c>
      <c r="E5" s="4">
        <v>2.2999999999999998</v>
      </c>
      <c r="F5" s="4">
        <v>1</v>
      </c>
      <c r="G5" s="4">
        <v>-1</v>
      </c>
      <c r="H5" s="16"/>
      <c r="I5" s="16" t="s">
        <v>414</v>
      </c>
      <c r="J5" s="6" t="b">
        <f>FALSE</f>
        <v>0</v>
      </c>
      <c r="K5" s="6">
        <f>2</f>
        <v>2</v>
      </c>
      <c r="L5" s="6" t="e">
        <v>#N/A</v>
      </c>
      <c r="M5" s="7" t="e">
        <v>#DIV/0!</v>
      </c>
      <c r="N5" s="7" t="e">
        <v>#NAME?</v>
      </c>
      <c r="O5" s="7" t="e">
        <v>#NULL!</v>
      </c>
      <c r="P5" s="7" t="e">
        <v>#NUM!</v>
      </c>
      <c r="Q5" s="7" t="e">
        <v>#REF!</v>
      </c>
      <c r="R5" s="4" cm="1">
        <f t="array" ref="R5:R6">_xlfn.BYROW(C4:J5,_xlfn.LAMBDA(_xlpm.x,SUM(_xlpm.x)))</f>
        <v>2.2999999999999998</v>
      </c>
      <c r="S5" s="4" cm="1">
        <f t="array" ref="S5:S6">_xlfn.BYROW(C4:E5,_xleta.SUM)</f>
        <v>3.3</v>
      </c>
      <c r="T5" s="4" cm="1">
        <f t="array" ref="T5:T6">_xlfn.BYROW(D4:F5,_xleta.SUM)</f>
        <v>3.3</v>
      </c>
      <c r="U5" s="4" cm="1">
        <f t="array" ref="U5:U6">_xlfn.BYROW(E4:G5,_xleta.SUM)</f>
        <v>1.2999999999999998</v>
      </c>
      <c r="V5" s="4" cm="1">
        <f t="array" ref="V5:V6">_xlfn.BYROW(F4:H5,_xleta.SUM)</f>
        <v>-1</v>
      </c>
      <c r="W5" s="4" cm="1">
        <f t="array" ref="W5:W6">_xlfn.BYROW(G4:I5,_xleta.SUM)</f>
        <v>-1</v>
      </c>
      <c r="X5" s="4" cm="1">
        <f t="array" ref="X5:X6">_xlfn.BYROW(H4:J5,_xleta.SUM)</f>
        <v>0</v>
      </c>
      <c r="Y5" s="4" t="e" cm="1">
        <f t="array" ref="Y5:Y6">_xlfn.BYROW(I4:K5,_xleta.SUM)</f>
        <v>#VALUE!</v>
      </c>
      <c r="Z5" s="4" t="e" cm="1">
        <f t="array" ref="Z5:Z6">_xlfn.BYROW(J4:L5,_xleta.SUM)</f>
        <v>#VALUE!</v>
      </c>
      <c r="AA5" s="4" t="e" cm="1">
        <f t="array" ref="AA5:AA6">_xlfn.BYROW(K4:M5,_xleta.SUM)</f>
        <v>#VALUE!</v>
      </c>
      <c r="AB5" s="4" t="e" cm="1">
        <f t="array" ref="AB5:AB6">_xlfn.BYROW(L4:N5,_xleta.SUM)</f>
        <v>#N/A</v>
      </c>
      <c r="AC5" s="4" t="e" cm="1">
        <f t="array" ref="AC5:AC6">_xlfn.BYROW(M4:O5,_xleta.SUM)</f>
        <v>#DIV/0!</v>
      </c>
      <c r="AD5" s="4" t="e" cm="1">
        <f t="array" ref="AD5:AD6">_xlfn.BYROW(N4:P5,_xleta.SUM)</f>
        <v>#NAME?</v>
      </c>
      <c r="AE5" s="4" t="e" cm="1">
        <f t="array" ref="AE5:AE6">_xlfn.BYROW(O4:Q5,_xleta.SUM)</f>
        <v>#NULL!</v>
      </c>
      <c r="AF5" s="4" t="e" cm="1">
        <f t="array" ref="AF5:AF6">_xlfn.BYROW(P4:R5,_xleta.SUM)</f>
        <v>#NUM!</v>
      </c>
    </row>
    <row r="6" spans="1:63" x14ac:dyDescent="0.15">
      <c r="A6" s="99"/>
      <c r="B6" s="100"/>
      <c r="H6" s="16"/>
      <c r="I6" s="16"/>
      <c r="J6" s="6"/>
      <c r="K6" s="6"/>
      <c r="L6" s="6"/>
      <c r="M6" s="7"/>
      <c r="N6" s="7"/>
      <c r="O6" s="7"/>
      <c r="P6" s="7"/>
      <c r="Q6" s="7"/>
      <c r="R6" s="4">
        <v>3.3</v>
      </c>
      <c r="S6" s="4">
        <v>3.3</v>
      </c>
      <c r="T6" s="4">
        <v>4.3</v>
      </c>
      <c r="U6" s="4">
        <v>2.2999999999999998</v>
      </c>
      <c r="V6" s="4">
        <v>0</v>
      </c>
      <c r="W6" s="4">
        <v>-1</v>
      </c>
      <c r="X6" s="4">
        <v>0</v>
      </c>
      <c r="Y6" s="4">
        <v>2</v>
      </c>
      <c r="Z6" s="4" t="e">
        <v>#N/A</v>
      </c>
      <c r="AA6" s="4" t="e">
        <v>#N/A</v>
      </c>
      <c r="AB6" s="4" t="e">
        <v>#N/A</v>
      </c>
      <c r="AC6" s="4" t="e">
        <v>#DIV/0!</v>
      </c>
      <c r="AD6" s="4" t="e">
        <v>#NAME?</v>
      </c>
      <c r="AE6" s="4" t="e">
        <v>#NULL!</v>
      </c>
      <c r="AF6" s="4" t="e">
        <v>#NUM!</v>
      </c>
    </row>
    <row r="7" spans="1:63" x14ac:dyDescent="0.15">
      <c r="A7" s="47" t="s">
        <v>601</v>
      </c>
      <c r="B7" s="36" t="s">
        <v>541</v>
      </c>
      <c r="J7" s="6" t="b">
        <f>FALSE</f>
        <v>0</v>
      </c>
      <c r="W7" s="4" t="b">
        <f>FALSE()</f>
        <v>0</v>
      </c>
      <c r="AH7" s="4" t="b">
        <f t="array" ref="AH7:AO7">FALSE()</f>
        <v>0</v>
      </c>
      <c r="AI7" s="4" t="b">
        <v>0</v>
      </c>
      <c r="AJ7" s="4" t="b">
        <v>0</v>
      </c>
      <c r="AK7" s="4" t="b">
        <v>0</v>
      </c>
      <c r="AL7" s="4" t="b">
        <v>0</v>
      </c>
      <c r="AM7" s="4" t="b">
        <v>0</v>
      </c>
      <c r="AN7" s="4" t="b">
        <v>0</v>
      </c>
      <c r="AO7" s="4" t="b">
        <v>0</v>
      </c>
      <c r="AP7" s="4" t="b">
        <f t="array" ref="AP7:AW7">FALSE</f>
        <v>0</v>
      </c>
      <c r="AQ7" s="4" t="b">
        <v>0</v>
      </c>
      <c r="AR7" s="4" t="b">
        <v>0</v>
      </c>
      <c r="AS7" s="4" t="b">
        <v>0</v>
      </c>
      <c r="AT7" s="4" t="b">
        <v>0</v>
      </c>
      <c r="AU7" s="4" t="b">
        <v>0</v>
      </c>
      <c r="AV7" s="4" t="b">
        <v>0</v>
      </c>
      <c r="AW7" s="4" t="b">
        <v>0</v>
      </c>
    </row>
    <row r="8" spans="1:63" x14ac:dyDescent="0.15">
      <c r="A8" s="35" t="s">
        <v>590</v>
      </c>
      <c r="B8" s="36" t="s">
        <v>541</v>
      </c>
      <c r="C8" s="4">
        <v>0</v>
      </c>
      <c r="D8" s="4">
        <v>1</v>
      </c>
      <c r="E8" s="4">
        <v>2.2999999999999998</v>
      </c>
      <c r="F8" s="4">
        <v>10</v>
      </c>
      <c r="G8" s="4">
        <v>-1</v>
      </c>
      <c r="H8" s="6"/>
      <c r="I8" s="6" t="s">
        <v>32</v>
      </c>
      <c r="J8" s="6" t="b">
        <v>1</v>
      </c>
      <c r="K8" s="6" t="e">
        <f>#VALUE!</f>
        <v>#VALUE!</v>
      </c>
      <c r="L8" s="6" t="e">
        <v>#N/A</v>
      </c>
      <c r="M8" s="7" t="e">
        <v>#DIV/0!</v>
      </c>
      <c r="N8" s="7" t="e">
        <v>#NAME?</v>
      </c>
      <c r="O8" s="7" t="e">
        <v>#NULL!</v>
      </c>
      <c r="P8" s="7" t="e">
        <v>#NUM!</v>
      </c>
      <c r="Q8" s="7" t="e">
        <v>#REF!</v>
      </c>
      <c r="R8" s="6" t="b">
        <f>IF(C8,1)</f>
        <v>0</v>
      </c>
      <c r="S8" s="6">
        <f>IF(D8,1)</f>
        <v>1</v>
      </c>
      <c r="T8" s="6" t="b">
        <f>IF(E8=1,1)</f>
        <v>0</v>
      </c>
      <c r="U8" s="6">
        <f>IF(F8,1)</f>
        <v>1</v>
      </c>
      <c r="V8" s="6">
        <f>IF(G8,1)</f>
        <v>1</v>
      </c>
      <c r="W8" s="6">
        <f>IF(H8,1,2)</f>
        <v>2</v>
      </c>
      <c r="X8" s="6" t="e" vm="23">
        <f t="shared" ref="X8:AF8" si="1">IF(I8,1)</f>
        <v>#VALUE!</v>
      </c>
      <c r="Y8" s="6">
        <f t="shared" si="1"/>
        <v>1</v>
      </c>
      <c r="Z8" s="6" t="e">
        <f t="shared" si="1"/>
        <v>#VALUE!</v>
      </c>
      <c r="AA8" s="6" t="e">
        <f t="shared" si="1"/>
        <v>#N/A</v>
      </c>
      <c r="AB8" s="6" t="e">
        <f t="shared" si="1"/>
        <v>#DIV/0!</v>
      </c>
      <c r="AC8" s="6" t="e">
        <f t="shared" si="1"/>
        <v>#NAME?</v>
      </c>
      <c r="AD8" s="6" t="e">
        <f t="shared" si="1"/>
        <v>#NULL!</v>
      </c>
      <c r="AE8" s="6" t="e">
        <f t="shared" si="1"/>
        <v>#NUM!</v>
      </c>
      <c r="AF8" s="6" t="e">
        <f t="shared" si="1"/>
        <v>#REF!</v>
      </c>
      <c r="AG8" s="6" t="b">
        <f t="array" ref="AG8">IF(C8:G8,1)</f>
        <v>0</v>
      </c>
      <c r="AH8" s="6" t="b">
        <f t="array" ref="AH8:AI8">IF(C8:D8,D8:E8)</f>
        <v>0</v>
      </c>
      <c r="AI8" s="6">
        <v>2.2999999999999998</v>
      </c>
      <c r="AJ8" s="6">
        <f t="array" ref="AJ8:AK8">IF(C8:D8,2,D8:E8)</f>
        <v>1</v>
      </c>
      <c r="AK8" s="6">
        <v>2</v>
      </c>
      <c r="AL8" s="6">
        <f t="array" ref="AL8:AM8">IF(C8:D8,D8:E8,F8:G8)</f>
        <v>10</v>
      </c>
      <c r="AM8" s="6">
        <v>2.2999999999999998</v>
      </c>
      <c r="AN8" s="6" t="e" vm="24">
        <f t="array" ref="AN8:AP8">IF(I8:K8,D8:F8,F8:H8)</f>
        <v>#VALUE!</v>
      </c>
      <c r="AO8" s="6">
        <v>2.2999999999999998</v>
      </c>
      <c r="AP8" s="6" t="e">
        <v>#VALUE!</v>
      </c>
      <c r="AQ8" s="6">
        <f t="array" ref="AQ8:AS8">IF(C8:E8,D8:F8,E8:G8)</f>
        <v>2.2999999999999998</v>
      </c>
      <c r="AR8" s="6">
        <v>2.2999999999999998</v>
      </c>
      <c r="AS8" s="6">
        <v>10</v>
      </c>
      <c r="AT8" s="6" t="b">
        <f t="array" ref="AT8:AW8">IF(C8:D8,D8:E8)</f>
        <v>0</v>
      </c>
      <c r="AU8" s="6">
        <v>2.2999999999999998</v>
      </c>
      <c r="AV8" s="6" t="e">
        <v>#N/A</v>
      </c>
      <c r="AW8" s="4" t="e">
        <v>#N/A</v>
      </c>
    </row>
    <row r="9" spans="1:63" x14ac:dyDescent="0.15">
      <c r="A9" s="35" t="s">
        <v>591</v>
      </c>
      <c r="B9" s="36" t="s">
        <v>541</v>
      </c>
      <c r="C9" s="4">
        <v>0</v>
      </c>
      <c r="D9" s="4">
        <v>1</v>
      </c>
      <c r="E9" s="4">
        <v>2.2999999999999998</v>
      </c>
      <c r="F9" s="4">
        <v>10</v>
      </c>
      <c r="G9" s="4">
        <v>-1</v>
      </c>
      <c r="H9" s="6"/>
      <c r="I9" s="6" t="s">
        <v>32</v>
      </c>
      <c r="J9" s="6" t="b">
        <v>1</v>
      </c>
      <c r="K9" s="6" t="e">
        <f>#VALUE!</f>
        <v>#VALUE!</v>
      </c>
      <c r="L9" s="6" t="e">
        <v>#N/A</v>
      </c>
      <c r="M9" s="7" t="e">
        <v>#DIV/0!</v>
      </c>
      <c r="N9" s="7" t="e">
        <v>#NAME?</v>
      </c>
      <c r="O9" s="7" t="e">
        <v>#NULL!</v>
      </c>
      <c r="P9" s="7" t="e">
        <v>#NUM!</v>
      </c>
      <c r="Q9" s="7" t="e">
        <v>#REF!</v>
      </c>
      <c r="R9" s="4">
        <f t="shared" ref="R9:AF9" si="2">IFERROR(C9,D9)</f>
        <v>0</v>
      </c>
      <c r="S9" s="4">
        <f t="shared" si="2"/>
        <v>1</v>
      </c>
      <c r="T9" s="4">
        <f t="shared" si="2"/>
        <v>2.2999999999999998</v>
      </c>
      <c r="U9" s="4">
        <f t="shared" si="2"/>
        <v>10</v>
      </c>
      <c r="V9" s="4">
        <f t="shared" si="2"/>
        <v>-1</v>
      </c>
      <c r="W9" s="4">
        <f t="shared" si="2"/>
        <v>0</v>
      </c>
      <c r="X9" s="4" t="str">
        <f t="shared" si="2"/>
        <v>ciao</v>
      </c>
      <c r="Y9" s="4" t="b">
        <f t="shared" si="2"/>
        <v>1</v>
      </c>
      <c r="Z9" s="4" t="e">
        <f t="shared" si="2"/>
        <v>#N/A</v>
      </c>
      <c r="AA9" s="4" t="e">
        <f t="shared" si="2"/>
        <v>#DIV/0!</v>
      </c>
      <c r="AB9" s="4" t="e">
        <f t="shared" si="2"/>
        <v>#NAME?</v>
      </c>
      <c r="AC9" s="4" t="e">
        <f t="shared" si="2"/>
        <v>#NULL!</v>
      </c>
      <c r="AD9" s="4" t="e">
        <f t="shared" si="2"/>
        <v>#NUM!</v>
      </c>
      <c r="AE9" s="4" t="e">
        <f t="shared" si="2"/>
        <v>#REF!</v>
      </c>
      <c r="AF9" s="4">
        <f t="shared" si="2"/>
        <v>0</v>
      </c>
      <c r="AG9" s="4">
        <f t="array" ref="AG9">IFERROR(D9:E9,U9)</f>
        <v>1</v>
      </c>
      <c r="AH9" s="4" t="str">
        <f t="array" ref="AH9:AI9">IFERROR(K9:L9,I9:J9)</f>
        <v>ciao</v>
      </c>
      <c r="AI9" s="4" t="b">
        <v>1</v>
      </c>
      <c r="AJ9" s="4">
        <f t="array" ref="AJ9:AK9">IFERROR(D9:E9,R9)</f>
        <v>1</v>
      </c>
      <c r="AK9" s="4">
        <v>2.2999999999999998</v>
      </c>
      <c r="AL9" s="4">
        <f t="array" ref="AL9:AW9">IFERROR(G9:Q9,R9)</f>
        <v>-1</v>
      </c>
      <c r="AM9" s="4">
        <v>0</v>
      </c>
      <c r="AN9" s="4" t="str">
        <v>ciao</v>
      </c>
      <c r="AO9" s="4" t="b">
        <v>1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 t="e">
        <v>#N/A</v>
      </c>
    </row>
    <row r="10" spans="1:63" x14ac:dyDescent="0.15">
      <c r="A10" s="35" t="s">
        <v>592</v>
      </c>
      <c r="B10" s="36" t="s">
        <v>541</v>
      </c>
      <c r="C10" s="4">
        <v>0</v>
      </c>
      <c r="D10" s="4">
        <v>1</v>
      </c>
      <c r="E10" s="4">
        <v>2.2999999999999998</v>
      </c>
      <c r="F10" s="4">
        <v>10</v>
      </c>
      <c r="G10" s="4">
        <v>-1</v>
      </c>
      <c r="H10" s="6"/>
      <c r="I10" s="6" t="s">
        <v>32</v>
      </c>
      <c r="J10" s="6" t="b">
        <v>1</v>
      </c>
      <c r="K10" s="6" t="e">
        <f>#VALUE!</f>
        <v>#VALUE!</v>
      </c>
      <c r="L10" s="6" t="e">
        <v>#N/A</v>
      </c>
      <c r="M10" s="7" t="e">
        <v>#DIV/0!</v>
      </c>
      <c r="N10" s="7" t="e">
        <v>#NAME?</v>
      </c>
      <c r="O10" s="7" t="e">
        <v>#NULL!</v>
      </c>
      <c r="P10" s="7" t="e">
        <v>#NUM!</v>
      </c>
      <c r="Q10" s="7" t="e">
        <v>#REF!</v>
      </c>
      <c r="R10" s="4">
        <f t="shared" ref="R10:AF10" si="3">_xlfn.IFNA(C10,D10)</f>
        <v>0</v>
      </c>
      <c r="S10" s="4">
        <f t="shared" si="3"/>
        <v>1</v>
      </c>
      <c r="T10" s="4">
        <f t="shared" si="3"/>
        <v>2.2999999999999998</v>
      </c>
      <c r="U10" s="4">
        <f t="shared" si="3"/>
        <v>10</v>
      </c>
      <c r="V10" s="4">
        <f t="shared" si="3"/>
        <v>-1</v>
      </c>
      <c r="W10" s="4">
        <f t="shared" si="3"/>
        <v>0</v>
      </c>
      <c r="X10" s="4" t="str">
        <f t="shared" si="3"/>
        <v>ciao</v>
      </c>
      <c r="Y10" s="4" t="b">
        <f t="shared" si="3"/>
        <v>1</v>
      </c>
      <c r="Z10" s="4" t="e">
        <f t="shared" si="3"/>
        <v>#VALUE!</v>
      </c>
      <c r="AA10" s="4" t="e">
        <f t="shared" si="3"/>
        <v>#DIV/0!</v>
      </c>
      <c r="AB10" s="4" t="e">
        <f t="shared" si="3"/>
        <v>#DIV/0!</v>
      </c>
      <c r="AC10" s="4" t="e">
        <f t="shared" si="3"/>
        <v>#NAME?</v>
      </c>
      <c r="AD10" s="4" t="e">
        <f t="shared" si="3"/>
        <v>#NULL!</v>
      </c>
      <c r="AE10" s="4" t="e">
        <f t="shared" si="3"/>
        <v>#NUM!</v>
      </c>
      <c r="AF10" s="4" t="e">
        <f t="shared" si="3"/>
        <v>#REF!</v>
      </c>
      <c r="AG10" s="4">
        <f t="array" ref="AG10">_xlfn.IFNA(E10:F10,R10)</f>
        <v>2.2999999999999998</v>
      </c>
      <c r="AH10" s="4" t="e">
        <f t="array" ref="AH10:AI10">_xlfn.IFNA(K10:L10,I10:J10)</f>
        <v>#VALUE!</v>
      </c>
      <c r="AI10" s="4" t="b">
        <v>1</v>
      </c>
      <c r="AJ10" s="4">
        <f t="array" ref="AJ10:AK10">_xlfn.IFNA(D10:E10,R10)</f>
        <v>1</v>
      </c>
      <c r="AK10" s="4">
        <v>2.2999999999999998</v>
      </c>
      <c r="AL10" s="4">
        <f t="array" ref="AL10:AW10">_xlfn.IFNA(G10:Q10,R10)</f>
        <v>-1</v>
      </c>
      <c r="AM10" s="4">
        <v>0</v>
      </c>
      <c r="AN10" s="4" t="str">
        <v>ciao</v>
      </c>
      <c r="AO10" s="4" t="b">
        <v>1</v>
      </c>
      <c r="AP10" s="4" t="e">
        <v>#VALUE!</v>
      </c>
      <c r="AQ10" s="4">
        <v>0</v>
      </c>
      <c r="AR10" s="4" t="e">
        <v>#DIV/0!</v>
      </c>
      <c r="AS10" s="4" t="e">
        <v>#NAME?</v>
      </c>
      <c r="AT10" s="4" t="e">
        <v>#NULL!</v>
      </c>
      <c r="AU10" s="4" t="e">
        <v>#NUM!</v>
      </c>
      <c r="AV10" s="4" t="e">
        <v>#REF!</v>
      </c>
      <c r="AW10" s="4" t="e">
        <v>#N/A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</row>
    <row r="11" spans="1:63" x14ac:dyDescent="0.15">
      <c r="A11" s="35" t="s">
        <v>593</v>
      </c>
      <c r="B11" s="36" t="s">
        <v>541</v>
      </c>
      <c r="C11" s="4">
        <v>0</v>
      </c>
      <c r="D11" s="4">
        <v>1</v>
      </c>
      <c r="E11" s="4">
        <v>2.2999999999999998</v>
      </c>
      <c r="F11" s="4">
        <v>0</v>
      </c>
      <c r="G11" s="4">
        <v>-1</v>
      </c>
      <c r="H11" s="6"/>
      <c r="I11" s="16" t="s">
        <v>414</v>
      </c>
      <c r="J11" s="6" t="b">
        <v>1</v>
      </c>
      <c r="K11" s="6" t="e">
        <f>#VALUE!</f>
        <v>#VALUE!</v>
      </c>
      <c r="L11" s="6" t="e">
        <v>#N/A</v>
      </c>
      <c r="M11" s="7" t="e">
        <v>#DIV/0!</v>
      </c>
      <c r="N11" s="7" t="e">
        <v>#NAME?</v>
      </c>
      <c r="O11" s="7" t="e">
        <v>#NULL!</v>
      </c>
      <c r="P11" s="7" t="e">
        <v>#NUM!</v>
      </c>
      <c r="Q11" s="7" t="e">
        <v>#REF!</v>
      </c>
      <c r="R11" s="4" cm="1">
        <f t="array" ref="R11">_xlfn.IFS(C11,D11,E11,F11)</f>
        <v>0</v>
      </c>
      <c r="S11" s="4" cm="1">
        <f t="array" ref="S11">_xlfn.IFS(D11,E11,F11,G11)</f>
        <v>2.2999999999999998</v>
      </c>
      <c r="T11" s="4" cm="1">
        <f t="array" ref="T11">_xlfn.IFS(E11,F11,G11,H11)</f>
        <v>0</v>
      </c>
      <c r="U11" s="4" t="e" cm="1">
        <f t="array" ref="U11">_xlfn.IFS(F11,G11,H11,I11)</f>
        <v>#N/A</v>
      </c>
      <c r="V11" s="4" cm="1">
        <f t="array" ref="V11">_xlfn.IFS(G11,H11,I11,J11)</f>
        <v>0</v>
      </c>
      <c r="W11" s="4" t="e" cm="1">
        <f t="array" ref="W11">_xlfn.IFS(H11,I11,J11,K11)</f>
        <v>#VALUE!</v>
      </c>
      <c r="X11" s="4" t="e" cm="1">
        <f t="array" ref="X11">_xlfn.IFS(I11,J11,K11,L11)</f>
        <v>#VALUE!</v>
      </c>
      <c r="Y11" s="4" t="e" cm="1">
        <f t="array" ref="Y11">_xlfn.IFS(J11,K11,L11,M11)</f>
        <v>#VALUE!</v>
      </c>
      <c r="Z11" s="4" t="e" cm="1">
        <f t="array" ref="Z11">_xlfn.IFS(K11,L11,M11,N11)</f>
        <v>#VALUE!</v>
      </c>
      <c r="AA11" s="4" t="e" cm="1">
        <f t="array" ref="AA11">_xlfn.IFS(L11,M11,N11,O11)</f>
        <v>#N/A</v>
      </c>
      <c r="AB11" s="4" t="e" cm="1">
        <f t="array" ref="AB11">_xlfn.IFS(M11,N11,O11,P11)</f>
        <v>#DIV/0!</v>
      </c>
      <c r="AC11" s="4" t="e" cm="1">
        <f t="array" ref="AC11">_xlfn.IFS(N11,O11,P11,Q11)</f>
        <v>#NAME?</v>
      </c>
      <c r="AD11" s="4" t="e" cm="1">
        <f t="array" ref="AD11">_xlfn.IFS(O11,P11,Q11,R11)</f>
        <v>#NULL!</v>
      </c>
      <c r="AE11" s="4" t="e" cm="1">
        <f t="array" ref="AE11">_xlfn.IFS(P11,Q11,R11,S11)</f>
        <v>#NUM!</v>
      </c>
      <c r="AF11" s="4" t="e" cm="1">
        <f t="array" ref="AF11">_xlfn.IFS(Q11,R11,S11,T11)</f>
        <v>#REF!</v>
      </c>
      <c r="AG11" s="4">
        <f t="array" ref="AG11">_xlfn.IFS(C11:D11,J11,E11:F11,G11)</f>
        <v>-1</v>
      </c>
      <c r="AH11" s="4">
        <f t="array" ref="AH11:AI11">_xlfn.IFS(C11:D11,J11,E11:F11,G11)</f>
        <v>-1</v>
      </c>
      <c r="AI11" s="4" t="b">
        <v>1</v>
      </c>
      <c r="AJ11" s="4">
        <f t="array" ref="AJ11:AL11">_xlfn.IFS(C11:D11,I11:J11,E11:F11,D11:E11)</f>
        <v>1</v>
      </c>
      <c r="AK11" s="4" t="b">
        <v>1</v>
      </c>
      <c r="AL11" s="4" t="e">
        <v>#N/A</v>
      </c>
      <c r="AM11" s="4">
        <f t="array" ref="AM11">_xlfn.IFS(C11,I11:J11,E11,D11:E11)</f>
        <v>1</v>
      </c>
      <c r="AN11" s="4">
        <f t="array" ref="AN11:AO11">_xlfn.IFS(C11,I11:J11,E11,D11:E11)</f>
        <v>1</v>
      </c>
      <c r="AO11" s="4">
        <v>2.2999999999999998</v>
      </c>
      <c r="AP11" s="4">
        <f t="array" ref="AP11:AS11">_xlfn.IFS(C11,I11:J11,E11,G11:H11)</f>
        <v>-1</v>
      </c>
      <c r="AQ11" s="4">
        <v>0</v>
      </c>
      <c r="AR11" s="4" t="e">
        <v>#N/A</v>
      </c>
      <c r="AS11" s="4" t="e">
        <v>#N/A</v>
      </c>
      <c r="AT11" s="4" t="e">
        <f t="array" ref="AT11:AW11">_xlfn.IFS(I11:L11,G11:J11,E11,M11:P11)</f>
        <v>#VALUE!</v>
      </c>
      <c r="AU11" s="4">
        <v>0</v>
      </c>
      <c r="AV11" s="4" t="e">
        <v>#VALUE!</v>
      </c>
      <c r="AW11" s="4" t="e">
        <v>#N/A</v>
      </c>
    </row>
    <row r="12" spans="1:63" x14ac:dyDescent="0.15">
      <c r="A12" s="35" t="s">
        <v>523</v>
      </c>
      <c r="B12" s="36" t="s">
        <v>541</v>
      </c>
      <c r="C12" s="4" cm="1">
        <f t="array" ref="C12">_xlfn.LAMBDA(_xlpm.x,_xlpm.y,_xlpm.z,SUM(_xlpm.y)+SUM(_xlpm.x+1,(_xlpm.y+_xlpm.x+D3+C3)))(1,2,3)</f>
        <v>8</v>
      </c>
      <c r="D12" s="4">
        <v>3</v>
      </c>
      <c r="H12" s="6"/>
      <c r="I12" s="16"/>
      <c r="J12" s="6"/>
      <c r="K12" s="6"/>
      <c r="L12" s="6"/>
      <c r="M12" s="7"/>
      <c r="N12" s="7"/>
      <c r="O12" s="7"/>
      <c r="P12" s="7"/>
      <c r="Q12" s="7"/>
      <c r="R12" s="4" cm="1">
        <f t="array" ref="R12">MYLAMBDA(2,1,2)</f>
        <v>8</v>
      </c>
    </row>
    <row r="13" spans="1:63" x14ac:dyDescent="0.15">
      <c r="A13" s="35" t="s">
        <v>505</v>
      </c>
      <c r="B13" s="36" t="s">
        <v>541</v>
      </c>
      <c r="C13" s="4">
        <f>_xlfn.LET(_xlpm.x,1,_xlpm.y,E10,_xlpm.z,L11,232+_xlpm.x+_xlpm.y)</f>
        <v>235.3</v>
      </c>
      <c r="E13" s="4" cm="1">
        <f t="array" ref="E13">_xlfn.LAMBDA(D3+C3)()</f>
        <v>1</v>
      </c>
      <c r="H13" s="6"/>
      <c r="I13" s="16"/>
      <c r="J13" s="6"/>
      <c r="K13" s="6"/>
      <c r="L13" s="6"/>
      <c r="M13" s="7"/>
      <c r="N13" s="7"/>
      <c r="O13" s="7"/>
      <c r="P13" s="7"/>
      <c r="Q13" s="7"/>
    </row>
    <row r="14" spans="1:63" x14ac:dyDescent="0.15">
      <c r="A14" s="99" t="s">
        <v>524</v>
      </c>
      <c r="B14" s="100" t="s">
        <v>541</v>
      </c>
      <c r="C14" s="4">
        <v>0</v>
      </c>
      <c r="D14" s="4">
        <v>2</v>
      </c>
      <c r="E14" s="4">
        <v>2.2999999999999998</v>
      </c>
      <c r="F14" s="4">
        <v>3</v>
      </c>
      <c r="G14" s="4">
        <v>-1</v>
      </c>
      <c r="H14" s="6"/>
      <c r="I14" s="16" t="s">
        <v>414</v>
      </c>
      <c r="J14" s="6" t="b">
        <v>1</v>
      </c>
      <c r="K14" s="6" t="e">
        <f>#VALUE!</f>
        <v>#VALUE!</v>
      </c>
      <c r="L14" s="6" t="e">
        <v>#N/A</v>
      </c>
      <c r="M14" s="7" t="e">
        <v>#DIV/0!</v>
      </c>
      <c r="N14" s="7" t="e">
        <v>#NAME?</v>
      </c>
      <c r="O14" s="7" t="e">
        <v>#NULL!</v>
      </c>
      <c r="P14" s="7" t="e">
        <v>#NUM!</v>
      </c>
      <c r="Q14" s="7" t="e">
        <v>#REF!</v>
      </c>
      <c r="R14" s="4" t="e" cm="1">
        <f t="array" ref="R14:AF14">_xlfn.MAKEARRAY(C14:Q14,1,_xlfn.LAMBDA(_xlpm.x,_xlpm.y,_xlpm.x+1+_xlpm.y))</f>
        <v>#VALUE!</v>
      </c>
      <c r="S14" s="4">
        <v>3</v>
      </c>
      <c r="T14" s="4" t="e">
        <v>#VALUE!</v>
      </c>
      <c r="U14" s="4">
        <v>3</v>
      </c>
      <c r="V14" s="4" t="e">
        <v>#VALUE!</v>
      </c>
      <c r="W14" s="4" t="e">
        <v>#VALUE!</v>
      </c>
      <c r="X14" s="4" t="e">
        <v>#VALUE!</v>
      </c>
      <c r="Y14" s="4">
        <v>3</v>
      </c>
      <c r="Z14" s="4" t="e">
        <v>#VALUE!</v>
      </c>
      <c r="AA14" s="4" t="e">
        <v>#N/A</v>
      </c>
      <c r="AB14" s="4" t="e">
        <v>#DIV/0!</v>
      </c>
      <c r="AC14" s="4" t="e">
        <v>#NAME?</v>
      </c>
      <c r="AD14" s="4" t="e">
        <v>#NULL!</v>
      </c>
      <c r="AE14" s="4" t="e">
        <v>#NUM!</v>
      </c>
      <c r="AF14" s="4" t="e">
        <v>#REF!</v>
      </c>
    </row>
    <row r="15" spans="1:63" x14ac:dyDescent="0.15">
      <c r="A15" s="99"/>
      <c r="B15" s="100"/>
      <c r="C15" s="4">
        <v>5</v>
      </c>
      <c r="H15" s="6"/>
      <c r="I15" s="16"/>
      <c r="J15" s="6"/>
      <c r="K15" s="6"/>
      <c r="L15" s="6"/>
      <c r="M15" s="7"/>
      <c r="N15" s="7"/>
      <c r="O15" s="7"/>
      <c r="P15" s="7"/>
      <c r="Q15" s="7"/>
      <c r="R15" s="4" t="e" cm="1">
        <f t="array" ref="R15">_xlfn.MAKEARRAY(C14,1,_xlfn.LAMBDA(_xlpm.x,_xlpm.y,_xlpm.x+1+_xlpm.y))</f>
        <v>#VALUE!</v>
      </c>
      <c r="S15" s="4" cm="1">
        <f t="array" ref="S15:S16">_xlfn.MAKEARRAY(D14,1,_xlfn.LAMBDA(_xlpm.x,_xlpm.y,_xlpm.x+1+_xlpm.y))</f>
        <v>3</v>
      </c>
      <c r="T15" s="4" t="e" cm="1">
        <f t="array" ref="T15">_xlfn.MAKEARRAY(E14,"1",_xlfn.LAMBDA(_xlpm.x,_xlpm.y,_xlpm.x+1+_xlpm.y))</f>
        <v>#VALUE!</v>
      </c>
      <c r="U15" s="4" cm="1">
        <f t="array" ref="U15:U17">_xlfn.MAKEARRAY(F14,1,_xlfn.LAMBDA(_xlpm.x,_xlpm.y,_xlpm.x+1+_xlpm.y))</f>
        <v>3</v>
      </c>
      <c r="V15" s="4" t="e" cm="1">
        <f t="array" ref="V15">_xlfn.MAKEARRAY(G14,1,_xlfn.LAMBDA(_xlpm.x,_xlpm.y,_xlpm.x+1+_xlpm.y))</f>
        <v>#VALUE!</v>
      </c>
      <c r="W15" s="4" t="e" cm="1">
        <f t="array" ref="W15">_xlfn.MAKEARRAY(H14,1,_xlfn.LAMBDA(_xlpm.x,_xlpm.y,_xlpm.x+1+_xlpm.y))</f>
        <v>#VALUE!</v>
      </c>
      <c r="X15" s="4" t="e" cm="1">
        <f t="array" ref="X15">_xlfn.MAKEARRAY(I14,1,_xlfn.LAMBDA(_xlpm.x,_xlpm.y,_xlpm.x+1+_xlpm.y))</f>
        <v>#VALUE!</v>
      </c>
      <c r="Y15" s="4" cm="1">
        <f t="array" ref="Y15">_xlfn.MAKEARRAY(J14,1,_xlfn.LAMBDA(_xlpm.x,_xlpm.y,_xlpm.x+1+_xlpm.y))</f>
        <v>3</v>
      </c>
      <c r="Z15" s="4" t="e" cm="1">
        <f t="array" ref="Z15">_xlfn.MAKEARRAY(K14,1,_xlfn.LAMBDA(_xlpm.x,_xlpm.y,_xlpm.x+1+_xlpm.y))</f>
        <v>#VALUE!</v>
      </c>
      <c r="AA15" s="4" t="e" cm="1">
        <f t="array" ref="AA15">_xlfn.MAKEARRAY(L14,1,_xlfn.LAMBDA(_xlpm.x,_xlpm.y,_xlpm.x+1+_xlpm.y))</f>
        <v>#N/A</v>
      </c>
      <c r="AB15" s="4" t="e" cm="1">
        <f t="array" ref="AB15">_xlfn.MAKEARRAY(M14,1,_xlfn.LAMBDA(_xlpm.x,_xlpm.y,_xlpm.x+1+_xlpm.y))</f>
        <v>#DIV/0!</v>
      </c>
      <c r="AC15" s="4" t="e" cm="1">
        <f t="array" ref="AC15">_xlfn.MAKEARRAY(N14,1,_xlfn.LAMBDA(_xlpm.x,_xlpm.y,_xlpm.x+1+_xlpm.y))</f>
        <v>#NAME?</v>
      </c>
      <c r="AD15" s="4" t="e" cm="1">
        <f t="array" ref="AD15">_xlfn.MAKEARRAY(O14,1,_xlfn.LAMBDA(_xlpm.x,_xlpm.y,_xlpm.x+1+_xlpm.y))</f>
        <v>#NULL!</v>
      </c>
      <c r="AE15" s="4" t="e" cm="1">
        <f t="array" ref="AE15">_xlfn.MAKEARRAY(P14,1,_xlfn.LAMBDA(_xlpm.x,_xlpm.y,_xlpm.x+1+_xlpm.y))</f>
        <v>#NUM!</v>
      </c>
      <c r="AF15" s="4" t="e" cm="1">
        <f t="array" ref="AF15">_xlfn.MAKEARRAY(Q14,1,_xlfn.LAMBDA(_xlpm.x,_xlpm.y,_xlpm.x+1+_xlpm.y))</f>
        <v>#REF!</v>
      </c>
    </row>
    <row r="16" spans="1:63" x14ac:dyDescent="0.15">
      <c r="A16" s="99"/>
      <c r="B16" s="100"/>
      <c r="H16" s="6"/>
      <c r="I16" s="16"/>
      <c r="J16" s="6"/>
      <c r="K16" s="6"/>
      <c r="L16" s="6"/>
      <c r="M16" s="7"/>
      <c r="N16" s="7"/>
      <c r="O16" s="7"/>
      <c r="P16" s="7"/>
      <c r="Q16" s="7"/>
      <c r="S16" s="4">
        <v>4</v>
      </c>
      <c r="U16" s="4">
        <v>4</v>
      </c>
    </row>
    <row r="17" spans="1:49" x14ac:dyDescent="0.15">
      <c r="A17" s="99"/>
      <c r="B17" s="100"/>
      <c r="H17" s="6"/>
      <c r="I17" s="16"/>
      <c r="J17" s="6"/>
      <c r="K17" s="6"/>
      <c r="L17" s="6"/>
      <c r="M17" s="7"/>
      <c r="N17" s="7"/>
      <c r="O17" s="7"/>
      <c r="P17" s="7"/>
      <c r="Q17" s="7"/>
      <c r="U17" s="4">
        <v>5</v>
      </c>
    </row>
    <row r="18" spans="1:49" x14ac:dyDescent="0.15">
      <c r="A18" s="99" t="s">
        <v>525</v>
      </c>
      <c r="B18" s="100" t="s">
        <v>541</v>
      </c>
      <c r="C18" s="4">
        <v>1</v>
      </c>
      <c r="D18" s="4">
        <v>2</v>
      </c>
      <c r="E18" s="4">
        <v>3</v>
      </c>
      <c r="F18" s="4">
        <v>0</v>
      </c>
      <c r="G18" s="4">
        <v>-1</v>
      </c>
      <c r="H18" s="6"/>
      <c r="I18" s="6" t="s">
        <v>32</v>
      </c>
      <c r="J18" s="6" t="b">
        <v>1</v>
      </c>
      <c r="K18" s="6" t="e">
        <f>#VALUE!</f>
        <v>#VALUE!</v>
      </c>
      <c r="L18" s="6" t="e">
        <v>#N/A</v>
      </c>
      <c r="M18" s="7" t="e">
        <v>#DIV/0!</v>
      </c>
      <c r="N18" s="7" t="e">
        <v>#NAME?</v>
      </c>
      <c r="O18" s="7" t="e">
        <v>#NULL!</v>
      </c>
      <c r="P18" s="7" t="e">
        <v>#NUM!</v>
      </c>
      <c r="Q18" s="7" t="e">
        <v>#REF!</v>
      </c>
      <c r="R18" s="4" cm="1">
        <f t="array" ref="R18:T19">_xlfn.MAP(C18:E19, _xlfn.LAMBDA(_xlpm.a,_xlpm.a^2))</f>
        <v>1</v>
      </c>
      <c r="S18" s="4">
        <v>4</v>
      </c>
      <c r="T18" s="4">
        <v>9</v>
      </c>
      <c r="U18" s="4" cm="1">
        <f t="array" ref="U18:U19">_xlfn.MAP( C18:C19, _xlfn.LAMBDA(_xlpm.b,_xlpm.b^2))</f>
        <v>1</v>
      </c>
      <c r="V18" s="4" cm="1">
        <f t="array" ref="V18:V19">_xlfn.MAP( {1;3}, _xlfn.LAMBDA(_xlpm.b,_xlpm.b^2))</f>
        <v>1</v>
      </c>
      <c r="W18" s="4" t="e" cm="1" vm="25">
        <f t="array" ref="W18">_xlfn.MAP( {1,2;3,3}, _xlfn.LAMBDA(_xlpm.a,_xlpm.a+1), _xlfn.LAMBDA(_xlpm.b,_xlpm.b+3) )</f>
        <v>#VALUE!</v>
      </c>
      <c r="X18" s="4" cm="1">
        <f t="array" ref="X18:X19">_xlfn.SCAN(H18, {1;3}, _xlfn.LAMBDA(_xlpm.a,_xlpm.b,_xlpm.a+_xlpm.b^2))</f>
        <v>1</v>
      </c>
      <c r="Y18" s="4" t="e" cm="1" vm="26">
        <f t="array" ref="Y18:Y19">_xlfn.SCAN(I18, {1;3}, _xlfn.LAMBDA(_xlpm.a,_xlpm.b,_xlpm.a+_xlpm.b^2))</f>
        <v>#VALUE!</v>
      </c>
      <c r="Z18" s="4" cm="1">
        <f t="array" ref="Z18:Z19">_xlfn.SCAN(J18, {1;3}, _xlfn.LAMBDA(_xlpm.a,_xlpm.b,_xlpm.a+_xlpm.b^2))</f>
        <v>2</v>
      </c>
      <c r="AA18" s="4" t="e" cm="1">
        <f t="array" ref="AA18:AA19">_xlfn.SCAN(K18, {1;3}, _xlfn.LAMBDA(_xlpm.a,_xlpm.b,_xlpm.a+_xlpm.b^2))</f>
        <v>#VALUE!</v>
      </c>
      <c r="AB18" s="4" t="e" cm="1">
        <f t="array" ref="AB18:AB19">_xlfn.SCAN(L18, {1;3}, _xlfn.LAMBDA(_xlpm.a,_xlpm.b,_xlpm.a+_xlpm.b^2))</f>
        <v>#N/A</v>
      </c>
      <c r="AC18" s="4" t="e" cm="1">
        <f t="array" ref="AC18:AC19">_xlfn.SCAN(M18, {1;3}, _xlfn.LAMBDA(_xlpm.a,_xlpm.b,_xlpm.a+_xlpm.b^2))</f>
        <v>#DIV/0!</v>
      </c>
      <c r="AD18" s="4" t="e" cm="1">
        <f t="array" ref="AD18:AD19">_xlfn.SCAN(N18, {1;3}, _xlfn.LAMBDA(_xlpm.a,_xlpm.b,_xlpm.a+_xlpm.b^2))</f>
        <v>#NAME?</v>
      </c>
      <c r="AE18" s="4" t="e" cm="1">
        <f t="array" ref="AE18:AE19">_xlfn.SCAN(O18, {1;3}, _xlfn.LAMBDA(_xlpm.a,_xlpm.b,_xlpm.a+_xlpm.b^2))</f>
        <v>#NULL!</v>
      </c>
      <c r="AF18" s="4" t="e" cm="1">
        <f t="array" ref="AF18:AF19">_xlfn.SCAN(P18, {1;3}, _xlfn.LAMBDA(_xlpm.a,_xlpm.b,_xlpm.a+_xlpm.b^2))</f>
        <v>#NUM!</v>
      </c>
    </row>
    <row r="19" spans="1:49" x14ac:dyDescent="0.15">
      <c r="A19" s="99"/>
      <c r="B19" s="100"/>
      <c r="H19" s="6"/>
      <c r="I19" s="6"/>
      <c r="J19" s="6"/>
      <c r="K19" s="6"/>
      <c r="L19" s="6"/>
      <c r="M19" s="7"/>
      <c r="N19" s="7"/>
      <c r="O19" s="7"/>
      <c r="P19" s="7"/>
      <c r="Q19" s="7"/>
      <c r="R19" s="4">
        <v>0</v>
      </c>
      <c r="S19" s="4">
        <v>0</v>
      </c>
      <c r="T19" s="4">
        <v>0</v>
      </c>
      <c r="U19" s="4">
        <v>0</v>
      </c>
      <c r="V19" s="4">
        <v>9</v>
      </c>
      <c r="X19" s="4">
        <v>10</v>
      </c>
      <c r="Y19" s="4" t="e" vm="26">
        <v>#VALUE!</v>
      </c>
      <c r="Z19" s="4">
        <v>11</v>
      </c>
      <c r="AA19" s="4" t="e">
        <v>#VALUE!</v>
      </c>
      <c r="AB19" s="4" t="e">
        <v>#N/A</v>
      </c>
      <c r="AC19" s="4" t="e">
        <v>#DIV/0!</v>
      </c>
      <c r="AD19" s="4" t="e">
        <v>#NAME?</v>
      </c>
      <c r="AE19" s="4" t="e">
        <v>#NULL!</v>
      </c>
      <c r="AF19" s="4" t="e">
        <v>#NUM!</v>
      </c>
    </row>
    <row r="20" spans="1:49" x14ac:dyDescent="0.15">
      <c r="A20" s="35" t="s">
        <v>595</v>
      </c>
      <c r="B20" s="36" t="s">
        <v>541</v>
      </c>
      <c r="C20" s="4">
        <v>0</v>
      </c>
      <c r="D20" s="4">
        <v>1</v>
      </c>
      <c r="E20" s="4">
        <v>2.2999999999999998</v>
      </c>
      <c r="F20" s="4">
        <v>0</v>
      </c>
      <c r="G20" s="4">
        <v>-1</v>
      </c>
      <c r="H20" s="6"/>
      <c r="I20" s="16" t="s">
        <v>414</v>
      </c>
      <c r="J20" s="6" t="b">
        <v>1</v>
      </c>
      <c r="K20" s="6" t="e">
        <f>#VALUE!</f>
        <v>#VALUE!</v>
      </c>
      <c r="L20" s="6" t="e">
        <v>#N/A</v>
      </c>
      <c r="M20" s="7" t="e">
        <v>#DIV/0!</v>
      </c>
      <c r="N20" s="7" t="e">
        <v>#NAME?</v>
      </c>
      <c r="O20" s="7" t="e">
        <v>#NULL!</v>
      </c>
      <c r="P20" s="7" t="e">
        <v>#NUM!</v>
      </c>
      <c r="Q20" s="7" t="e">
        <v>#REF!</v>
      </c>
      <c r="R20" s="4" t="b">
        <f t="shared" ref="R20:AF20" si="4">NOT(C20)</f>
        <v>1</v>
      </c>
      <c r="S20" s="4" t="b">
        <f t="shared" si="4"/>
        <v>0</v>
      </c>
      <c r="T20" s="4" t="b">
        <f t="shared" si="4"/>
        <v>0</v>
      </c>
      <c r="U20" s="4" t="b">
        <f t="shared" si="4"/>
        <v>1</v>
      </c>
      <c r="V20" s="4" t="b">
        <f t="shared" si="4"/>
        <v>0</v>
      </c>
      <c r="W20" s="4" t="b">
        <f t="shared" si="4"/>
        <v>1</v>
      </c>
      <c r="X20" s="4" t="e" vm="27">
        <f t="shared" si="4"/>
        <v>#VALUE!</v>
      </c>
      <c r="Y20" s="4" t="b">
        <f t="shared" si="4"/>
        <v>0</v>
      </c>
      <c r="Z20" s="4" t="e">
        <f t="shared" si="4"/>
        <v>#VALUE!</v>
      </c>
      <c r="AA20" s="4" t="e">
        <f t="shared" si="4"/>
        <v>#N/A</v>
      </c>
      <c r="AB20" s="4" t="e">
        <f t="shared" si="4"/>
        <v>#DIV/0!</v>
      </c>
      <c r="AC20" s="4" t="e">
        <f t="shared" si="4"/>
        <v>#NAME?</v>
      </c>
      <c r="AD20" s="4" t="e">
        <f t="shared" si="4"/>
        <v>#NULL!</v>
      </c>
      <c r="AE20" s="4" t="e">
        <f t="shared" si="4"/>
        <v>#NUM!</v>
      </c>
      <c r="AF20" s="4" t="e">
        <f t="shared" si="4"/>
        <v>#REF!</v>
      </c>
      <c r="AG20" s="4" t="b">
        <f t="array" ref="AG20">NOT(C20:G20)</f>
        <v>1</v>
      </c>
      <c r="AH20" s="4" t="b">
        <f t="array" ref="AH20:AW20">NOT(C20:Q20)</f>
        <v>1</v>
      </c>
      <c r="AI20" s="4" t="b">
        <v>0</v>
      </c>
      <c r="AJ20" s="4" t="b">
        <v>0</v>
      </c>
      <c r="AK20" s="4" t="b">
        <v>1</v>
      </c>
      <c r="AL20" s="4" t="b">
        <v>0</v>
      </c>
      <c r="AM20" s="4" t="b">
        <v>1</v>
      </c>
      <c r="AN20" s="4" t="e" vm="27">
        <v>#VALUE!</v>
      </c>
      <c r="AO20" s="4" t="b">
        <v>0</v>
      </c>
      <c r="AP20" s="4" t="e">
        <v>#VALUE!</v>
      </c>
      <c r="AQ20" s="4" t="e">
        <v>#N/A</v>
      </c>
      <c r="AR20" s="4" t="e">
        <v>#DIV/0!</v>
      </c>
      <c r="AS20" s="4" t="e">
        <v>#NAME?</v>
      </c>
      <c r="AT20" s="4" t="e">
        <v>#NULL!</v>
      </c>
      <c r="AU20" s="4" t="e">
        <v>#NUM!</v>
      </c>
      <c r="AV20" s="4" t="e">
        <v>#REF!</v>
      </c>
      <c r="AW20" s="4" t="e">
        <v>#N/A</v>
      </c>
    </row>
    <row r="21" spans="1:49" x14ac:dyDescent="0.15">
      <c r="A21" s="35" t="s">
        <v>596</v>
      </c>
      <c r="B21" s="36" t="s">
        <v>541</v>
      </c>
      <c r="C21" s="4">
        <v>0</v>
      </c>
      <c r="D21" s="4">
        <v>1</v>
      </c>
      <c r="E21" s="4">
        <v>2.2999999999999998</v>
      </c>
      <c r="F21" s="4">
        <v>0</v>
      </c>
      <c r="G21" s="4">
        <v>-1</v>
      </c>
      <c r="H21" s="6"/>
      <c r="I21" s="6" t="s">
        <v>32</v>
      </c>
      <c r="J21" s="6" t="b">
        <v>1</v>
      </c>
      <c r="K21" s="6" t="e">
        <f>#VALUE!</f>
        <v>#VALUE!</v>
      </c>
      <c r="L21" s="6" t="e">
        <v>#N/A</v>
      </c>
      <c r="M21" s="7" t="e">
        <v>#DIV/0!</v>
      </c>
      <c r="N21" s="7" t="e">
        <v>#NAME?</v>
      </c>
      <c r="O21" s="7" t="e">
        <v>#NULL!</v>
      </c>
      <c r="P21" s="7" t="e">
        <v>#NUM!</v>
      </c>
      <c r="Q21" s="7" t="e">
        <v>#REF!</v>
      </c>
      <c r="R21" s="4" t="b">
        <f t="shared" ref="R21:AF21" si="5">OR(C21,FALSE)</f>
        <v>0</v>
      </c>
      <c r="S21" s="4" t="b">
        <f t="shared" si="5"/>
        <v>1</v>
      </c>
      <c r="T21" s="4" t="b">
        <f t="shared" si="5"/>
        <v>1</v>
      </c>
      <c r="U21" s="4" t="b">
        <f t="shared" si="5"/>
        <v>0</v>
      </c>
      <c r="V21" s="4" t="b">
        <f t="shared" si="5"/>
        <v>1</v>
      </c>
      <c r="W21" s="4" t="b">
        <f t="shared" si="5"/>
        <v>0</v>
      </c>
      <c r="X21" s="4" t="b">
        <f t="shared" si="5"/>
        <v>0</v>
      </c>
      <c r="Y21" s="4" t="b">
        <f t="shared" si="5"/>
        <v>1</v>
      </c>
      <c r="Z21" s="4" t="e">
        <f t="shared" si="5"/>
        <v>#VALUE!</v>
      </c>
      <c r="AA21" s="4" t="e">
        <f t="shared" si="5"/>
        <v>#N/A</v>
      </c>
      <c r="AB21" s="4" t="e">
        <f t="shared" si="5"/>
        <v>#DIV/0!</v>
      </c>
      <c r="AC21" s="4" t="e">
        <f t="shared" si="5"/>
        <v>#NAME?</v>
      </c>
      <c r="AD21" s="4" t="e">
        <f t="shared" si="5"/>
        <v>#NULL!</v>
      </c>
      <c r="AE21" s="4" t="e">
        <f t="shared" si="5"/>
        <v>#NUM!</v>
      </c>
      <c r="AF21" s="4" t="e">
        <f t="shared" si="5"/>
        <v>#REF!</v>
      </c>
      <c r="AG21" s="4" t="b">
        <f>OR(C21:D21,C21)</f>
        <v>1</v>
      </c>
      <c r="AH21" s="4" t="e">
        <f t="array" ref="AH21:AI21">OR(FALSE,C21:Q21)</f>
        <v>#VALUE!</v>
      </c>
      <c r="AI21" s="4" t="e">
        <v>#VALUE!</v>
      </c>
      <c r="AJ21" s="4" t="e">
        <f t="array" ref="AJ21:AK21">OR(C21:P21,D21:Q21)</f>
        <v>#VALUE!</v>
      </c>
      <c r="AK21" s="4" t="e">
        <v>#VALUE!</v>
      </c>
      <c r="AL21" s="4" t="b">
        <f t="array" ref="AL21:AN21">OR(C21:D21,C21)</f>
        <v>1</v>
      </c>
      <c r="AM21" s="4" t="b">
        <v>1</v>
      </c>
      <c r="AN21" s="4" t="b">
        <v>1</v>
      </c>
      <c r="AO21" s="4" t="b">
        <f>OR(F21,C21)</f>
        <v>0</v>
      </c>
      <c r="AP21" s="4" t="e">
        <f>OR(TRUE,"0",#REF!)</f>
        <v>#REF!</v>
      </c>
      <c r="AQ21" s="4" t="e">
        <f>OR(TRUE,#REF!,"0")</f>
        <v>#REF!</v>
      </c>
      <c r="AR21" s="4" t="e">
        <f>OR(H21:I21)</f>
        <v>#VALUE!</v>
      </c>
    </row>
    <row r="22" spans="1:49" x14ac:dyDescent="0.15">
      <c r="A22" s="35" t="s">
        <v>526</v>
      </c>
      <c r="B22" s="36" t="s">
        <v>541</v>
      </c>
      <c r="C22" s="4">
        <v>1</v>
      </c>
      <c r="D22" s="4">
        <v>2</v>
      </c>
      <c r="E22" s="4">
        <v>3</v>
      </c>
      <c r="F22" s="4">
        <v>0</v>
      </c>
      <c r="G22" s="4">
        <v>-1</v>
      </c>
      <c r="H22" s="6"/>
      <c r="I22" s="6" t="s">
        <v>32</v>
      </c>
      <c r="J22" s="6" t="b">
        <v>1</v>
      </c>
      <c r="K22" s="6" t="e">
        <f>#VALUE!</f>
        <v>#VALUE!</v>
      </c>
      <c r="L22" s="6" t="e">
        <v>#N/A</v>
      </c>
      <c r="M22" s="7" t="e">
        <v>#DIV/0!</v>
      </c>
      <c r="N22" s="7" t="e">
        <v>#NAME?</v>
      </c>
      <c r="O22" s="7" t="e">
        <v>#NULL!</v>
      </c>
      <c r="P22" s="7" t="e">
        <v>#NUM!</v>
      </c>
      <c r="Q22" s="7" t="e">
        <v>#REF!</v>
      </c>
      <c r="R22" s="4" cm="1">
        <f t="array" ref="R22">_xlfn.REDUCE(, C20:E21, _xlfn.LAMBDA(_xlpm.a,_xlpm.b,_xlpm.a+_xlpm.b^2))</f>
        <v>12.579999999999998</v>
      </c>
      <c r="S22" s="4" cm="1">
        <f t="array" ref="S22:U22">_xlfn.REDUCE(C22:E22, {1,2,3}, _xlfn.LAMBDA(_xlpm.a,_xlpm.b,_xlpm.a+_xlpm.b^2))</f>
        <v>15</v>
      </c>
      <c r="T22" s="4">
        <v>16</v>
      </c>
      <c r="U22" s="4">
        <v>17</v>
      </c>
      <c r="V22" s="4" cm="1">
        <f t="array" ref="V22">_xlfn.REDUCE(F22, {1,2,3}, _xlfn.LAMBDA(_xlpm.a,_xlpm.b,_xlpm.a+_xlpm.b^2))</f>
        <v>14</v>
      </c>
      <c r="W22" s="4" cm="1">
        <f t="array" ref="W22">_xlfn.REDUCE(G22, {1,2,3}, _xlfn.LAMBDA(_xlpm.a,_xlpm.b,_xlpm.a+_xlpm.b^2))</f>
        <v>13</v>
      </c>
      <c r="X22" s="4" cm="1">
        <f t="array" ref="X22">_xlfn.REDUCE(H22, {1,2,3}, _xlfn.LAMBDA(_xlpm.a,_xlpm.b,_xlpm.a+_xlpm.b^2))</f>
        <v>14</v>
      </c>
      <c r="Y22" s="4" t="e" cm="1" vm="26">
        <f t="array" ref="Y22">_xlfn.REDUCE(I22, {1,2,3}, _xlfn.LAMBDA(_xlpm.a,_xlpm.b,_xlpm.a+_xlpm.b^2))</f>
        <v>#VALUE!</v>
      </c>
      <c r="Z22" s="4" cm="1">
        <f t="array" ref="Z22">_xlfn.REDUCE(J22, {1,2,3}, _xlfn.LAMBDA(_xlpm.a,_xlpm.b,_xlpm.a+_xlpm.b^2))</f>
        <v>15</v>
      </c>
      <c r="AA22" s="4" t="e" cm="1">
        <f t="array" ref="AA22">_xlfn.REDUCE(K22, {1,2,3}, _xlfn.LAMBDA(_xlpm.a,_xlpm.b,_xlpm.a+_xlpm.b^2))</f>
        <v>#VALUE!</v>
      </c>
      <c r="AB22" s="4" t="e" cm="1">
        <f t="array" ref="AB22">_xlfn.REDUCE(L22, {1,2,3}, _xlfn.LAMBDA(_xlpm.a,_xlpm.b,_xlpm.a+_xlpm.b^2))</f>
        <v>#N/A</v>
      </c>
      <c r="AC22" s="4" t="e" cm="1">
        <f t="array" ref="AC22">_xlfn.REDUCE(M22, {1,2,3}, _xlfn.LAMBDA(_xlpm.a,_xlpm.b,_xlpm.a+_xlpm.b^2))</f>
        <v>#DIV/0!</v>
      </c>
      <c r="AD22" s="4" t="e" cm="1">
        <f t="array" ref="AD22">_xlfn.REDUCE(N22, {1,2,3}, _xlfn.LAMBDA(_xlpm.a,_xlpm.b,_xlpm.a+_xlpm.b^2))</f>
        <v>#NAME?</v>
      </c>
      <c r="AE22" s="4" t="e" cm="1">
        <f t="array" ref="AE22">_xlfn.REDUCE(O22, {1,2,3}, _xlfn.LAMBDA(_xlpm.a,_xlpm.b,_xlpm.a+_xlpm.b^2))</f>
        <v>#NULL!</v>
      </c>
      <c r="AF22" s="4" t="e" cm="1">
        <f t="array" ref="AF22">_xlfn.REDUCE(P22, {1,2,3}, _xlfn.LAMBDA(_xlpm.a,_xlpm.b,_xlpm.a+_xlpm.b^2))</f>
        <v>#NUM!</v>
      </c>
    </row>
    <row r="23" spans="1:49" x14ac:dyDescent="0.15">
      <c r="A23" s="99" t="s">
        <v>527</v>
      </c>
      <c r="B23" s="100" t="s">
        <v>541</v>
      </c>
      <c r="C23" s="4">
        <v>1</v>
      </c>
      <c r="D23" s="4">
        <v>2</v>
      </c>
      <c r="E23" s="4">
        <v>3</v>
      </c>
      <c r="F23" s="4">
        <v>0</v>
      </c>
      <c r="G23" s="4">
        <v>-1</v>
      </c>
      <c r="H23" s="6"/>
      <c r="I23" s="6" t="s">
        <v>32</v>
      </c>
      <c r="J23" s="6" t="b">
        <v>1</v>
      </c>
      <c r="K23" s="6" t="e">
        <f>#VALUE!</f>
        <v>#VALUE!</v>
      </c>
      <c r="L23" s="6" t="e">
        <v>#N/A</v>
      </c>
      <c r="M23" s="7" t="e">
        <v>#DIV/0!</v>
      </c>
      <c r="N23" s="7" t="e">
        <v>#NAME?</v>
      </c>
      <c r="O23" s="7" t="e">
        <v>#NULL!</v>
      </c>
      <c r="P23" s="7" t="e">
        <v>#NUM!</v>
      </c>
      <c r="Q23" s="7" t="e">
        <v>#REF!</v>
      </c>
      <c r="R23" s="4" cm="1">
        <f t="array" ref="R23:T24">_xlfn.SCAN(2, C21:E22, _xlfn.LAMBDA(_xlpm.a,_xlpm.b,_xlpm.a+_xlpm.b^2))</f>
        <v>2</v>
      </c>
      <c r="S23" s="4">
        <v>3</v>
      </c>
      <c r="T23" s="4">
        <v>8.2899999999999991</v>
      </c>
      <c r="U23" s="4" cm="1">
        <f t="array" ref="U23:U24">_xlfn.SCAN(C23:E23, C21:C22, _xlfn.LAMBDA(_xlpm.a,_xlpm.b,SUM(_xlpm.a)+_xlpm.b^2))</f>
        <v>6</v>
      </c>
      <c r="V23" s="4" cm="1">
        <f t="array" ref="V23:V24">_xlfn.SCAN(F23, {1;3}, _xlfn.LAMBDA(_xlpm.a,_xlpm.b,_xlpm.a+_xlpm.b^2))</f>
        <v>1</v>
      </c>
      <c r="W23" s="4" cm="1">
        <f t="array" ref="W23:W24">_xlfn.SCAN(G23, {1;3}, _xlfn.LAMBDA(_xlpm.a,_xlpm.b,_xlpm.a+_xlpm.b^2))</f>
        <v>0</v>
      </c>
      <c r="X23" s="4" cm="1">
        <f t="array" ref="X23:X24">_xlfn.SCAN(H23, {1;3}, _xlfn.LAMBDA(_xlpm.a,_xlpm.b,_xlpm.a+_xlpm.b^2))</f>
        <v>1</v>
      </c>
      <c r="Y23" s="4" t="e" cm="1" vm="26">
        <f t="array" ref="Y23:Y24">_xlfn.SCAN(I23, {1;3}, _xlfn.LAMBDA(_xlpm.a,_xlpm.b,_xlpm.a+_xlpm.b^2))</f>
        <v>#VALUE!</v>
      </c>
      <c r="Z23" s="4" cm="1">
        <f t="array" ref="Z23:Z24">_xlfn.SCAN(J23, {1;3}, _xlfn.LAMBDA(_xlpm.a,_xlpm.b,_xlpm.a+_xlpm.b^2))</f>
        <v>2</v>
      </c>
      <c r="AA23" s="4" t="e" cm="1">
        <f t="array" ref="AA23:AA24">_xlfn.SCAN(K23, {1;3}, _xlfn.LAMBDA(_xlpm.a,_xlpm.b,_xlpm.a+_xlpm.b^2))</f>
        <v>#VALUE!</v>
      </c>
      <c r="AB23" s="4" t="e" cm="1">
        <f t="array" ref="AB23:AB24">_xlfn.SCAN(L23, {1;3}, _xlfn.LAMBDA(_xlpm.a,_xlpm.b,_xlpm.a+_xlpm.b^2))</f>
        <v>#N/A</v>
      </c>
      <c r="AC23" s="4" t="e" cm="1">
        <f t="array" ref="AC23:AC24">_xlfn.SCAN(M23, {1;3}, _xlfn.LAMBDA(_xlpm.a,_xlpm.b,_xlpm.a+_xlpm.b^2))</f>
        <v>#DIV/0!</v>
      </c>
      <c r="AD23" s="4" t="e" cm="1">
        <f t="array" ref="AD23:AD24">_xlfn.SCAN(N23, {1;3}, _xlfn.LAMBDA(_xlpm.a,_xlpm.b,_xlpm.a+_xlpm.b^2))</f>
        <v>#NAME?</v>
      </c>
      <c r="AE23" s="4" t="e" cm="1">
        <f t="array" ref="AE23:AE24">_xlfn.SCAN(O23, {1;3}, _xlfn.LAMBDA(_xlpm.a,_xlpm.b,_xlpm.a+_xlpm.b^2))</f>
        <v>#NULL!</v>
      </c>
      <c r="AF23" s="4" t="e" cm="1">
        <f t="array" ref="AF23:AF24">_xlfn.SCAN(P23, {1;3}, _xlfn.LAMBDA(_xlpm.a,_xlpm.b,_xlpm.a+_xlpm.b^2))</f>
        <v>#NUM!</v>
      </c>
    </row>
    <row r="24" spans="1:49" x14ac:dyDescent="0.15">
      <c r="A24" s="99"/>
      <c r="B24" s="100"/>
      <c r="H24" s="6"/>
      <c r="I24" s="6"/>
      <c r="J24" s="6"/>
      <c r="K24" s="6"/>
      <c r="L24" s="6"/>
      <c r="M24" s="7"/>
      <c r="N24" s="7"/>
      <c r="O24" s="7"/>
      <c r="P24" s="7"/>
      <c r="Q24" s="7"/>
      <c r="R24" s="4">
        <v>9.2899999999999991</v>
      </c>
      <c r="S24" s="4">
        <v>13.29</v>
      </c>
      <c r="T24" s="4">
        <v>22.29</v>
      </c>
      <c r="U24" s="4">
        <v>7</v>
      </c>
      <c r="V24" s="4">
        <v>10</v>
      </c>
      <c r="W24" s="4">
        <v>9</v>
      </c>
      <c r="X24" s="4">
        <v>10</v>
      </c>
      <c r="Y24" s="4" t="e" vm="26">
        <v>#VALUE!</v>
      </c>
      <c r="Z24" s="4">
        <v>11</v>
      </c>
      <c r="AA24" s="4" t="e">
        <v>#VALUE!</v>
      </c>
      <c r="AB24" s="4" t="e">
        <v>#N/A</v>
      </c>
      <c r="AC24" s="4" t="e">
        <v>#DIV/0!</v>
      </c>
      <c r="AD24" s="4" t="e">
        <v>#NAME?</v>
      </c>
      <c r="AE24" s="4" t="e">
        <v>#NULL!</v>
      </c>
      <c r="AF24" s="4" t="e">
        <v>#NUM!</v>
      </c>
    </row>
    <row r="25" spans="1:49" x14ac:dyDescent="0.15">
      <c r="A25" s="35" t="s">
        <v>598</v>
      </c>
      <c r="B25" s="36" t="s">
        <v>541</v>
      </c>
      <c r="C25" s="4">
        <v>0</v>
      </c>
      <c r="D25" s="4">
        <v>2</v>
      </c>
      <c r="E25" s="4">
        <v>2.2999999999999998</v>
      </c>
      <c r="F25" s="4">
        <v>10</v>
      </c>
      <c r="G25" s="4">
        <v>-1</v>
      </c>
      <c r="H25" s="6"/>
      <c r="I25" s="6" t="s">
        <v>32</v>
      </c>
      <c r="J25" s="6" t="b">
        <v>1</v>
      </c>
      <c r="K25" s="6" t="e">
        <f>#VALUE!</f>
        <v>#VALUE!</v>
      </c>
      <c r="L25" s="6" t="e">
        <v>#N/A</v>
      </c>
      <c r="M25" s="7" t="e">
        <v>#DIV/0!</v>
      </c>
      <c r="N25" s="7" t="e">
        <v>#NAME?</v>
      </c>
      <c r="O25" s="7" t="e">
        <v>#NULL!</v>
      </c>
      <c r="P25" s="7" t="e">
        <v>#NUM!</v>
      </c>
      <c r="Q25" s="7" t="e">
        <v>#REF!</v>
      </c>
      <c r="R25" s="4" cm="1">
        <f t="array" ref="R25">_xlfn.SWITCH(C25,2,0,1,3,TRUE,2,1,1,-1,6,2.3,5,,3,"ciao",99,7)</f>
        <v>3</v>
      </c>
      <c r="S25" s="4" cm="1">
        <f t="array" ref="S25">_xlfn.SWITCH(D25,2,0,1,3,TRUE,2,1,1,-1,6,2.3,5,,3,"ciao",99,7)</f>
        <v>0</v>
      </c>
      <c r="T25" s="4" cm="1">
        <f t="array" ref="T25">_xlfn.SWITCH(E25,2,0,1,3,TRUE,2,1,1,-1,6,2.3,5,,3,"ciao",99,7)</f>
        <v>5</v>
      </c>
      <c r="U25" s="4" cm="1">
        <f t="array" ref="U25">_xlfn.SWITCH(F25,2,0,1,3,TRUE,2,1,1,-1,6,2.3,5,,3,"ciao",99,7)</f>
        <v>7</v>
      </c>
      <c r="V25" s="4" cm="1">
        <f t="array" ref="V25">_xlfn.SWITCH(G25,2,0,1,3,TRUE,2,1,1,-1,6,2.3,5,,3,"ciao",99,7)</f>
        <v>6</v>
      </c>
      <c r="W25" s="4" cm="1">
        <f t="array" ref="W25">_xlfn.SWITCH(H25,2,0,1,3,TRUE,2,1,1,-1,6,2.3,5,,3,"ciao",99,7)</f>
        <v>3</v>
      </c>
      <c r="X25" s="4" cm="1">
        <f t="array" ref="X25">_xlfn.SWITCH(I25,2,0,1,3,TRUE,2,1,1,-1,6,2.3,5,,3,"ciao",99,7)</f>
        <v>99</v>
      </c>
      <c r="Y25" s="4" cm="1">
        <f t="array" ref="Y25">_xlfn.SWITCH(J25,2,0,1,3,TRUE,2,1,1,-1,6,2.3,5,,3,"ciao",99,7)</f>
        <v>2</v>
      </c>
      <c r="Z25" s="4" t="e" cm="1">
        <f t="array" ref="Z25">_xlfn.SWITCH(K25,2,0,1,3,TRUE,2,1,1,-1,6,2.3,5,,3,"ciao",99,7)</f>
        <v>#VALUE!</v>
      </c>
      <c r="AA25" s="4" t="e" cm="1">
        <f t="array" ref="AA25">_xlfn.SWITCH(L25,2,0,1,3,TRUE,2,1,1,-1,6,2.3,5,,3,"ciao",99,7)</f>
        <v>#N/A</v>
      </c>
      <c r="AB25" s="4" t="e" cm="1">
        <f t="array" ref="AB25">_xlfn.SWITCH(M25,2,0,1,3,TRUE,2,1,1,-1,6,2.3,5,,3,"ciao",99,7)</f>
        <v>#DIV/0!</v>
      </c>
      <c r="AC25" s="4" t="e" cm="1">
        <f t="array" ref="AC25">_xlfn.SWITCH(N25,2,0,1,3,TRUE,2,1,1,-1,6,2.3,5,,3,"ciao",99,7)</f>
        <v>#NAME?</v>
      </c>
      <c r="AD25" s="4" t="e" cm="1">
        <f t="array" ref="AD25">_xlfn.SWITCH(O25,2,0,1,3,TRUE,2,1,1,-1,6,2.3,5,,3,"ciao",99,7)</f>
        <v>#NULL!</v>
      </c>
      <c r="AE25" s="4" t="e" cm="1">
        <f t="array" ref="AE25">_xlfn.SWITCH(P25,2,0,1,3,TRUE,2,1,1,-1,6,2.3,5,,3,"ciao",99,7)</f>
        <v>#NUM!</v>
      </c>
      <c r="AF25" s="4" t="e" cm="1">
        <f t="array" ref="AF25">_xlfn.SWITCH(Q25,2,0,1,3,TRUE,2,1,1,-1,6,2.3,5,,3,"ciao",99,7)</f>
        <v>#REF!</v>
      </c>
      <c r="AG25" s="4">
        <f t="array" ref="AG25">_xlfn.SWITCH(C25:G25,2,0,1,3,TRUE,2,1,1,-1,6,2.3,5,,3,"ciao",99,7)</f>
        <v>3</v>
      </c>
      <c r="AH25" s="4">
        <f t="array" ref="AH25:AW25">_xlfn.SWITCH(C25:Q25,2,0,1,3,TRUE,2,1,1,-1,6,2.3,5,,3,"ciao",99,7)</f>
        <v>3</v>
      </c>
      <c r="AI25" s="4">
        <v>0</v>
      </c>
      <c r="AJ25" s="4">
        <v>5</v>
      </c>
      <c r="AK25" s="4">
        <v>7</v>
      </c>
      <c r="AL25" s="4">
        <v>6</v>
      </c>
      <c r="AM25" s="4">
        <v>3</v>
      </c>
      <c r="AN25" s="4">
        <v>99</v>
      </c>
      <c r="AO25" s="4">
        <v>2</v>
      </c>
      <c r="AP25" s="4" t="e">
        <v>#VALUE!</v>
      </c>
      <c r="AQ25" s="4" t="e">
        <v>#N/A</v>
      </c>
      <c r="AR25" s="4" t="e">
        <v>#DIV/0!</v>
      </c>
      <c r="AS25" s="4" t="e">
        <v>#NAME?</v>
      </c>
      <c r="AT25" s="4" t="e">
        <v>#NULL!</v>
      </c>
      <c r="AU25" s="4" t="e">
        <v>#NUM!</v>
      </c>
      <c r="AV25" s="4" t="e">
        <v>#REF!</v>
      </c>
      <c r="AW25" s="4" t="e">
        <v>#N/A</v>
      </c>
    </row>
    <row r="26" spans="1:49" x14ac:dyDescent="0.15">
      <c r="A26" s="47" t="s">
        <v>602</v>
      </c>
      <c r="B26" s="36" t="s">
        <v>541</v>
      </c>
      <c r="J26" s="6" t="b">
        <v>1</v>
      </c>
      <c r="W26" s="4" t="b">
        <f>TRUE()</f>
        <v>1</v>
      </c>
      <c r="AH26" s="4" t="b">
        <f t="array" ref="AH26:AO26">TRUE()</f>
        <v>1</v>
      </c>
      <c r="AI26" s="4" t="b">
        <v>1</v>
      </c>
      <c r="AJ26" s="4" t="b">
        <v>1</v>
      </c>
      <c r="AK26" s="4" t="b">
        <v>1</v>
      </c>
      <c r="AL26" s="4" t="b">
        <v>1</v>
      </c>
      <c r="AM26" s="4" t="b">
        <v>1</v>
      </c>
      <c r="AN26" s="4" t="b">
        <v>1</v>
      </c>
      <c r="AO26" s="4" t="b">
        <v>1</v>
      </c>
      <c r="AP26" s="4" t="b">
        <f t="array" ref="AP26:AW26">TRUE</f>
        <v>1</v>
      </c>
      <c r="AQ26" s="4" t="b">
        <v>1</v>
      </c>
      <c r="AR26" s="4" t="b">
        <v>1</v>
      </c>
      <c r="AS26" s="4" t="b">
        <v>1</v>
      </c>
      <c r="AT26" s="4" t="b">
        <v>1</v>
      </c>
      <c r="AU26" s="4" t="b">
        <v>1</v>
      </c>
      <c r="AV26" s="4" t="b">
        <v>1</v>
      </c>
      <c r="AW26" s="4" t="b">
        <v>1</v>
      </c>
    </row>
    <row r="27" spans="1:49" x14ac:dyDescent="0.15">
      <c r="A27" s="35" t="s">
        <v>600</v>
      </c>
      <c r="B27" s="36" t="s">
        <v>541</v>
      </c>
      <c r="C27" s="4">
        <v>0</v>
      </c>
      <c r="D27" s="4">
        <v>1</v>
      </c>
      <c r="E27" s="4">
        <v>2.2999999999999998</v>
      </c>
      <c r="F27" s="4">
        <v>0</v>
      </c>
      <c r="G27" s="4">
        <v>-1</v>
      </c>
      <c r="H27" s="6"/>
      <c r="I27" s="6" t="s">
        <v>32</v>
      </c>
      <c r="J27" s="6" t="b">
        <v>1</v>
      </c>
      <c r="K27" s="6" t="e">
        <f>#VALUE!</f>
        <v>#VALUE!</v>
      </c>
      <c r="L27" s="6" t="e">
        <v>#N/A</v>
      </c>
      <c r="M27" s="7" t="e">
        <v>#DIV/0!</v>
      </c>
      <c r="N27" s="7" t="e">
        <v>#NAME?</v>
      </c>
      <c r="O27" s="7" t="e">
        <v>#NULL!</v>
      </c>
      <c r="P27" s="7" t="e">
        <v>#NUM!</v>
      </c>
      <c r="Q27" s="7" t="e">
        <v>#REF!</v>
      </c>
      <c r="R27" s="4" t="b">
        <f>_xlfn.XOR(C27,FALSE)</f>
        <v>0</v>
      </c>
      <c r="S27" s="4" t="b">
        <f t="shared" ref="S27:AF27" si="6">_xlfn.XOR(D27,FALSE)</f>
        <v>1</v>
      </c>
      <c r="T27" s="4" t="b">
        <f t="shared" si="6"/>
        <v>1</v>
      </c>
      <c r="U27" s="4" t="b">
        <f t="shared" si="6"/>
        <v>0</v>
      </c>
      <c r="V27" s="4" t="b">
        <f t="shared" si="6"/>
        <v>1</v>
      </c>
      <c r="W27" s="4" t="b">
        <f t="shared" si="6"/>
        <v>0</v>
      </c>
      <c r="X27" s="4" t="b">
        <f t="shared" si="6"/>
        <v>0</v>
      </c>
      <c r="Y27" s="4" t="b">
        <f t="shared" si="6"/>
        <v>1</v>
      </c>
      <c r="Z27" s="4" t="e">
        <f t="shared" si="6"/>
        <v>#VALUE!</v>
      </c>
      <c r="AA27" s="4" t="e">
        <f t="shared" si="6"/>
        <v>#N/A</v>
      </c>
      <c r="AB27" s="4" t="e">
        <f t="shared" si="6"/>
        <v>#DIV/0!</v>
      </c>
      <c r="AC27" s="4" t="e">
        <f t="shared" si="6"/>
        <v>#NAME?</v>
      </c>
      <c r="AD27" s="4" t="e">
        <f t="shared" si="6"/>
        <v>#NULL!</v>
      </c>
      <c r="AE27" s="4" t="e">
        <f t="shared" si="6"/>
        <v>#NUM!</v>
      </c>
      <c r="AF27" s="4" t="e">
        <f t="shared" si="6"/>
        <v>#REF!</v>
      </c>
      <c r="AG27" s="4" t="b">
        <f>_xlfn.XOR(C27:E27,C27)</f>
        <v>0</v>
      </c>
      <c r="AH27" s="4" t="e">
        <f t="array" ref="AH27:AI27">_xlfn.XOR(FALSE,C27:Q27)</f>
        <v>#VALUE!</v>
      </c>
      <c r="AI27" s="4" t="e">
        <v>#VALUE!</v>
      </c>
      <c r="AJ27" s="4" t="e">
        <f t="array" ref="AJ27:AK27">_xlfn.XOR(C27:P27,D27:Q27)</f>
        <v>#VALUE!</v>
      </c>
      <c r="AK27" s="4" t="e">
        <v>#VALUE!</v>
      </c>
      <c r="AL27" s="4" t="b">
        <f t="array" ref="AL27:AN27">_xlfn.XOR(C27:D27,C27)</f>
        <v>1</v>
      </c>
      <c r="AM27" s="4" t="b">
        <v>1</v>
      </c>
      <c r="AN27" s="4" t="b">
        <v>1</v>
      </c>
      <c r="AO27" s="4" t="b">
        <f>_xlfn.XOR(F27,C27)</f>
        <v>0</v>
      </c>
      <c r="AP27" s="4" t="e">
        <f>_xlfn.XOR(TRUE,"0",#REF!)</f>
        <v>#REF!</v>
      </c>
      <c r="AQ27" s="4" t="e">
        <f>_xlfn.XOR(TRUE,#REF!,"0")</f>
        <v>#REF!</v>
      </c>
      <c r="AR27" s="4" t="e">
        <f>_xlfn.XOR(H27:I27)</f>
        <v>#VALUE!</v>
      </c>
      <c r="AS27" s="4" t="b">
        <f>_xlfn.XOR(C27:E27)</f>
        <v>0</v>
      </c>
      <c r="AT27" s="4" t="b">
        <f>_xlfn.XOR(C27:D27,F27)</f>
        <v>1</v>
      </c>
    </row>
    <row r="28" spans="1:49" x14ac:dyDescent="0.15">
      <c r="A28" s="40"/>
    </row>
    <row r="29" spans="1:49" x14ac:dyDescent="0.15">
      <c r="A29" s="40"/>
    </row>
    <row r="30" spans="1:49" x14ac:dyDescent="0.15">
      <c r="A30" s="40"/>
    </row>
    <row r="31" spans="1:49" x14ac:dyDescent="0.15">
      <c r="A31" s="40"/>
    </row>
  </sheetData>
  <mergeCells count="15">
    <mergeCell ref="C1:Q1"/>
    <mergeCell ref="R1:AW1"/>
    <mergeCell ref="C2:G2"/>
    <mergeCell ref="K2:Q2"/>
    <mergeCell ref="R2:V2"/>
    <mergeCell ref="Z2:AF2"/>
    <mergeCell ref="AH2:AW2"/>
    <mergeCell ref="A5:A6"/>
    <mergeCell ref="B5:B6"/>
    <mergeCell ref="B14:B17"/>
    <mergeCell ref="A14:A17"/>
    <mergeCell ref="A23:A24"/>
    <mergeCell ref="B23:B24"/>
    <mergeCell ref="A18:A19"/>
    <mergeCell ref="B18:B19"/>
  </mergeCells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BK197"/>
  <sheetViews>
    <sheetView zoomScale="173" zoomScaleNormal="100" workbookViewId="0">
      <selection activeCell="A24" sqref="A24"/>
    </sheetView>
  </sheetViews>
  <sheetFormatPr baseColWidth="10" defaultColWidth="10.83203125" defaultRowHeight="11" x14ac:dyDescent="0.15"/>
  <cols>
    <col min="1" max="1" width="13.5" style="42" bestFit="1" customWidth="1"/>
    <col min="2" max="2" width="5.1640625" style="41" bestFit="1" customWidth="1"/>
    <col min="3" max="4" width="5.6640625" style="4" bestFit="1" customWidth="1"/>
    <col min="5" max="5" width="2.83203125" style="4" bestFit="1" customWidth="1"/>
    <col min="6" max="8" width="5.6640625" style="4" bestFit="1" customWidth="1"/>
    <col min="9" max="9" width="7.1640625" style="4" bestFit="1" customWidth="1"/>
    <col min="10" max="14" width="5.6640625" style="4" bestFit="1" customWidth="1"/>
    <col min="15" max="15" width="5.83203125" style="4" bestFit="1" customWidth="1"/>
    <col min="16" max="16" width="8.1640625" style="4" bestFit="1" customWidth="1"/>
    <col min="17" max="17" width="4" style="4" bestFit="1" customWidth="1"/>
    <col min="18" max="18" width="7.33203125" style="4" bestFit="1" customWidth="1"/>
    <col min="19" max="19" width="5.6640625" style="4" bestFit="1" customWidth="1"/>
    <col min="20" max="20" width="9.5" style="4" bestFit="1" customWidth="1"/>
    <col min="21" max="21" width="17.6640625" style="4" bestFit="1" customWidth="1"/>
    <col min="22" max="30" width="5.6640625" style="4" bestFit="1" customWidth="1"/>
    <col min="31" max="31" width="9.33203125" style="4" bestFit="1" customWidth="1"/>
    <col min="32" max="32" width="5.6640625" style="4" bestFit="1" customWidth="1"/>
    <col min="33" max="33" width="9.83203125" style="4" bestFit="1" customWidth="1"/>
    <col min="34" max="34" width="5.83203125" style="4" bestFit="1" customWidth="1"/>
    <col min="35" max="36" width="5.6640625" style="4" bestFit="1" customWidth="1"/>
    <col min="37" max="39" width="5.83203125" style="4" bestFit="1" customWidth="1"/>
    <col min="40" max="40" width="7.33203125" style="4" bestFit="1" customWidth="1"/>
    <col min="41" max="41" width="5.83203125" style="4" bestFit="1" customWidth="1"/>
    <col min="42" max="42" width="6" style="4" bestFit="1" customWidth="1"/>
    <col min="43" max="43" width="5.33203125" style="4" bestFit="1" customWidth="1"/>
    <col min="44" max="44" width="5.83203125" style="4" bestFit="1" customWidth="1"/>
    <col min="45" max="45" width="6" style="4" bestFit="1" customWidth="1"/>
    <col min="46" max="46" width="5.6640625" style="4" bestFit="1" customWidth="1"/>
    <col min="47" max="47" width="5.1640625" style="4" bestFit="1" customWidth="1"/>
    <col min="48" max="48" width="4.33203125" style="4" bestFit="1" customWidth="1"/>
    <col min="49" max="49" width="4" style="4" bestFit="1" customWidth="1"/>
    <col min="50" max="16384" width="10.83203125" style="4"/>
  </cols>
  <sheetData>
    <row r="1" spans="1:63" x14ac:dyDescent="0.15">
      <c r="A1" s="42" t="s">
        <v>542</v>
      </c>
      <c r="B1" s="80">
        <f>COUNTIF(B3:B353,"=DONE")/COUNTA(A3:A353)</f>
        <v>0.82499999999999996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63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63" x14ac:dyDescent="0.15">
      <c r="A3" s="35" t="s">
        <v>320</v>
      </c>
      <c r="B3" s="36" t="s">
        <v>541</v>
      </c>
      <c r="C3" s="13">
        <v>-2</v>
      </c>
      <c r="D3" s="13">
        <v>1.1000000000000001</v>
      </c>
      <c r="E3" s="13">
        <v>3</v>
      </c>
      <c r="F3" s="13">
        <v>4</v>
      </c>
      <c r="G3" s="13">
        <v>4.0999999999999996</v>
      </c>
      <c r="H3" s="14"/>
      <c r="I3" s="14" t="s">
        <v>339</v>
      </c>
      <c r="J3" s="14" t="b">
        <v>1</v>
      </c>
      <c r="K3" s="14" t="e">
        <f>#VALUE!</f>
        <v>#VALUE!</v>
      </c>
      <c r="L3" s="14" t="e">
        <v>#N/A</v>
      </c>
      <c r="M3" s="15" t="e">
        <v>#DIV/0!</v>
      </c>
      <c r="N3" s="15" t="e">
        <v>#NAME?</v>
      </c>
      <c r="O3" s="15" t="e">
        <v>#NULL!</v>
      </c>
      <c r="P3" s="15" t="e">
        <v>#NUM!</v>
      </c>
      <c r="Q3" s="15" t="e">
        <v>#REF!</v>
      </c>
      <c r="R3" s="4" t="e">
        <f>ADDRESS(C3,D3,E3,F3,G3)</f>
        <v>#VALUE!</v>
      </c>
      <c r="S3" s="4" t="str">
        <f>ADDRESS(D3,E3,F3,G3,H3)</f>
        <v>!C1</v>
      </c>
      <c r="T3" s="4" t="str">
        <f>ADDRESS(E3,F3,G3,H3,I3)</f>
        <v>'*b?u*'!R[3]C[4]</v>
      </c>
      <c r="U3" s="4" t="e" vm="28">
        <f t="shared" ref="U3:AF3" si="0">ADDRESS(F3,G3,H3,I3,J3)</f>
        <v>#VALUE!</v>
      </c>
      <c r="V3" s="4" t="e" vm="29">
        <f t="shared" si="0"/>
        <v>#VALUE!</v>
      </c>
      <c r="W3" s="4" t="e" vm="29">
        <f t="shared" si="0"/>
        <v>#VALUE!</v>
      </c>
      <c r="X3" s="4" t="e" vm="29">
        <f t="shared" si="0"/>
        <v>#VALUE!</v>
      </c>
      <c r="Y3" s="4" t="e">
        <f t="shared" si="0"/>
        <v>#VALUE!</v>
      </c>
      <c r="Z3" s="4" t="e">
        <f t="shared" si="0"/>
        <v>#VALUE!</v>
      </c>
      <c r="AA3" s="4" t="e">
        <f t="shared" si="0"/>
        <v>#N/A</v>
      </c>
      <c r="AB3" s="4" t="e">
        <f t="shared" si="0"/>
        <v>#DIV/0!</v>
      </c>
      <c r="AC3" s="4" t="e">
        <f t="shared" si="0"/>
        <v>#NAME?</v>
      </c>
      <c r="AD3" s="4" t="e">
        <f t="shared" si="0"/>
        <v>#NULL!</v>
      </c>
      <c r="AE3" s="4" t="e">
        <f t="shared" si="0"/>
        <v>#NUM!</v>
      </c>
      <c r="AF3" s="4" t="e">
        <f t="shared" si="0"/>
        <v>#REF!</v>
      </c>
      <c r="AG3" s="4" t="str">
        <f t="array" ref="AG3">ADDRESS(D3:Q3,E3,F3,G3,H3)</f>
        <v>!C1</v>
      </c>
      <c r="AH3" s="4" t="str">
        <f t="array" ref="AH3:AW3">ADDRESS(D3:Q3,E3,F3,G3,H3)</f>
        <v>!C1</v>
      </c>
      <c r="AI3" s="4" t="str">
        <v>!C3</v>
      </c>
      <c r="AJ3" s="4" t="str">
        <v>!C4</v>
      </c>
      <c r="AK3" s="4" t="str">
        <v>!C4</v>
      </c>
      <c r="AL3" s="4" t="e">
        <v>#VALUE!</v>
      </c>
      <c r="AM3" s="4" t="e" vm="29">
        <v>#VALUE!</v>
      </c>
      <c r="AN3" s="4" t="str">
        <v>!C1</v>
      </c>
      <c r="AO3" s="4" t="e">
        <v>#VALUE!</v>
      </c>
      <c r="AP3" s="4" t="e">
        <v>#N/A</v>
      </c>
      <c r="AQ3" s="4" t="e">
        <v>#DIV/0!</v>
      </c>
      <c r="AR3" s="4" t="e">
        <v>#NAME?</v>
      </c>
      <c r="AS3" s="4" t="e">
        <v>#NULL!</v>
      </c>
      <c r="AT3" s="4" t="e">
        <v>#NUM!</v>
      </c>
      <c r="AU3" s="4" t="e">
        <v>#REF!</v>
      </c>
      <c r="AV3" s="4" t="e">
        <v>#N/A</v>
      </c>
      <c r="AW3" s="4" t="e">
        <v>#N/A</v>
      </c>
    </row>
    <row r="4" spans="1:63" x14ac:dyDescent="0.15">
      <c r="A4" s="35" t="s">
        <v>321</v>
      </c>
      <c r="B4" s="36" t="s">
        <v>541</v>
      </c>
      <c r="C4" s="13">
        <v>-2</v>
      </c>
      <c r="D4" s="13">
        <v>1.1000000000000001</v>
      </c>
      <c r="E4" s="13">
        <v>3</v>
      </c>
      <c r="F4" s="13">
        <v>4</v>
      </c>
      <c r="G4" s="13">
        <v>4.0999999999999996</v>
      </c>
      <c r="H4" s="14"/>
      <c r="I4" s="14" t="s">
        <v>339</v>
      </c>
      <c r="J4" s="14" t="b">
        <v>1</v>
      </c>
      <c r="K4" s="14" t="e">
        <f>#VALUE!</f>
        <v>#VALUE!</v>
      </c>
      <c r="L4" s="14" t="e">
        <v>#N/A</v>
      </c>
      <c r="M4" s="15" t="e">
        <v>#DIV/0!</v>
      </c>
      <c r="N4" s="15" t="e">
        <v>#NAME?</v>
      </c>
      <c r="O4" s="15" t="e">
        <v>#NULL!</v>
      </c>
      <c r="P4" s="15" t="e">
        <v>#NUM!</v>
      </c>
      <c r="Q4" s="15" t="e">
        <v>#REF!</v>
      </c>
      <c r="R4" s="4">
        <f>AREAS(C4:F4)</f>
        <v>1</v>
      </c>
      <c r="S4" s="4">
        <f>AREAS((D4:G4,I4:J4,K4:N4))</f>
        <v>3</v>
      </c>
      <c r="T4" s="4" t="e">
        <f>AREAS((E4:H4 J4:K4 L4:O4))</f>
        <v>#NULL!</v>
      </c>
      <c r="U4" s="4">
        <f>AREAS(F4:I4)</f>
        <v>1</v>
      </c>
      <c r="V4" s="4">
        <f>AREAS(((F4:G4,G4:I4,F6:G6,G6:I6) G3:G11))</f>
        <v>4</v>
      </c>
      <c r="W4" s="4">
        <f>AREAS(((G4:H4,H4:J4,G6:H6,H6:J6) H3:H11))</f>
        <v>4</v>
      </c>
      <c r="X4" s="4">
        <f>AREAS(I4)</f>
        <v>1</v>
      </c>
      <c r="Y4" s="4">
        <f t="shared" ref="Y4:AF4" si="1">AREAS(J4)</f>
        <v>1</v>
      </c>
      <c r="Z4" s="4">
        <f t="shared" si="1"/>
        <v>1</v>
      </c>
      <c r="AA4" s="4">
        <f t="shared" si="1"/>
        <v>1</v>
      </c>
      <c r="AB4" s="4">
        <f t="shared" si="1"/>
        <v>1</v>
      </c>
      <c r="AC4" s="4">
        <f t="shared" si="1"/>
        <v>1</v>
      </c>
      <c r="AD4" s="4">
        <f t="shared" si="1"/>
        <v>1</v>
      </c>
      <c r="AE4" s="4">
        <f t="shared" si="1"/>
        <v>1</v>
      </c>
      <c r="AF4" s="4">
        <f t="shared" si="1"/>
        <v>1</v>
      </c>
      <c r="AG4" s="4">
        <f t="array" ref="AG4">AREAS(R4)</f>
        <v>1</v>
      </c>
      <c r="AH4" s="4">
        <f t="array" ref="AH4:AW4">AREAS(S4)</f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</row>
    <row r="5" spans="1:63" x14ac:dyDescent="0.15">
      <c r="A5" s="35" t="s">
        <v>322</v>
      </c>
      <c r="B5" s="36" t="s">
        <v>541</v>
      </c>
      <c r="C5" s="13">
        <v>-2</v>
      </c>
      <c r="D5" s="13">
        <v>1.1000000000000001</v>
      </c>
      <c r="E5" s="13">
        <v>3</v>
      </c>
      <c r="F5" s="13">
        <v>4</v>
      </c>
      <c r="G5" s="13">
        <v>4.0999999999999996</v>
      </c>
      <c r="H5" s="14"/>
      <c r="I5" s="14" t="s">
        <v>339</v>
      </c>
      <c r="J5" s="14" t="b">
        <v>1</v>
      </c>
      <c r="K5" s="14" t="e">
        <f>#VALUE!</f>
        <v>#VALUE!</v>
      </c>
      <c r="L5" s="14" t="e">
        <v>#N/A</v>
      </c>
      <c r="M5" s="15" t="e">
        <v>#DIV/0!</v>
      </c>
      <c r="N5" s="15" t="e">
        <v>#NAME?</v>
      </c>
      <c r="O5" s="15" t="e">
        <v>#NULL!</v>
      </c>
      <c r="P5" s="15" t="e">
        <v>#NUM!</v>
      </c>
      <c r="Q5" s="15" t="e">
        <v>#REF!</v>
      </c>
      <c r="R5" s="4" t="e">
        <f>CHOOSE(C5,1,2,3)</f>
        <v>#VALUE!</v>
      </c>
      <c r="S5" s="4">
        <f t="shared" ref="S5:AF5" si="2">CHOOSE(D5,1,2,3)</f>
        <v>1</v>
      </c>
      <c r="T5" s="4">
        <f t="shared" si="2"/>
        <v>3</v>
      </c>
      <c r="U5" s="4" t="e">
        <f t="shared" si="2"/>
        <v>#VALUE!</v>
      </c>
      <c r="V5" s="4" t="e">
        <f t="shared" si="2"/>
        <v>#VALUE!</v>
      </c>
      <c r="W5" s="4" t="e">
        <f t="shared" si="2"/>
        <v>#VALUE!</v>
      </c>
      <c r="X5" s="4" t="e" vm="30">
        <f t="shared" si="2"/>
        <v>#VALUE!</v>
      </c>
      <c r="Y5" s="4">
        <f t="shared" si="2"/>
        <v>1</v>
      </c>
      <c r="Z5" s="4" t="e">
        <f t="shared" si="2"/>
        <v>#VALUE!</v>
      </c>
      <c r="AA5" s="4" t="e">
        <f t="shared" si="2"/>
        <v>#N/A</v>
      </c>
      <c r="AB5" s="4" t="e">
        <f t="shared" si="2"/>
        <v>#DIV/0!</v>
      </c>
      <c r="AC5" s="40" t="e">
        <f>CHOOSE(2,AA5,AB5,#REF!)</f>
        <v>#DIV/0!</v>
      </c>
      <c r="AD5" s="4" t="e">
        <f t="shared" si="2"/>
        <v>#NULL!</v>
      </c>
      <c r="AE5" s="4" t="e">
        <f t="shared" si="2"/>
        <v>#NUM!</v>
      </c>
      <c r="AF5" s="4" t="e">
        <f t="shared" si="2"/>
        <v>#REF!</v>
      </c>
      <c r="AG5" s="4">
        <f t="array" ref="AG5">CHOOSE(D5:F5,C5:E5,H5:J5,G5:I5,2,3)</f>
        <v>-2</v>
      </c>
      <c r="AH5" s="4">
        <f t="array" ref="AH5:AW5">CHOOSE(D5:F5,C5:E5,H5:J5,G5:I5,2,3)</f>
        <v>-2</v>
      </c>
      <c r="AI5" s="4">
        <v>0</v>
      </c>
      <c r="AJ5" s="4">
        <v>2</v>
      </c>
      <c r="AK5" s="4" t="e">
        <v>#N/A</v>
      </c>
      <c r="AL5" s="4" t="e">
        <v>#N/A</v>
      </c>
      <c r="AM5" s="4" t="e">
        <v>#N/A</v>
      </c>
      <c r="AN5" s="4" t="e">
        <v>#N/A</v>
      </c>
      <c r="AO5" s="4" t="e">
        <v>#N/A</v>
      </c>
      <c r="AP5" s="4" t="e">
        <v>#N/A</v>
      </c>
      <c r="AQ5" s="4" t="e">
        <v>#N/A</v>
      </c>
      <c r="AR5" s="4" t="e">
        <v>#N/A</v>
      </c>
      <c r="AS5" s="4" t="e">
        <v>#N/A</v>
      </c>
      <c r="AT5" s="4" t="e">
        <v>#N/A</v>
      </c>
      <c r="AU5" s="4" t="e">
        <v>#N/A</v>
      </c>
      <c r="AV5" s="4" t="e">
        <v>#N/A</v>
      </c>
      <c r="AW5" s="4" t="e">
        <v>#N/A</v>
      </c>
    </row>
    <row r="6" spans="1:63" s="40" customFormat="1" x14ac:dyDescent="0.2">
      <c r="A6" s="99" t="s">
        <v>516</v>
      </c>
      <c r="B6" s="103" t="s">
        <v>541</v>
      </c>
      <c r="C6" s="13">
        <v>-3.9</v>
      </c>
      <c r="D6" s="13">
        <v>1.1000000000000001</v>
      </c>
      <c r="E6" s="13">
        <v>2.9</v>
      </c>
      <c r="F6" s="13">
        <v>4</v>
      </c>
      <c r="G6" s="13">
        <v>0</v>
      </c>
      <c r="H6" s="14"/>
      <c r="I6" s="81" t="s">
        <v>447</v>
      </c>
      <c r="J6" s="14" t="b">
        <v>1</v>
      </c>
      <c r="K6" s="14" t="e">
        <f>#VALUE!</f>
        <v>#VALUE!</v>
      </c>
      <c r="L6" s="14" t="e">
        <v>#N/A</v>
      </c>
      <c r="M6" s="15" t="e">
        <v>#DIV/0!</v>
      </c>
      <c r="N6" s="15" t="e">
        <v>#NAME?</v>
      </c>
      <c r="O6" s="15" t="e">
        <v>#NULL!</v>
      </c>
      <c r="P6" s="15" t="e">
        <v>#NUM!</v>
      </c>
      <c r="Q6" s="15" t="e">
        <v>#REF!</v>
      </c>
      <c r="R6" s="40" cm="1">
        <f t="array" ref="R6:R8">_xlfn.CHOOSECOLS({1,2,3;4,5,6;7,8,9},C6)</f>
        <v>1</v>
      </c>
      <c r="S6" s="40" cm="1">
        <f t="array" ref="S6:S8">_xlfn.CHOOSECOLS({1,2,3;4,5,6;7,8,9},D6)</f>
        <v>1</v>
      </c>
      <c r="T6" s="40" cm="1">
        <f t="array" ref="T6:T8">_xlfn.CHOOSECOLS({1,2,3;4,5,6;7,8,9},E6)</f>
        <v>2</v>
      </c>
      <c r="U6" s="40" t="e" cm="1">
        <f t="array" ref="U6">_xlfn.CHOOSECOLS({1,2,3;4,5,6;7,8,9},F6)</f>
        <v>#VALUE!</v>
      </c>
      <c r="V6" s="40" t="e" cm="1">
        <f t="array" ref="V6">_xlfn.CHOOSECOLS({1,2,3;4,5,6;7,8,9},G6)</f>
        <v>#VALUE!</v>
      </c>
      <c r="W6" s="40" t="e" cm="1">
        <f t="array" ref="W6">_xlfn.CHOOSECOLS({1,2,3;4,5,6;7,8,9},H6)</f>
        <v>#VALUE!</v>
      </c>
      <c r="X6" s="40" cm="1">
        <f t="array" ref="X6:X8">_xlfn.CHOOSECOLS({1,2,3;4,5,6;7,8,9},I6)</f>
        <v>1</v>
      </c>
      <c r="Y6" s="40" cm="1">
        <f t="array" ref="Y6:Y8">_xlfn.CHOOSECOLS({1,2,3;4,5,6;7,8,9},J6)</f>
        <v>1</v>
      </c>
      <c r="Z6" s="40" t="e" cm="1">
        <f t="array" ref="Z6">_xlfn.CHOOSECOLS({1,2,3;4,5,6;7,8,9},K6)</f>
        <v>#VALUE!</v>
      </c>
      <c r="AA6" s="40" t="e" cm="1">
        <f t="array" ref="AA6">_xlfn.CHOOSECOLS({1,2,3;4,5,6;7,8,9},L6)</f>
        <v>#N/A</v>
      </c>
      <c r="AB6" s="40" t="e" cm="1">
        <f t="array" ref="AB6">_xlfn.CHOOSECOLS({1,2,3;4,5,6;7,8,9},M6)</f>
        <v>#DIV/0!</v>
      </c>
      <c r="AC6" s="40" t="e" cm="1">
        <f t="array" ref="AC6">_xlfn.CHOOSECOLS({1,2,3;4,5,6;7,8,9},N6)</f>
        <v>#NAME?</v>
      </c>
      <c r="AD6" s="40" t="e" cm="1">
        <f t="array" ref="AD6">_xlfn.CHOOSECOLS({1,2,3;4,5,6;7,8,9},O6)</f>
        <v>#NULL!</v>
      </c>
      <c r="AE6" s="40" t="e" cm="1">
        <f t="array" ref="AE6">_xlfn.CHOOSECOLS({1,2,3;4,5,6;7,8,9},P6)</f>
        <v>#NUM!</v>
      </c>
      <c r="AF6" s="40" t="e" cm="1">
        <f t="array" ref="AF6">_xlfn.CHOOSECOLS({1,2,3;4,5,6;7,8,9},Q6)</f>
        <v>#REF!</v>
      </c>
      <c r="AG6" s="40" t="e" cm="1">
        <f t="array" ref="AG6">_xlfn.CHOOSECOLS({1,2,3;4,5,6;7,8,9},C6:Q6)</f>
        <v>#VALUE!</v>
      </c>
      <c r="AH6" s="40" t="e" cm="1">
        <f t="array" ref="AH6">_xlfn.CHOOSECOLS({1,2,3;4,5,6;7,8,9},D6:E7)</f>
        <v>#VALUE!</v>
      </c>
      <c r="AI6" s="40" cm="1">
        <f t="array" ref="AI6:AJ8">_xlfn.CHOOSECOLS({1,2,3;4,5,6;7,8,9},C6:D6)</f>
        <v>1</v>
      </c>
      <c r="AJ6" s="40">
        <v>1</v>
      </c>
      <c r="AK6" s="40" cm="1">
        <f t="array" ref="AK6:AN8">_xlfn.CHOOSECOLS({1,2,3;4,5,6;7,8,9},C6:D6,D6:E6)</f>
        <v>1</v>
      </c>
      <c r="AL6" s="40">
        <v>1</v>
      </c>
      <c r="AM6" s="40">
        <v>1</v>
      </c>
      <c r="AN6" s="40">
        <v>2</v>
      </c>
      <c r="AO6" s="40" cm="1">
        <f t="array" ref="AO6:AR8">_xlfn.CHOOSECOLS({1,2,3;4,5,6;7,8,9},D6:D7,D6:E6)</f>
        <v>1</v>
      </c>
      <c r="AP6" s="40">
        <v>2</v>
      </c>
      <c r="AQ6" s="40">
        <v>1</v>
      </c>
      <c r="AR6" s="40">
        <v>2</v>
      </c>
      <c r="AS6" s="40" t="e" cm="1">
        <f t="array" ref="AS6">_xlfn.CHOOSECOLS({1,2,3;4,5,6;7,8,9},D6:E7,D6:E6)</f>
        <v>#VALUE!</v>
      </c>
    </row>
    <row r="7" spans="1:63" s="40" customFormat="1" x14ac:dyDescent="0.2">
      <c r="A7" s="99"/>
      <c r="B7" s="103"/>
      <c r="D7" s="40">
        <v>2</v>
      </c>
      <c r="E7" s="40">
        <v>1</v>
      </c>
      <c r="R7" s="40">
        <v>4</v>
      </c>
      <c r="S7" s="40">
        <v>4</v>
      </c>
      <c r="T7" s="40">
        <v>5</v>
      </c>
      <c r="X7" s="40">
        <v>4</v>
      </c>
      <c r="Y7" s="40">
        <v>4</v>
      </c>
      <c r="AI7" s="40">
        <v>4</v>
      </c>
      <c r="AJ7" s="40">
        <v>4</v>
      </c>
      <c r="AK7" s="40">
        <v>4</v>
      </c>
      <c r="AL7" s="40">
        <v>4</v>
      </c>
      <c r="AM7" s="40">
        <v>4</v>
      </c>
      <c r="AN7" s="40">
        <v>5</v>
      </c>
      <c r="AO7" s="40">
        <v>4</v>
      </c>
      <c r="AP7" s="40">
        <v>5</v>
      </c>
      <c r="AQ7" s="40">
        <v>4</v>
      </c>
      <c r="AR7" s="40">
        <v>5</v>
      </c>
    </row>
    <row r="8" spans="1:63" s="40" customFormat="1" x14ac:dyDescent="0.2">
      <c r="A8" s="99"/>
      <c r="B8" s="103"/>
      <c r="R8" s="40">
        <v>7</v>
      </c>
      <c r="S8" s="40">
        <v>7</v>
      </c>
      <c r="T8" s="40">
        <v>8</v>
      </c>
      <c r="X8" s="40">
        <v>7</v>
      </c>
      <c r="Y8" s="40">
        <v>7</v>
      </c>
      <c r="AI8" s="40">
        <v>7</v>
      </c>
      <c r="AJ8" s="40">
        <v>7</v>
      </c>
      <c r="AK8" s="40">
        <v>7</v>
      </c>
      <c r="AL8" s="40">
        <v>7</v>
      </c>
      <c r="AM8" s="40">
        <v>7</v>
      </c>
      <c r="AN8" s="40">
        <v>8</v>
      </c>
      <c r="AO8" s="40">
        <v>7</v>
      </c>
      <c r="AP8" s="40">
        <v>8</v>
      </c>
      <c r="AQ8" s="40">
        <v>7</v>
      </c>
      <c r="AR8" s="40">
        <v>8</v>
      </c>
    </row>
    <row r="9" spans="1:63" s="40" customFormat="1" x14ac:dyDescent="0.2">
      <c r="A9" s="99" t="s">
        <v>517</v>
      </c>
      <c r="B9" s="103" t="s">
        <v>541</v>
      </c>
      <c r="C9" s="13">
        <v>-3.9</v>
      </c>
      <c r="D9" s="13">
        <v>1.1000000000000001</v>
      </c>
      <c r="E9" s="13">
        <v>2.9</v>
      </c>
      <c r="F9" s="13">
        <v>4</v>
      </c>
      <c r="G9" s="13">
        <v>0</v>
      </c>
      <c r="H9" s="14"/>
      <c r="I9" s="81" t="s">
        <v>447</v>
      </c>
      <c r="J9" s="14" t="b">
        <v>1</v>
      </c>
      <c r="K9" s="14" t="e">
        <f>#VALUE!</f>
        <v>#VALUE!</v>
      </c>
      <c r="L9" s="14" t="e">
        <v>#N/A</v>
      </c>
      <c r="M9" s="15" t="e">
        <v>#DIV/0!</v>
      </c>
      <c r="N9" s="15" t="e">
        <v>#NAME?</v>
      </c>
      <c r="O9" s="15" t="e">
        <v>#NULL!</v>
      </c>
      <c r="P9" s="15" t="e">
        <v>#NUM!</v>
      </c>
      <c r="Q9" s="15" t="e">
        <v>#REF!</v>
      </c>
      <c r="R9" s="40" cm="1">
        <f t="array" ref="R9:T9">_xlfn.CHOOSEROWS({1,2,3;4,5,6;7,8,9},C9)</f>
        <v>1</v>
      </c>
      <c r="S9" s="40">
        <v>2</v>
      </c>
      <c r="T9" s="40">
        <v>3</v>
      </c>
      <c r="U9" s="40" t="e" cm="1">
        <f t="array" ref="U9">_xlfn.CHOOSEROWS({1,2,3;4,5,6;7,8,9},F9)</f>
        <v>#VALUE!</v>
      </c>
      <c r="V9" s="40" t="e" cm="1">
        <f t="array" ref="V9">_xlfn.CHOOSEROWS({1,2,3;4,5,6;7,8,9},G9)</f>
        <v>#VALUE!</v>
      </c>
      <c r="W9" s="40" t="e" cm="1">
        <f t="array" ref="W9">_xlfn.CHOOSEROWS({1,2,3;4,5,6;7,8,9},H9)</f>
        <v>#VALUE!</v>
      </c>
      <c r="Z9" s="40" t="e" cm="1">
        <f t="array" ref="Z9">_xlfn.CHOOSEROWS({1,2,3;4,5,6;7,8,9},K9)</f>
        <v>#VALUE!</v>
      </c>
      <c r="AA9" s="40" t="e" cm="1">
        <f t="array" ref="AA9">_xlfn.CHOOSEROWS({1,2,3;4,5,6;7,8,9},L9)</f>
        <v>#N/A</v>
      </c>
      <c r="AB9" s="40" t="e" cm="1">
        <f t="array" ref="AB9">_xlfn.CHOOSEROWS({1,2,3;4,5,6;7,8,9},M9)</f>
        <v>#DIV/0!</v>
      </c>
      <c r="AC9" s="40" t="e" cm="1">
        <f t="array" ref="AC9">_xlfn.CHOOSEROWS({1,2,3;4,5,6;7,8,9},N9)</f>
        <v>#NAME?</v>
      </c>
      <c r="AD9" s="40" t="e" cm="1">
        <f t="array" ref="AD9">_xlfn.CHOOSEROWS({1,2,3;4,5,6;7,8,9},O9)</f>
        <v>#NULL!</v>
      </c>
      <c r="AE9" s="40" t="e" cm="1">
        <f t="array" ref="AE9">_xlfn.CHOOSEROWS({1,2,3;4,5,6;7,8,9},P9)</f>
        <v>#NUM!</v>
      </c>
      <c r="AF9" s="40" t="e" cm="1">
        <f t="array" ref="AF9">_xlfn.CHOOSEROWS({1,2,3;4,5,6;7,8,9},Q9)</f>
        <v>#REF!</v>
      </c>
      <c r="AG9" s="40" t="e" cm="1">
        <f t="array" ref="AG9">_xlfn.CHOOSEROWS({1,2,3;4,5,6;7,8,9},C9:Q9)</f>
        <v>#VALUE!</v>
      </c>
      <c r="AH9" s="40" t="e" cm="1">
        <f t="array" ref="AH9">_xlfn.CHOOSEROWS({1,2,3;4,5,6;7,8,9},D9:E10)</f>
        <v>#VALUE!</v>
      </c>
      <c r="AI9" s="40" cm="1">
        <f t="array" ref="AI9:AK10">_xlfn.CHOOSEROWS({1,2,3;4,5,6;7,8,9},C9:D9)</f>
        <v>1</v>
      </c>
      <c r="AJ9" s="40">
        <v>2</v>
      </c>
      <c r="AK9" s="40">
        <v>3</v>
      </c>
      <c r="AL9" s="40" cm="1">
        <f t="array" ref="AL9:AN10">_xlfn.CHOOSEROWS({1,2,3;4,5,6;7,8,9},D9:D10)</f>
        <v>1</v>
      </c>
      <c r="AM9" s="40">
        <v>2</v>
      </c>
      <c r="AN9" s="40">
        <v>3</v>
      </c>
      <c r="AO9" s="40" t="e" cm="1">
        <f t="array" ref="AO9">_xlfn.CHOOSEROWS({1,2,3;4,5,6;7,8,9},D9:E10)</f>
        <v>#VALUE!</v>
      </c>
    </row>
    <row r="10" spans="1:63" s="40" customFormat="1" x14ac:dyDescent="0.2">
      <c r="A10" s="99"/>
      <c r="B10" s="103"/>
      <c r="D10" s="40">
        <v>1</v>
      </c>
      <c r="E10" s="40">
        <v>1</v>
      </c>
      <c r="S10" s="40" cm="1">
        <f t="array" ref="S10:U10">_xlfn.CHOOSEROWS({1,2,3;4,5,6;7,8,9},D9)</f>
        <v>1</v>
      </c>
      <c r="T10" s="40">
        <v>2</v>
      </c>
      <c r="U10" s="40">
        <v>3</v>
      </c>
      <c r="X10" s="40" cm="1">
        <f t="array" ref="X10:Z10">_xlfn.CHOOSEROWS({1,2,3;4,5,6;7,8,9},I9)</f>
        <v>1</v>
      </c>
      <c r="Y10" s="40">
        <v>2</v>
      </c>
      <c r="Z10" s="40">
        <v>3</v>
      </c>
      <c r="AI10" s="40">
        <v>1</v>
      </c>
      <c r="AJ10" s="40">
        <v>2</v>
      </c>
      <c r="AK10" s="40">
        <v>3</v>
      </c>
      <c r="AL10" s="40">
        <v>1</v>
      </c>
      <c r="AM10" s="40">
        <v>2</v>
      </c>
      <c r="AN10" s="40">
        <v>3</v>
      </c>
    </row>
    <row r="11" spans="1:63" s="40" customFormat="1" x14ac:dyDescent="0.2">
      <c r="A11" s="99"/>
      <c r="B11" s="103"/>
      <c r="T11" s="40" cm="1">
        <f t="array" ref="T11:V11">_xlfn.CHOOSEROWS({1,2,3;4,5,6;7,8,9},E9)</f>
        <v>4</v>
      </c>
      <c r="U11" s="40">
        <v>5</v>
      </c>
      <c r="V11" s="40">
        <v>6</v>
      </c>
      <c r="Y11" s="40" cm="1">
        <f t="array" ref="Y11:AA11">_xlfn.CHOOSEROWS({1,2,3;4,5,6;7,8,9},J9)</f>
        <v>1</v>
      </c>
      <c r="Z11" s="40">
        <v>2</v>
      </c>
      <c r="AA11" s="40">
        <v>3</v>
      </c>
    </row>
    <row r="12" spans="1:63" x14ac:dyDescent="0.15">
      <c r="A12" s="99" t="s">
        <v>323</v>
      </c>
      <c r="B12" s="100" t="s">
        <v>541</v>
      </c>
      <c r="C12" s="13">
        <v>-2</v>
      </c>
      <c r="D12" s="13">
        <v>1.1000000000000001</v>
      </c>
      <c r="E12" s="13">
        <v>3</v>
      </c>
      <c r="F12" s="13">
        <v>4</v>
      </c>
      <c r="G12" s="13">
        <v>4.0999999999999996</v>
      </c>
      <c r="H12" s="14"/>
      <c r="I12" s="14" t="s">
        <v>339</v>
      </c>
      <c r="J12" s="14" t="b">
        <v>1</v>
      </c>
      <c r="K12" s="14" t="e">
        <f>#VALUE!</f>
        <v>#VALUE!</v>
      </c>
      <c r="L12" s="14" t="e">
        <v>#N/A</v>
      </c>
      <c r="M12" s="15" t="e">
        <v>#DIV/0!</v>
      </c>
      <c r="N12" s="15" t="e">
        <v>#NAME?</v>
      </c>
      <c r="O12" s="15" t="e">
        <v>#NULL!</v>
      </c>
      <c r="P12" s="15" t="e">
        <v>#NUM!</v>
      </c>
      <c r="Q12" s="15" t="e">
        <v>#REF!</v>
      </c>
      <c r="R12" s="6">
        <f>COLUMN(C12)</f>
        <v>3</v>
      </c>
      <c r="S12" s="6">
        <f t="shared" ref="S12:AF12" si="3">COLUMN(D12)</f>
        <v>4</v>
      </c>
      <c r="T12" s="6">
        <f t="shared" si="3"/>
        <v>5</v>
      </c>
      <c r="U12" s="6">
        <f t="shared" si="3"/>
        <v>6</v>
      </c>
      <c r="V12" s="6">
        <f t="shared" si="3"/>
        <v>7</v>
      </c>
      <c r="W12" s="6">
        <f>COLUMN()</f>
        <v>23</v>
      </c>
      <c r="X12" s="6">
        <f t="shared" si="3"/>
        <v>9</v>
      </c>
      <c r="Y12" s="6">
        <f t="shared" si="3"/>
        <v>10</v>
      </c>
      <c r="Z12" s="6">
        <f t="shared" si="3"/>
        <v>11</v>
      </c>
      <c r="AA12" s="6">
        <f t="shared" si="3"/>
        <v>12</v>
      </c>
      <c r="AB12" s="6">
        <f t="shared" si="3"/>
        <v>13</v>
      </c>
      <c r="AC12" s="6">
        <f t="shared" si="3"/>
        <v>14</v>
      </c>
      <c r="AD12" s="6">
        <f t="shared" si="3"/>
        <v>15</v>
      </c>
      <c r="AE12" s="6">
        <f t="shared" si="3"/>
        <v>16</v>
      </c>
      <c r="AF12" s="6">
        <f t="shared" si="3"/>
        <v>17</v>
      </c>
      <c r="AG12" s="4">
        <f t="array" ref="AG12">COLUMN(C14:E14:G13:I14 E13:F13)</f>
        <v>5</v>
      </c>
      <c r="AH12" s="4">
        <f t="array" ref="AH12:AJ14">COLUMN(AC12:AD12)</f>
        <v>29</v>
      </c>
      <c r="AI12" s="4">
        <v>30</v>
      </c>
      <c r="AJ12" s="4" t="e">
        <v>#N/A</v>
      </c>
      <c r="AK12" s="4">
        <f t="array" ref="AK12:AM14">COLUMN(AC12:AC13)</f>
        <v>29</v>
      </c>
      <c r="AL12" s="4">
        <v>29</v>
      </c>
      <c r="AM12" s="4">
        <v>29</v>
      </c>
      <c r="AN12" s="4">
        <f t="array" ref="AN12:AP14">COLUMN(AC12:AD13)</f>
        <v>29</v>
      </c>
      <c r="AO12" s="4">
        <v>30</v>
      </c>
      <c r="AP12" s="4" t="e">
        <v>#N/A</v>
      </c>
      <c r="AQ12" s="4">
        <f t="array" ref="AQ12:AS14">COLUMN(AC12:AE14 AD13:AF14)</f>
        <v>30</v>
      </c>
      <c r="AR12" s="4">
        <v>31</v>
      </c>
      <c r="AS12" s="4" t="e">
        <v>#N/A</v>
      </c>
      <c r="AT12" s="4">
        <f t="array" ref="AT12:AW14">COLUMN(Z12:AA13:AF12:AF13 AB13:AD14)</f>
        <v>28</v>
      </c>
      <c r="AU12" s="4">
        <v>29</v>
      </c>
      <c r="AV12" s="4">
        <v>30</v>
      </c>
      <c r="AW12" s="4" t="e">
        <v>#N/A</v>
      </c>
    </row>
    <row r="13" spans="1:63" x14ac:dyDescent="0.15">
      <c r="A13" s="99"/>
      <c r="B13" s="100"/>
      <c r="C13" s="13"/>
      <c r="D13" s="13"/>
      <c r="E13" s="13"/>
      <c r="F13" s="13"/>
      <c r="G13" s="13"/>
      <c r="H13" s="14"/>
      <c r="I13" s="14"/>
      <c r="J13" s="14"/>
      <c r="K13" s="14"/>
      <c r="L13" s="14"/>
      <c r="M13" s="15"/>
      <c r="N13" s="15"/>
      <c r="O13" s="15"/>
      <c r="P13" s="15"/>
      <c r="Q13" s="15"/>
      <c r="R13" s="6">
        <f>COLUMN(C13)</f>
        <v>3</v>
      </c>
      <c r="S13" s="6">
        <f t="shared" ref="S13:V14" si="4">COLUMN(D13)</f>
        <v>4</v>
      </c>
      <c r="T13" s="6">
        <f t="shared" si="4"/>
        <v>5</v>
      </c>
      <c r="U13" s="6">
        <f t="shared" si="4"/>
        <v>6</v>
      </c>
      <c r="V13" s="6">
        <f t="shared" si="4"/>
        <v>7</v>
      </c>
      <c r="W13" s="6">
        <f>COLUMN()</f>
        <v>23</v>
      </c>
      <c r="X13" s="6">
        <f t="shared" ref="X13:AF14" si="5">COLUMN(I13)</f>
        <v>9</v>
      </c>
      <c r="Y13" s="6">
        <f t="shared" si="5"/>
        <v>10</v>
      </c>
      <c r="Z13" s="6">
        <f t="shared" si="5"/>
        <v>11</v>
      </c>
      <c r="AA13" s="6">
        <f t="shared" si="5"/>
        <v>12</v>
      </c>
      <c r="AB13" s="6">
        <f t="shared" si="5"/>
        <v>13</v>
      </c>
      <c r="AC13" s="6">
        <f t="shared" si="5"/>
        <v>14</v>
      </c>
      <c r="AD13" s="6">
        <f t="shared" si="5"/>
        <v>15</v>
      </c>
      <c r="AE13" s="6">
        <f t="shared" si="5"/>
        <v>16</v>
      </c>
      <c r="AF13" s="6">
        <f t="shared" si="5"/>
        <v>17</v>
      </c>
      <c r="AG13" s="4" t="e">
        <f t="array" ref="AG13">COLUMN(C12:E13 F12:H13)</f>
        <v>#NULL!</v>
      </c>
      <c r="AH13" s="4">
        <v>29</v>
      </c>
      <c r="AI13" s="4">
        <v>30</v>
      </c>
      <c r="AJ13" s="4" t="e">
        <v>#N/A</v>
      </c>
      <c r="AK13" s="4">
        <v>29</v>
      </c>
      <c r="AL13" s="4">
        <v>29</v>
      </c>
      <c r="AM13" s="4">
        <v>29</v>
      </c>
      <c r="AN13" s="4">
        <v>29</v>
      </c>
      <c r="AO13" s="4">
        <v>30</v>
      </c>
      <c r="AP13" s="4" t="e">
        <v>#N/A</v>
      </c>
      <c r="AQ13" s="4">
        <v>30</v>
      </c>
      <c r="AR13" s="4">
        <v>31</v>
      </c>
      <c r="AS13" s="4" t="e">
        <v>#N/A</v>
      </c>
      <c r="AT13" s="4">
        <v>28</v>
      </c>
      <c r="AU13" s="4">
        <v>29</v>
      </c>
      <c r="AV13" s="4">
        <v>30</v>
      </c>
      <c r="AW13" s="4" t="e">
        <v>#N/A</v>
      </c>
    </row>
    <row r="14" spans="1:63" x14ac:dyDescent="0.15">
      <c r="A14" s="99"/>
      <c r="B14" s="100"/>
      <c r="C14" s="13"/>
      <c r="D14" s="13"/>
      <c r="E14" s="13"/>
      <c r="F14" s="13"/>
      <c r="G14" s="13"/>
      <c r="H14" s="14"/>
      <c r="I14" s="14"/>
      <c r="J14" s="14"/>
      <c r="K14" s="14"/>
      <c r="L14" s="14"/>
      <c r="M14" s="15"/>
      <c r="N14" s="15"/>
      <c r="O14" s="15"/>
      <c r="P14" s="15"/>
      <c r="Q14" s="15"/>
      <c r="R14" s="6">
        <f>COLUMN(C14)</f>
        <v>3</v>
      </c>
      <c r="S14" s="6">
        <f t="shared" si="4"/>
        <v>4</v>
      </c>
      <c r="T14" s="6">
        <f t="shared" si="4"/>
        <v>5</v>
      </c>
      <c r="U14" s="6">
        <f t="shared" si="4"/>
        <v>6</v>
      </c>
      <c r="V14" s="6">
        <f t="shared" si="4"/>
        <v>7</v>
      </c>
      <c r="W14" s="6">
        <f>COLUMN()</f>
        <v>23</v>
      </c>
      <c r="X14" s="6">
        <f t="shared" si="5"/>
        <v>9</v>
      </c>
      <c r="Y14" s="6">
        <f t="shared" si="5"/>
        <v>10</v>
      </c>
      <c r="Z14" s="6">
        <f t="shared" si="5"/>
        <v>11</v>
      </c>
      <c r="AA14" s="6">
        <f t="shared" si="5"/>
        <v>12</v>
      </c>
      <c r="AB14" s="6">
        <f t="shared" si="5"/>
        <v>13</v>
      </c>
      <c r="AC14" s="6">
        <f t="shared" si="5"/>
        <v>14</v>
      </c>
      <c r="AD14" s="6">
        <f t="shared" si="5"/>
        <v>15</v>
      </c>
      <c r="AE14" s="6">
        <f t="shared" si="5"/>
        <v>16</v>
      </c>
      <c r="AF14" s="6">
        <f t="shared" si="5"/>
        <v>17</v>
      </c>
      <c r="AG14" s="4">
        <f t="array" ref="AG14">COLUMN(C12:E13 D13:F13)</f>
        <v>4</v>
      </c>
      <c r="AH14" s="4">
        <v>29</v>
      </c>
      <c r="AI14" s="4">
        <v>30</v>
      </c>
      <c r="AJ14" s="4" t="e">
        <v>#N/A</v>
      </c>
      <c r="AK14" s="4">
        <v>29</v>
      </c>
      <c r="AL14" s="4">
        <v>29</v>
      </c>
      <c r="AM14" s="4">
        <v>29</v>
      </c>
      <c r="AN14" s="4">
        <v>29</v>
      </c>
      <c r="AO14" s="4">
        <v>30</v>
      </c>
      <c r="AP14" s="4" t="e">
        <v>#N/A</v>
      </c>
      <c r="AQ14" s="4">
        <v>30</v>
      </c>
      <c r="AR14" s="4">
        <v>31</v>
      </c>
      <c r="AS14" s="4" t="e">
        <v>#N/A</v>
      </c>
      <c r="AT14" s="4">
        <v>28</v>
      </c>
      <c r="AU14" s="4">
        <v>29</v>
      </c>
      <c r="AV14" s="4">
        <v>30</v>
      </c>
      <c r="AW14" s="4" t="e">
        <v>#N/A</v>
      </c>
    </row>
    <row r="15" spans="1:63" x14ac:dyDescent="0.15">
      <c r="A15" s="35" t="s">
        <v>324</v>
      </c>
      <c r="B15" s="36" t="s">
        <v>541</v>
      </c>
      <c r="C15" s="13">
        <v>-2</v>
      </c>
      <c r="D15" s="13">
        <v>1.1000000000000001</v>
      </c>
      <c r="E15" s="13">
        <v>3</v>
      </c>
      <c r="F15" s="13">
        <v>4</v>
      </c>
      <c r="G15" s="13">
        <v>4.0999999999999996</v>
      </c>
      <c r="H15" s="14"/>
      <c r="I15" s="14" t="s">
        <v>339</v>
      </c>
      <c r="J15" s="14" t="b">
        <v>1</v>
      </c>
      <c r="K15" s="14" t="e">
        <f>#VALUE!</f>
        <v>#VALUE!</v>
      </c>
      <c r="L15" s="14" t="e">
        <v>#N/A</v>
      </c>
      <c r="M15" s="15" t="e">
        <v>#DIV/0!</v>
      </c>
      <c r="N15" s="15" t="e">
        <v>#NAME?</v>
      </c>
      <c r="O15" s="15" t="e">
        <v>#NULL!</v>
      </c>
      <c r="P15" s="15" t="e">
        <v>#NUM!</v>
      </c>
      <c r="Q15" s="15" t="e">
        <v>#REF!</v>
      </c>
      <c r="R15" s="4">
        <f>COLUMNS(C15:F15)</f>
        <v>4</v>
      </c>
      <c r="S15" s="4" t="e">
        <f>COLUMNS((D15:G15,I15:J15,K15:N15))</f>
        <v>#REF!</v>
      </c>
      <c r="T15" s="4" t="e">
        <f>COLUMNS((E15:H15 J15:K15 L15:O15))</f>
        <v>#NULL!</v>
      </c>
      <c r="U15" s="4">
        <f>COLUMNS(F15:I15)</f>
        <v>4</v>
      </c>
      <c r="V15" s="4" t="e">
        <f>COLUMNS(((F15:G15,G15:I15,F19:G19,G19:I19) G14:G44))</f>
        <v>#REF!</v>
      </c>
      <c r="W15" s="4">
        <f>COLUMNS(((G15:H16) H14:H23))</f>
        <v>1</v>
      </c>
      <c r="X15" s="4">
        <f>COLUMNS(I15)</f>
        <v>1</v>
      </c>
      <c r="Y15" s="4">
        <f>COLUMNS(J15)</f>
        <v>1</v>
      </c>
      <c r="Z15" s="4">
        <f>COLUMNS(K15)</f>
        <v>1</v>
      </c>
      <c r="AA15" s="4">
        <f t="shared" ref="AA15:AF15" si="6">COLUMNS(L15)</f>
        <v>1</v>
      </c>
      <c r="AB15" s="4">
        <f t="shared" si="6"/>
        <v>1</v>
      </c>
      <c r="AC15" s="4">
        <f t="shared" si="6"/>
        <v>1</v>
      </c>
      <c r="AD15" s="4">
        <f t="shared" si="6"/>
        <v>1</v>
      </c>
      <c r="AE15" s="4">
        <f t="shared" si="6"/>
        <v>1</v>
      </c>
      <c r="AF15" s="4">
        <f t="shared" si="6"/>
        <v>1</v>
      </c>
      <c r="AG15" s="4">
        <f t="array" ref="AG15">COLUMNS(R15)</f>
        <v>1</v>
      </c>
      <c r="AH15" s="4">
        <f t="array" ref="AH15:AW15">COLUMNS(S15)</f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</row>
    <row r="16" spans="1:63" x14ac:dyDescent="0.15">
      <c r="A16" s="99" t="s">
        <v>518</v>
      </c>
      <c r="B16" s="100" t="s">
        <v>541</v>
      </c>
      <c r="C16" s="13">
        <v>-2</v>
      </c>
      <c r="D16" s="13">
        <v>1.1000000000000001</v>
      </c>
      <c r="E16" s="13">
        <v>3</v>
      </c>
      <c r="F16" s="13">
        <v>4</v>
      </c>
      <c r="G16" s="13">
        <v>0</v>
      </c>
      <c r="H16" s="14"/>
      <c r="I16" s="81" t="s">
        <v>819</v>
      </c>
      <c r="J16" s="14" t="b">
        <v>1</v>
      </c>
      <c r="K16" s="14" t="e">
        <f>#VALUE!</f>
        <v>#VALUE!</v>
      </c>
      <c r="L16" s="14" t="e">
        <v>#N/A</v>
      </c>
      <c r="M16" s="15" t="e">
        <v>#DIV/0!</v>
      </c>
      <c r="N16" s="15" t="e">
        <v>#NAME?</v>
      </c>
      <c r="O16" s="15" t="e">
        <v>#NULL!</v>
      </c>
      <c r="P16" s="15" t="e">
        <v>#NUM!</v>
      </c>
      <c r="Q16" s="15" t="e">
        <v>#REF!</v>
      </c>
      <c r="R16" s="4" cm="1">
        <f t="array" ref="R16:T16">_xlfn.DROP({1,2,3;4,5,6;7,8,9},C16)</f>
        <v>1</v>
      </c>
      <c r="S16" s="4">
        <v>2</v>
      </c>
      <c r="T16" s="4">
        <v>3</v>
      </c>
      <c r="U16" s="4" t="e" cm="1" vm="31">
        <f t="array" ref="U16">_xlfn.DROP({1,2,3;4,5,6;7,8,9},F16)</f>
        <v>#VALUE!</v>
      </c>
      <c r="V16" s="4" cm="1">
        <f t="array" ref="V16:X18">_xlfn.DROP({1,2,3;4,5,6;7,8,9},G16)</f>
        <v>1</v>
      </c>
      <c r="W16" s="4">
        <v>2</v>
      </c>
      <c r="X16" s="4">
        <v>3</v>
      </c>
      <c r="Y16" s="4" cm="1">
        <f t="array" ref="Y16:AA18">_xlfn.DROP({1,2,3;4,5,6;7,8,9},H16)</f>
        <v>1</v>
      </c>
      <c r="Z16" s="4">
        <v>2</v>
      </c>
      <c r="AA16" s="4">
        <v>3</v>
      </c>
      <c r="AB16" s="4" t="e" cm="1">
        <f t="array" ref="AB16">_xlfn.DROP({1,2,3;4,5,6;7,8,9},M16)</f>
        <v>#DIV/0!</v>
      </c>
      <c r="AC16" s="4" t="e" cm="1">
        <f t="array" ref="AC16">_xlfn.DROP({1,2,3;4,5,6;7,8,9},N16)</f>
        <v>#NAME?</v>
      </c>
      <c r="AD16" s="4" t="e" cm="1">
        <f t="array" ref="AD16">_xlfn.DROP({1,2,3;4,5,6;7,8,9},O16)</f>
        <v>#NULL!</v>
      </c>
      <c r="AE16" s="4" cm="1">
        <f t="array" ref="AE16:AE18">_xlfn.DROP({1,2,3;4,5,6;7,8,9},I16,{1;2;1})</f>
        <v>5</v>
      </c>
      <c r="AF16" s="4">
        <f t="array" ref="AF16:AG18">_xlfn.DROP({1,2,3;4,5,6;7,8,9},I16,{1;2;1})</f>
        <v>5</v>
      </c>
      <c r="AG16" s="4">
        <v>5</v>
      </c>
    </row>
    <row r="17" spans="1:63" x14ac:dyDescent="0.15">
      <c r="A17" s="99"/>
      <c r="B17" s="100"/>
      <c r="C17" s="13"/>
      <c r="D17" s="13"/>
      <c r="E17" s="13"/>
      <c r="F17" s="13"/>
      <c r="G17" s="13"/>
      <c r="H17" s="14"/>
      <c r="I17" s="14"/>
      <c r="J17" s="14"/>
      <c r="K17" s="14"/>
      <c r="L17" s="14"/>
      <c r="M17" s="15"/>
      <c r="N17" s="15"/>
      <c r="O17" s="15"/>
      <c r="P17" s="15"/>
      <c r="Q17" s="15"/>
      <c r="R17" s="4" t="e" cm="1">
        <f t="array" ref="R17">_xlfn.DROP({1,2,3;4,5,6;7,8,9},L16)</f>
        <v>#N/A</v>
      </c>
      <c r="S17" s="4" cm="1">
        <f t="array" ref="S17:U18">_xlfn.DROP({1,2,3;4,5,6;7,8,9},D16)</f>
        <v>4</v>
      </c>
      <c r="T17" s="4">
        <v>5</v>
      </c>
      <c r="U17" s="4">
        <v>6</v>
      </c>
      <c r="V17" s="4">
        <v>4</v>
      </c>
      <c r="W17" s="4">
        <v>5</v>
      </c>
      <c r="X17" s="4">
        <v>6</v>
      </c>
      <c r="Y17" s="4">
        <v>4</v>
      </c>
      <c r="Z17" s="4">
        <v>5</v>
      </c>
      <c r="AA17" s="4">
        <v>6</v>
      </c>
      <c r="AB17" s="4" cm="1">
        <f t="array" ref="AB17:AC18">_xlfn.DROP({1,2,3;4,5,6;7,8,9},J16,1)</f>
        <v>5</v>
      </c>
      <c r="AC17" s="4">
        <v>6</v>
      </c>
      <c r="AD17" s="4" cm="1">
        <f t="array" ref="AD17:AD18">_xlfn.DROP({1,2,3;4,5,6;7,8,9},I16,2)</f>
        <v>6</v>
      </c>
      <c r="AE17" s="4">
        <v>6</v>
      </c>
      <c r="AF17" s="4">
        <v>6</v>
      </c>
      <c r="AG17" s="4">
        <v>6</v>
      </c>
    </row>
    <row r="18" spans="1:63" x14ac:dyDescent="0.15">
      <c r="A18" s="99"/>
      <c r="B18" s="100"/>
      <c r="C18" s="13"/>
      <c r="D18" s="13"/>
      <c r="E18" s="13"/>
      <c r="F18" s="13"/>
      <c r="G18" s="13"/>
      <c r="H18" s="14"/>
      <c r="I18" s="14"/>
      <c r="J18" s="14"/>
      <c r="K18" s="14"/>
      <c r="L18" s="14"/>
      <c r="M18" s="15"/>
      <c r="N18" s="15"/>
      <c r="O18" s="15"/>
      <c r="P18" s="15"/>
      <c r="Q18" s="15"/>
      <c r="R18" s="4" t="e" cm="1">
        <f t="array" ref="R18">_xlfn.DROP({1,2,3;4,5,6;7,8,9},K16)</f>
        <v>#VALUE!</v>
      </c>
      <c r="S18" s="4">
        <v>7</v>
      </c>
      <c r="T18" s="4">
        <v>8</v>
      </c>
      <c r="U18" s="4">
        <v>9</v>
      </c>
      <c r="V18" s="4">
        <v>7</v>
      </c>
      <c r="W18" s="4">
        <v>8</v>
      </c>
      <c r="X18" s="4">
        <v>9</v>
      </c>
      <c r="Y18" s="4">
        <v>7</v>
      </c>
      <c r="Z18" s="4">
        <v>8</v>
      </c>
      <c r="AA18" s="4">
        <v>9</v>
      </c>
      <c r="AB18" s="4">
        <v>8</v>
      </c>
      <c r="AC18" s="4">
        <v>9</v>
      </c>
      <c r="AD18" s="4">
        <v>9</v>
      </c>
      <c r="AE18" s="4">
        <v>5</v>
      </c>
      <c r="AF18" s="4">
        <v>5</v>
      </c>
      <c r="AG18" s="4">
        <v>5</v>
      </c>
    </row>
    <row r="19" spans="1:63" x14ac:dyDescent="0.15">
      <c r="A19" s="99" t="s">
        <v>519</v>
      </c>
      <c r="B19" s="100" t="s">
        <v>541</v>
      </c>
      <c r="C19" s="13">
        <v>-2</v>
      </c>
      <c r="D19" s="13">
        <v>1.1000000000000001</v>
      </c>
      <c r="E19" s="13">
        <v>3</v>
      </c>
      <c r="F19" s="13">
        <v>2</v>
      </c>
      <c r="G19" s="13">
        <v>0</v>
      </c>
      <c r="H19" s="14"/>
      <c r="I19" s="81" t="s">
        <v>819</v>
      </c>
      <c r="J19" s="14" t="b">
        <v>1</v>
      </c>
      <c r="K19" s="14" t="e">
        <f>#VALUE!</f>
        <v>#VALUE!</v>
      </c>
      <c r="L19" s="14" t="e">
        <v>#N/A</v>
      </c>
      <c r="M19" s="15" t="e">
        <v>#DIV/0!</v>
      </c>
      <c r="N19" s="15" t="e">
        <v>#NAME?</v>
      </c>
      <c r="O19" s="15" t="e">
        <v>#NULL!</v>
      </c>
      <c r="P19" s="15" t="e">
        <v>#NUM!</v>
      </c>
      <c r="Q19" s="15" t="e">
        <v>#REF!</v>
      </c>
      <c r="R19" s="4" t="e" cm="1">
        <f t="array" ref="R19">_xlfn.EXPAND({1},C19)</f>
        <v>#VALUE!</v>
      </c>
      <c r="S19" s="4" cm="1">
        <f t="array" ref="S19">_xlfn.EXPAND({1},D19)</f>
        <v>1</v>
      </c>
      <c r="T19" s="4" cm="1">
        <f t="array" ref="T19:T21">_xlfn.EXPAND({1},E19)</f>
        <v>1</v>
      </c>
      <c r="U19" s="4" cm="1">
        <f t="array" ref="U19:V20">_xlfn.EXPAND({1},F19,2,4)</f>
        <v>1</v>
      </c>
      <c r="V19" s="4">
        <v>4</v>
      </c>
      <c r="W19" s="4" t="e" cm="1">
        <f t="array" ref="W19">_xlfn.EXPAND({1},H19)</f>
        <v>#VALUE!</v>
      </c>
      <c r="X19" s="4" cm="1">
        <f t="array" ref="X19">_xlfn.EXPAND({1},I19)</f>
        <v>1</v>
      </c>
      <c r="Y19" s="4" cm="1">
        <f t="array" ref="Y19">_xlfn.EXPAND({1},J19)</f>
        <v>1</v>
      </c>
      <c r="Z19" s="4" t="e" cm="1">
        <f t="array" ref="Z19">_xlfn.EXPAND({1},K19)</f>
        <v>#VALUE!</v>
      </c>
      <c r="AA19" s="4" t="e" cm="1">
        <f t="array" ref="AA19">_xlfn.EXPAND({1},L19)</f>
        <v>#N/A</v>
      </c>
      <c r="AB19" s="4" t="e" cm="1">
        <f t="array" ref="AB19">_xlfn.EXPAND({1},M19)</f>
        <v>#DIV/0!</v>
      </c>
      <c r="AC19" s="4" t="e" cm="1">
        <f t="array" ref="AC19">_xlfn.EXPAND({1},N19)</f>
        <v>#NAME?</v>
      </c>
      <c r="AD19" s="4" t="e" cm="1">
        <f t="array" ref="AD19">_xlfn.EXPAND({1},O19)</f>
        <v>#NULL!</v>
      </c>
      <c r="AE19" s="4" t="e" cm="1">
        <f t="array" ref="AE19">_xlfn.EXPAND({1},P19)</f>
        <v>#NUM!</v>
      </c>
      <c r="AF19" s="4" t="e" cm="1">
        <f t="array" ref="AF19">_xlfn.EXPAND({1},Q19)</f>
        <v>#REF!</v>
      </c>
      <c r="AG19" s="4" cm="1">
        <f t="array" ref="AG19">_xlfn.EXPAND({1},I19)</f>
        <v>1</v>
      </c>
    </row>
    <row r="20" spans="1:63" x14ac:dyDescent="0.15">
      <c r="A20" s="99"/>
      <c r="B20" s="100"/>
      <c r="H20" s="16"/>
      <c r="I20" s="16"/>
      <c r="J20" s="6"/>
      <c r="K20" s="6"/>
      <c r="L20" s="6"/>
      <c r="M20" s="7"/>
      <c r="N20" s="7"/>
      <c r="O20" s="7"/>
      <c r="P20" s="7"/>
      <c r="Q20" s="7"/>
      <c r="T20" s="4" t="e">
        <v>#N/A</v>
      </c>
      <c r="U20" s="4">
        <v>4</v>
      </c>
      <c r="V20" s="4">
        <v>4</v>
      </c>
      <c r="W20" s="4" t="e" cm="1">
        <f t="array" ref="W20">_xlfn.EXPAND({1},G19)</f>
        <v>#VALUE!</v>
      </c>
    </row>
    <row r="21" spans="1:63" x14ac:dyDescent="0.15">
      <c r="A21" s="99"/>
      <c r="B21" s="100"/>
      <c r="H21" s="16"/>
      <c r="I21" s="16"/>
      <c r="J21" s="6"/>
      <c r="K21" s="6"/>
      <c r="L21" s="6"/>
      <c r="M21" s="7"/>
      <c r="N21" s="7"/>
      <c r="O21" s="7"/>
      <c r="P21" s="7"/>
      <c r="Q21" s="7"/>
      <c r="T21" s="4" t="e">
        <v>#N/A</v>
      </c>
    </row>
    <row r="22" spans="1:63" x14ac:dyDescent="0.15">
      <c r="A22" s="35" t="s">
        <v>495</v>
      </c>
      <c r="B22" s="36" t="s">
        <v>541</v>
      </c>
      <c r="C22" s="13">
        <v>-1.1000000000000001</v>
      </c>
      <c r="D22" s="13">
        <v>2.1</v>
      </c>
      <c r="E22" s="13">
        <v>3</v>
      </c>
      <c r="F22" s="13">
        <v>4</v>
      </c>
      <c r="G22" s="13">
        <v>4.0999999999999996</v>
      </c>
      <c r="H22" s="14"/>
      <c r="I22" s="14" t="s">
        <v>338</v>
      </c>
      <c r="J22" s="14" t="b">
        <v>1</v>
      </c>
      <c r="K22" s="14" t="e">
        <f>#VALUE!</f>
        <v>#VALUE!</v>
      </c>
      <c r="L22" s="14" t="e">
        <v>#N/A</v>
      </c>
      <c r="M22" s="15" t="e">
        <v>#DIV/0!</v>
      </c>
      <c r="N22" s="15" t="e">
        <v>#NAME?</v>
      </c>
      <c r="O22" s="15" t="e">
        <v>#NULL!</v>
      </c>
      <c r="P22" s="15" t="e">
        <v>#NUM!</v>
      </c>
      <c r="Q22" s="15" t="e">
        <v>#REF!</v>
      </c>
      <c r="R22" s="6" cm="1">
        <f t="array" ref="R22:S22">_xlfn._xlws.FILTER($C$22:$D$22,C22:D22)</f>
        <v>-1.1000000000000001</v>
      </c>
      <c r="S22" s="6">
        <v>2.1</v>
      </c>
      <c r="T22" s="6" cm="1">
        <f t="array" ref="T22:U22">_xlfn._xlws.FILTER($C$22:$D$22,E22:F22)</f>
        <v>-1.1000000000000001</v>
      </c>
      <c r="U22" s="6">
        <v>2.1</v>
      </c>
      <c r="V22" s="6" cm="1">
        <f t="array" ref="V22">_xlfn._xlws.FILTER($C$22:$D$22,G22:H22)</f>
        <v>-1.1000000000000001</v>
      </c>
      <c r="W22" s="6" t="e" cm="1" vm="31">
        <f t="array" ref="W22">_xlfn._xlws.FILTER($C$22:$D$22,H22)</f>
        <v>#VALUE!</v>
      </c>
      <c r="X22" s="6" t="e" cm="1">
        <f t="array" ref="X22">_xlfn._xlws.FILTER($C$22:$D$22,H22:I22)</f>
        <v>#VALUE!</v>
      </c>
      <c r="Y22" s="6" cm="1">
        <f t="array" ref="Y22:Z22">_xlfn._xlws.FILTER($C$22:$D$22,J22)</f>
        <v>-1.1000000000000001</v>
      </c>
      <c r="Z22" s="4">
        <v>2.1</v>
      </c>
      <c r="AA22" s="6" t="e" cm="1">
        <f t="array" ref="AA22">_xlfn._xlws.FILTER($C$22:$D$22,L22:M22)</f>
        <v>#N/A</v>
      </c>
      <c r="AB22" s="6" t="e" cm="1">
        <f t="array" ref="AB22">_xlfn._xlws.FILTER($C$22:$D$22,M22:N22)</f>
        <v>#DIV/0!</v>
      </c>
      <c r="AC22" s="6" t="e" cm="1">
        <f t="array" ref="AC22">_xlfn._xlws.FILTER($C$22:$D$22,N22:O22)</f>
        <v>#NAME?</v>
      </c>
      <c r="AD22" s="6" t="e" cm="1">
        <f t="array" ref="AD22">_xlfn._xlws.FILTER($C$22:$D$22,O22:P22)</f>
        <v>#NULL!</v>
      </c>
      <c r="AE22" s="6" t="e" cm="1">
        <f t="array" ref="AE22">_xlfn._xlws.FILTER($C$22:$D$22,P22:Q22)</f>
        <v>#NUM!</v>
      </c>
      <c r="AF22" s="6" t="e" cm="1">
        <f t="array" ref="AF22">_xlfn._xlws.FILTER($C$22:$D$22,Q22:R22)</f>
        <v>#REF!</v>
      </c>
      <c r="AG22" s="6">
        <f t="array" ref="AG22">_xlfn._xlws.FILTER($C$22:$D$22,F22:G22)</f>
        <v>-1.1000000000000001</v>
      </c>
      <c r="AH22" s="4">
        <f t="array" ref="AH22:AJ22">_xlfn._xlws.FILTER($C$22:$E$22,F22:H22)</f>
        <v>-1.1000000000000001</v>
      </c>
      <c r="AI22" s="4">
        <v>2.1</v>
      </c>
      <c r="AJ22" s="4" t="e">
        <v>#N/A</v>
      </c>
      <c r="AK22" s="4">
        <f t="array" ref="AK22:AW22">_xlfn._xlws.FILTER($C$22:$D$22,F22:G22)</f>
        <v>-1.1000000000000001</v>
      </c>
      <c r="AL22" s="4">
        <v>2.1</v>
      </c>
      <c r="AM22" s="6" t="e">
        <v>#N/A</v>
      </c>
      <c r="AN22" s="6" t="e">
        <v>#N/A</v>
      </c>
      <c r="AO22" s="6" t="e">
        <v>#N/A</v>
      </c>
      <c r="AP22" s="6" t="e">
        <v>#N/A</v>
      </c>
      <c r="AQ22" s="6" t="e">
        <v>#N/A</v>
      </c>
      <c r="AR22" s="7" t="e">
        <v>#N/A</v>
      </c>
      <c r="AS22" s="7" t="e">
        <v>#N/A</v>
      </c>
      <c r="AT22" s="7" t="e">
        <v>#N/A</v>
      </c>
      <c r="AU22" s="7" t="e">
        <v>#N/A</v>
      </c>
      <c r="AV22" s="7" t="e">
        <v>#N/A</v>
      </c>
      <c r="AW22" s="6" t="e">
        <v>#N/A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</row>
    <row r="23" spans="1:63" x14ac:dyDescent="0.15">
      <c r="A23" s="40" t="s">
        <v>325</v>
      </c>
      <c r="H23" s="6"/>
      <c r="I23" s="6"/>
      <c r="J23" s="6"/>
      <c r="K23" s="6"/>
      <c r="L23" s="6"/>
      <c r="M23" s="7"/>
      <c r="N23" s="7"/>
      <c r="O23" s="7"/>
      <c r="P23" s="7"/>
      <c r="Q23" s="7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63" x14ac:dyDescent="0.15">
      <c r="A24" s="40" t="s">
        <v>326</v>
      </c>
    </row>
    <row r="25" spans="1:63" ht="15" x14ac:dyDescent="0.2">
      <c r="A25" s="99" t="s">
        <v>557</v>
      </c>
      <c r="B25" s="100" t="s">
        <v>541</v>
      </c>
      <c r="C25" s="13" t="s">
        <v>790</v>
      </c>
      <c r="D25" s="13" t="s">
        <v>789</v>
      </c>
      <c r="E25" s="13" t="s">
        <v>791</v>
      </c>
      <c r="F25" s="13" t="s">
        <v>792</v>
      </c>
      <c r="G25" s="13" t="s">
        <v>793</v>
      </c>
      <c r="H25" s="13" t="s">
        <v>808</v>
      </c>
      <c r="I25" s="4" t="s">
        <v>806</v>
      </c>
      <c r="J25" s="4" t="s">
        <v>807</v>
      </c>
      <c r="K25" s="4" t="s">
        <v>809</v>
      </c>
      <c r="M25" s="4" t="str" cm="1">
        <f t="array" ref="M25:Q39">_xlfn.GROUPBY(C25:E43,I25:J43,_xleta.SUM,3, 3)</f>
        <v>row-2</v>
      </c>
      <c r="N25" s="4" t="str">
        <v>row-1</v>
      </c>
      <c r="O25" s="4" t="str">
        <v>row-3</v>
      </c>
      <c r="P25" s="4" t="str">
        <v>val1</v>
      </c>
      <c r="Q25" s="4" t="str">
        <v>val2</v>
      </c>
      <c r="S25" s="4" t="str" cm="1">
        <f t="array" ref="S25:W39">_xlfn.GROUPBY(C25:E43,I25:J43,_xleta.PERCENTOF,3, 3)</f>
        <v>row-2</v>
      </c>
      <c r="T25" s="4" t="str">
        <v>row-1</v>
      </c>
      <c r="U25" s="4" t="str">
        <v>row-3</v>
      </c>
      <c r="V25" s="4" t="str">
        <v>val1</v>
      </c>
      <c r="W25" s="4" t="str">
        <v>val2</v>
      </c>
      <c r="Y25" s="72" t="str" cm="1">
        <f t="array" ref="Y25:AC32">_xlfn.GROUPBY(C25:E43,I25:J43,_xleta.AVERAGE)</f>
        <v>r2</v>
      </c>
      <c r="Z25" s="4" t="str">
        <v>r2-1</v>
      </c>
      <c r="AA25" s="4" t="str">
        <v>r2-1-1</v>
      </c>
      <c r="AB25" s="4">
        <v>1</v>
      </c>
      <c r="AC25" s="4">
        <v>5</v>
      </c>
      <c r="AE25" s="72" t="str" cm="1">
        <f t="array" ref="AE25:AI32">_xlfn.GROUPBY(F25:H43,I25:J43,_xleta.AVERAGE,3,1,1,K25:K43,1)</f>
        <v>col-1</v>
      </c>
      <c r="AF25" s="4" t="str">
        <v>col-2</v>
      </c>
      <c r="AG25" s="4" t="str">
        <v>col-3</v>
      </c>
      <c r="AH25" s="4" t="str">
        <v>val1</v>
      </c>
      <c r="AI25" s="4" t="str">
        <v>val2</v>
      </c>
    </row>
    <row r="26" spans="1:63" x14ac:dyDescent="0.15">
      <c r="A26" s="99"/>
      <c r="B26" s="100"/>
      <c r="C26" s="13" t="s">
        <v>794</v>
      </c>
      <c r="D26" s="4" t="s">
        <v>795</v>
      </c>
      <c r="E26" s="4" t="s">
        <v>796</v>
      </c>
      <c r="F26" s="13" t="s">
        <v>338</v>
      </c>
      <c r="G26" s="4" t="s">
        <v>612</v>
      </c>
      <c r="H26" s="4" t="s">
        <v>810</v>
      </c>
      <c r="I26" s="13">
        <v>1</v>
      </c>
      <c r="J26" s="13">
        <v>5</v>
      </c>
      <c r="K26" s="4">
        <v>1</v>
      </c>
      <c r="L26" s="4">
        <v>1</v>
      </c>
      <c r="M26" s="4" t="str">
        <v>r2</v>
      </c>
      <c r="N26" s="4" t="str">
        <v>r2-1</v>
      </c>
      <c r="O26" s="4" t="str">
        <v>r2-1-1</v>
      </c>
      <c r="P26" s="4">
        <v>1</v>
      </c>
      <c r="Q26" s="4">
        <v>5</v>
      </c>
      <c r="S26" s="4" t="str">
        <v>r2</v>
      </c>
      <c r="T26" s="4" t="str">
        <v>r2-1</v>
      </c>
      <c r="U26" s="4" t="str">
        <v>r2-1-1</v>
      </c>
      <c r="V26" s="4">
        <v>2.4390243902439025E-2</v>
      </c>
      <c r="W26" s="4">
        <v>0.7142857142857143</v>
      </c>
      <c r="Y26" s="4" t="str">
        <v>r2</v>
      </c>
      <c r="Z26" s="4" t="str">
        <v>r2-1</v>
      </c>
      <c r="AA26" s="4" t="str">
        <v>r2-1-2</v>
      </c>
      <c r="AB26" s="4">
        <v>1.3333333333333333</v>
      </c>
      <c r="AC26" s="4">
        <v>-2.6666666666666665</v>
      </c>
      <c r="AE26" s="4" t="str">
        <v>a</v>
      </c>
      <c r="AF26" s="4" t="str">
        <v>e</v>
      </c>
      <c r="AG26" s="4" t="str">
        <v>c2-1-1</v>
      </c>
      <c r="AH26" s="4">
        <v>8</v>
      </c>
      <c r="AI26" s="4">
        <v>-7</v>
      </c>
    </row>
    <row r="27" spans="1:63" x14ac:dyDescent="0.15">
      <c r="A27" s="99"/>
      <c r="B27" s="100"/>
      <c r="C27" s="13" t="s">
        <v>794</v>
      </c>
      <c r="D27" s="4" t="s">
        <v>797</v>
      </c>
      <c r="E27" s="4" t="s">
        <v>798</v>
      </c>
      <c r="F27" s="13" t="s">
        <v>338</v>
      </c>
      <c r="G27" s="4" t="s">
        <v>498</v>
      </c>
      <c r="H27" s="4" t="s">
        <v>811</v>
      </c>
      <c r="I27" s="13">
        <v>6</v>
      </c>
      <c r="J27" s="13">
        <v>9</v>
      </c>
      <c r="K27" s="4">
        <v>0</v>
      </c>
      <c r="L27" s="4">
        <v>1</v>
      </c>
      <c r="M27" s="4" t="str">
        <v>r2</v>
      </c>
      <c r="N27" s="4" t="str">
        <v>r2-1</v>
      </c>
      <c r="O27" s="4" t="str">
        <v>r2-1-2</v>
      </c>
      <c r="P27" s="4">
        <v>4</v>
      </c>
      <c r="Q27" s="4">
        <v>-8</v>
      </c>
      <c r="S27" s="4" t="str">
        <v>r2</v>
      </c>
      <c r="T27" s="4" t="str">
        <v>r2-1</v>
      </c>
      <c r="U27" s="4" t="str">
        <v>r2-1-2</v>
      </c>
      <c r="V27" s="4">
        <v>9.7560975609756101E-2</v>
      </c>
      <c r="W27" s="4">
        <v>-1.1428571428571428</v>
      </c>
      <c r="Y27" s="4" t="str">
        <v>r2</v>
      </c>
      <c r="Z27" s="4" t="str">
        <v>r2-2</v>
      </c>
      <c r="AA27" s="4" t="str">
        <v>r2-2-1</v>
      </c>
      <c r="AB27" s="4">
        <v>4.333333333333333</v>
      </c>
      <c r="AC27" s="4">
        <v>1.6666666666666667</v>
      </c>
      <c r="AE27" s="4" t="str">
        <v>a</v>
      </c>
      <c r="AF27" s="4" t="str">
        <v>e</v>
      </c>
      <c r="AG27" s="4" t="str">
        <v>c2-1-2</v>
      </c>
      <c r="AH27" s="4">
        <v>7.5</v>
      </c>
      <c r="AI27" s="4">
        <v>-4</v>
      </c>
    </row>
    <row r="28" spans="1:63" x14ac:dyDescent="0.15">
      <c r="A28" s="99"/>
      <c r="B28" s="100"/>
      <c r="C28" s="13" t="s">
        <v>818</v>
      </c>
      <c r="D28" s="4" t="s">
        <v>799</v>
      </c>
      <c r="E28" s="4" t="s">
        <v>800</v>
      </c>
      <c r="F28" s="13" t="s">
        <v>338</v>
      </c>
      <c r="G28" s="4" t="s">
        <v>612</v>
      </c>
      <c r="H28" s="4" t="s">
        <v>812</v>
      </c>
      <c r="I28" s="13">
        <v>-9</v>
      </c>
      <c r="J28" s="13">
        <v>8</v>
      </c>
      <c r="K28" s="4">
        <v>0</v>
      </c>
      <c r="L28" s="4" t="e">
        <v>#VALUE!</v>
      </c>
      <c r="M28" s="4" t="str">
        <v>r2</v>
      </c>
      <c r="N28" s="4" t="str">
        <v>r2-1</v>
      </c>
      <c r="O28" s="4" t="str">
        <v/>
      </c>
      <c r="P28" s="4">
        <v>5</v>
      </c>
      <c r="Q28" s="4">
        <v>-3</v>
      </c>
      <c r="S28" s="4" t="str">
        <v>r2</v>
      </c>
      <c r="T28" s="4" t="str">
        <v>r2-1</v>
      </c>
      <c r="U28" s="4" t="str">
        <v/>
      </c>
      <c r="V28" s="4">
        <v>0.12195121951219512</v>
      </c>
      <c r="W28" s="4">
        <v>-0.42857142857142855</v>
      </c>
      <c r="Y28" s="4" t="str">
        <v>r2</v>
      </c>
      <c r="Z28" s="4" t="str">
        <v>r2-2</v>
      </c>
      <c r="AA28" s="4" t="str">
        <v>r2-2-2</v>
      </c>
      <c r="AB28" s="4">
        <v>0.75</v>
      </c>
      <c r="AC28" s="4">
        <v>0.5</v>
      </c>
      <c r="AE28" s="4" t="str">
        <v>a</v>
      </c>
      <c r="AF28" s="4" t="str">
        <v>g</v>
      </c>
      <c r="AG28" s="4" t="str">
        <v>c2-2-2</v>
      </c>
      <c r="AH28" s="4">
        <v>7</v>
      </c>
      <c r="AI28" s="4">
        <v>-1</v>
      </c>
    </row>
    <row r="29" spans="1:63" x14ac:dyDescent="0.15">
      <c r="A29" s="99"/>
      <c r="B29" s="100"/>
      <c r="C29" s="13" t="s">
        <v>794</v>
      </c>
      <c r="D29" s="4" t="s">
        <v>797</v>
      </c>
      <c r="E29" s="4" t="s">
        <v>801</v>
      </c>
      <c r="F29" s="13" t="s">
        <v>338</v>
      </c>
      <c r="G29" s="4" t="s">
        <v>612</v>
      </c>
      <c r="H29" s="4" t="s">
        <v>812</v>
      </c>
      <c r="I29" s="13">
        <v>-1</v>
      </c>
      <c r="J29" s="13">
        <v>7</v>
      </c>
      <c r="K29" s="4">
        <v>1</v>
      </c>
      <c r="L29" s="4">
        <v>1</v>
      </c>
      <c r="M29" s="4" t="str">
        <v>r2</v>
      </c>
      <c r="N29" s="4" t="str">
        <v>r2-2</v>
      </c>
      <c r="O29" s="4" t="str">
        <v>r2-2-1</v>
      </c>
      <c r="P29" s="4">
        <v>13</v>
      </c>
      <c r="Q29" s="4">
        <v>5</v>
      </c>
      <c r="S29" s="4" t="str">
        <v>r2</v>
      </c>
      <c r="T29" s="4" t="str">
        <v>r2-2</v>
      </c>
      <c r="U29" s="4" t="str">
        <v>r2-2-1</v>
      </c>
      <c r="V29" s="4">
        <v>0.31707317073170732</v>
      </c>
      <c r="W29" s="4">
        <v>0.7142857142857143</v>
      </c>
      <c r="Y29" s="4" t="str">
        <v>r3</v>
      </c>
      <c r="Z29" s="4" t="str">
        <v>r1-1</v>
      </c>
      <c r="AA29" s="4" t="str">
        <v>r1-1-2</v>
      </c>
      <c r="AB29" s="4">
        <v>-0.66666666666666663</v>
      </c>
      <c r="AC29" s="4">
        <v>3</v>
      </c>
      <c r="AE29" s="4" t="str">
        <v>b</v>
      </c>
      <c r="AF29" s="4" t="str">
        <v>d</v>
      </c>
      <c r="AG29" s="4" t="str">
        <v>c1-2-1</v>
      </c>
      <c r="AH29" s="4">
        <v>4</v>
      </c>
      <c r="AI29" s="4">
        <v>2</v>
      </c>
    </row>
    <row r="30" spans="1:63" x14ac:dyDescent="0.15">
      <c r="A30" s="99"/>
      <c r="B30" s="100"/>
      <c r="C30" s="13" t="s">
        <v>818</v>
      </c>
      <c r="D30" s="4" t="s">
        <v>802</v>
      </c>
      <c r="E30" s="4" t="s">
        <v>803</v>
      </c>
      <c r="F30" s="13" t="s">
        <v>338</v>
      </c>
      <c r="G30" s="4" t="s">
        <v>612</v>
      </c>
      <c r="H30" s="4" t="s">
        <v>810</v>
      </c>
      <c r="I30" s="13">
        <v>6</v>
      </c>
      <c r="J30" s="13">
        <v>3</v>
      </c>
      <c r="K30" s="4">
        <v>0</v>
      </c>
      <c r="L30" s="4">
        <v>0</v>
      </c>
      <c r="M30" s="4" t="str">
        <v>r2</v>
      </c>
      <c r="N30" s="4" t="str">
        <v>r2-2</v>
      </c>
      <c r="O30" s="4" t="str">
        <v>r2-2-2</v>
      </c>
      <c r="P30" s="4">
        <v>3</v>
      </c>
      <c r="Q30" s="4">
        <v>2</v>
      </c>
      <c r="S30" s="4" t="str">
        <v>r2</v>
      </c>
      <c r="T30" s="4" t="str">
        <v>r2-2</v>
      </c>
      <c r="U30" s="4" t="str">
        <v>r2-2-2</v>
      </c>
      <c r="V30" s="4">
        <v>7.3170731707317069E-2</v>
      </c>
      <c r="W30" s="4">
        <v>0.2857142857142857</v>
      </c>
      <c r="Y30" s="4" t="str">
        <v>r3</v>
      </c>
      <c r="Z30" s="4" t="str">
        <v>r1-2</v>
      </c>
      <c r="AA30" s="4" t="str">
        <v>r1-2-1</v>
      </c>
      <c r="AB30" s="4">
        <v>7</v>
      </c>
      <c r="AC30" s="4">
        <v>-4</v>
      </c>
      <c r="AE30" s="4" t="str">
        <v>b</v>
      </c>
      <c r="AF30" s="4" t="str">
        <v>d</v>
      </c>
      <c r="AG30" s="4" t="str">
        <v>c1-2-2</v>
      </c>
      <c r="AH30" s="4">
        <v>-1</v>
      </c>
      <c r="AI30" s="4">
        <v>7</v>
      </c>
    </row>
    <row r="31" spans="1:63" x14ac:dyDescent="0.15">
      <c r="A31" s="99"/>
      <c r="B31" s="100"/>
      <c r="C31" s="13" t="s">
        <v>794</v>
      </c>
      <c r="D31" s="4" t="s">
        <v>795</v>
      </c>
      <c r="E31" s="4" t="s">
        <v>804</v>
      </c>
      <c r="F31" s="13" t="s">
        <v>338</v>
      </c>
      <c r="G31" s="4" t="s">
        <v>612</v>
      </c>
      <c r="H31" s="4" t="s">
        <v>810</v>
      </c>
      <c r="I31" s="13">
        <v>3</v>
      </c>
      <c r="J31" s="13">
        <v>-7</v>
      </c>
      <c r="K31" s="4">
        <v>0</v>
      </c>
      <c r="L31" s="4">
        <v>0</v>
      </c>
      <c r="M31" s="4" t="str">
        <v>r2</v>
      </c>
      <c r="N31" s="4" t="str">
        <v>r2-2</v>
      </c>
      <c r="O31" s="4" t="str">
        <v/>
      </c>
      <c r="P31" s="4">
        <v>16</v>
      </c>
      <c r="Q31" s="4">
        <v>7</v>
      </c>
      <c r="S31" s="4" t="str">
        <v>r2</v>
      </c>
      <c r="T31" s="4" t="str">
        <v>r2-2</v>
      </c>
      <c r="U31" s="4" t="str">
        <v/>
      </c>
      <c r="V31" s="4">
        <v>0.3902439024390244</v>
      </c>
      <c r="W31" s="4">
        <v>1</v>
      </c>
      <c r="Y31" s="4" t="str">
        <v>r3</v>
      </c>
      <c r="Z31" s="4" t="str">
        <v>r1-2</v>
      </c>
      <c r="AA31" s="4" t="str">
        <v>r1-2-2</v>
      </c>
      <c r="AB31" s="4">
        <v>5</v>
      </c>
      <c r="AC31" s="4">
        <v>-0.66666666666666663</v>
      </c>
      <c r="AE31" s="4" t="str">
        <v>b</v>
      </c>
      <c r="AF31" s="4" t="str">
        <v>f</v>
      </c>
      <c r="AG31" s="4" t="str">
        <v>c1-1-1</v>
      </c>
      <c r="AH31" s="4">
        <v>9</v>
      </c>
      <c r="AI31" s="4">
        <v>3</v>
      </c>
    </row>
    <row r="32" spans="1:63" x14ac:dyDescent="0.15">
      <c r="A32" s="99"/>
      <c r="B32" s="100"/>
      <c r="C32" s="13" t="s">
        <v>818</v>
      </c>
      <c r="D32" s="4" t="s">
        <v>802</v>
      </c>
      <c r="E32" s="4" t="s">
        <v>805</v>
      </c>
      <c r="F32" s="13" t="s">
        <v>411</v>
      </c>
      <c r="G32" s="4" t="s">
        <v>665</v>
      </c>
      <c r="H32" s="4" t="s">
        <v>813</v>
      </c>
      <c r="I32" s="13">
        <v>7</v>
      </c>
      <c r="J32" s="13">
        <v>-4</v>
      </c>
      <c r="K32" s="4">
        <v>1</v>
      </c>
      <c r="L32" s="4">
        <v>1</v>
      </c>
      <c r="M32" s="4" t="str">
        <v>r2</v>
      </c>
      <c r="N32" s="4" t="str">
        <v/>
      </c>
      <c r="O32" s="4" t="str">
        <v/>
      </c>
      <c r="P32" s="4">
        <v>21</v>
      </c>
      <c r="Q32" s="4">
        <v>4</v>
      </c>
      <c r="S32" s="4" t="str">
        <v>r2</v>
      </c>
      <c r="T32" s="4" t="str">
        <v/>
      </c>
      <c r="U32" s="4" t="str">
        <v/>
      </c>
      <c r="V32" s="4">
        <v>0.51219512195121952</v>
      </c>
      <c r="W32" s="4">
        <v>0.5714285714285714</v>
      </c>
      <c r="Y32" s="4" t="str">
        <v>Total</v>
      </c>
      <c r="Z32" s="4" t="str">
        <v/>
      </c>
      <c r="AA32" s="4" t="str">
        <v/>
      </c>
      <c r="AB32" s="4">
        <v>2.2777777777777777</v>
      </c>
      <c r="AC32" s="4">
        <v>0.3888888888888889</v>
      </c>
      <c r="AE32" s="4" t="str">
        <v>Total</v>
      </c>
      <c r="AF32" s="4" t="str">
        <v/>
      </c>
      <c r="AG32" s="4" t="str">
        <v/>
      </c>
      <c r="AH32" s="4">
        <v>5.8888888888888893</v>
      </c>
      <c r="AI32" s="4">
        <v>-0.33333333333333331</v>
      </c>
    </row>
    <row r="33" spans="1:49" x14ac:dyDescent="0.15">
      <c r="A33" s="99"/>
      <c r="B33" s="100"/>
      <c r="C33" s="13" t="s">
        <v>794</v>
      </c>
      <c r="D33" s="4" t="s">
        <v>797</v>
      </c>
      <c r="E33" s="4" t="s">
        <v>798</v>
      </c>
      <c r="F33" s="13" t="s">
        <v>411</v>
      </c>
      <c r="G33" s="4" t="s">
        <v>665</v>
      </c>
      <c r="H33" s="4" t="s">
        <v>813</v>
      </c>
      <c r="I33" s="13">
        <v>-4</v>
      </c>
      <c r="J33" s="13">
        <v>1</v>
      </c>
      <c r="K33" s="4">
        <v>0</v>
      </c>
      <c r="L33" s="4">
        <v>0</v>
      </c>
      <c r="M33" s="4" t="str">
        <v>r3</v>
      </c>
      <c r="N33" s="4" t="str">
        <v>r1-1</v>
      </c>
      <c r="O33" s="4" t="str">
        <v>r1-1-2</v>
      </c>
      <c r="P33" s="4">
        <v>-2</v>
      </c>
      <c r="Q33" s="4">
        <v>9</v>
      </c>
      <c r="S33" s="4" t="str">
        <v>r3</v>
      </c>
      <c r="T33" s="4" t="str">
        <v>r1-1</v>
      </c>
      <c r="U33" s="4" t="str">
        <v>r1-1-2</v>
      </c>
      <c r="V33" s="4">
        <v>-4.878048780487805E-2</v>
      </c>
      <c r="W33" s="4">
        <v>1.2857142857142858</v>
      </c>
    </row>
    <row r="34" spans="1:49" x14ac:dyDescent="0.15">
      <c r="A34" s="99"/>
      <c r="B34" s="100"/>
      <c r="C34" s="13" t="s">
        <v>794</v>
      </c>
      <c r="D34" s="4" t="s">
        <v>795</v>
      </c>
      <c r="E34" s="4" t="s">
        <v>804</v>
      </c>
      <c r="F34" s="13" t="s">
        <v>411</v>
      </c>
      <c r="G34" s="4" t="s">
        <v>665</v>
      </c>
      <c r="H34" s="4" t="s">
        <v>813</v>
      </c>
      <c r="I34" s="13">
        <v>-7</v>
      </c>
      <c r="J34" s="13">
        <v>6</v>
      </c>
      <c r="K34" s="4">
        <v>0</v>
      </c>
      <c r="L34" s="4">
        <v>0</v>
      </c>
      <c r="M34" s="4" t="str">
        <v>r3</v>
      </c>
      <c r="N34" s="4" t="str">
        <v>r1-1</v>
      </c>
      <c r="O34" s="4" t="str">
        <v/>
      </c>
      <c r="P34" s="4">
        <v>-2</v>
      </c>
      <c r="Q34" s="4">
        <v>9</v>
      </c>
      <c r="S34" s="4" t="str">
        <v>r3</v>
      </c>
      <c r="T34" s="4" t="str">
        <v>r1-1</v>
      </c>
      <c r="U34" s="4" t="str">
        <v/>
      </c>
      <c r="V34" s="4">
        <v>-4.878048780487805E-2</v>
      </c>
      <c r="W34" s="4">
        <v>1.2857142857142858</v>
      </c>
      <c r="Y34" s="4" t="e" cm="1" vm="32">
        <f t="array" ref="Y34">_xlfn.GROUPBY(C25:E43,I25:J42,_xleta.AVERAGE)</f>
        <v>#VALUE!</v>
      </c>
      <c r="Z34" s="4" t="e" cm="1">
        <f t="array" ref="Z34">_xlfn.GROUPBY(C25:E43,I25:J43,_xleta.AVERAGE,1,2,6)</f>
        <v>#VALUE!</v>
      </c>
      <c r="AE34" s="4" t="str" cm="1">
        <f t="array" ref="AE34:AI41">_xlfn.GROUPBY(F25:H43,I25:J43,_xleta.AVERAGE,3,1,1,K25:K43,0)</f>
        <v>col-1</v>
      </c>
      <c r="AF34" s="4" t="str">
        <v>col-2</v>
      </c>
      <c r="AG34" s="4" t="str">
        <v>col-3</v>
      </c>
      <c r="AH34" s="4" t="str">
        <v>val1</v>
      </c>
      <c r="AI34" s="4" t="str">
        <v>val2</v>
      </c>
    </row>
    <row r="35" spans="1:49" x14ac:dyDescent="0.15">
      <c r="A35" s="99"/>
      <c r="B35" s="100"/>
      <c r="C35" s="13" t="s">
        <v>794</v>
      </c>
      <c r="D35" s="4" t="s">
        <v>797</v>
      </c>
      <c r="E35" s="4" t="s">
        <v>801</v>
      </c>
      <c r="F35" s="13" t="s">
        <v>411</v>
      </c>
      <c r="G35" s="4" t="s">
        <v>616</v>
      </c>
      <c r="H35" s="4" t="s">
        <v>814</v>
      </c>
      <c r="I35" s="13">
        <v>9</v>
      </c>
      <c r="J35" s="13">
        <v>-9</v>
      </c>
      <c r="K35" s="4">
        <v>1</v>
      </c>
      <c r="L35" s="4">
        <v>1</v>
      </c>
      <c r="M35" s="4" t="str">
        <v>r3</v>
      </c>
      <c r="N35" s="4" t="str">
        <v>r1-2</v>
      </c>
      <c r="O35" s="4" t="str">
        <v>r1-2-1</v>
      </c>
      <c r="P35" s="4">
        <v>7</v>
      </c>
      <c r="Q35" s="4">
        <v>-4</v>
      </c>
      <c r="S35" s="4" t="str">
        <v>r3</v>
      </c>
      <c r="T35" s="4" t="str">
        <v>r1-2</v>
      </c>
      <c r="U35" s="4" t="str">
        <v>r1-2-1</v>
      </c>
      <c r="V35" s="4">
        <v>0.17073170731707318</v>
      </c>
      <c r="W35" s="4">
        <v>-0.5714285714285714</v>
      </c>
      <c r="AE35" s="4" t="str">
        <v>a</v>
      </c>
      <c r="AF35" s="4" t="str">
        <v>e</v>
      </c>
      <c r="AG35" s="4" t="str">
        <v>c2-1-1</v>
      </c>
      <c r="AH35" s="4">
        <v>8</v>
      </c>
      <c r="AI35" s="4">
        <v>-7</v>
      </c>
    </row>
    <row r="36" spans="1:49" x14ac:dyDescent="0.15">
      <c r="A36" s="99"/>
      <c r="B36" s="100"/>
      <c r="C36" s="13" t="s">
        <v>794</v>
      </c>
      <c r="D36" s="4" t="s">
        <v>797</v>
      </c>
      <c r="E36" s="4" t="s">
        <v>798</v>
      </c>
      <c r="F36" s="13" t="s">
        <v>338</v>
      </c>
      <c r="G36" s="4" t="s">
        <v>612</v>
      </c>
      <c r="H36" s="4" t="s">
        <v>810</v>
      </c>
      <c r="I36" s="13">
        <v>7</v>
      </c>
      <c r="J36" s="13">
        <v>-1</v>
      </c>
      <c r="K36" s="4">
        <v>1</v>
      </c>
      <c r="L36" s="4">
        <v>1</v>
      </c>
      <c r="M36" s="4" t="str">
        <v>r3</v>
      </c>
      <c r="N36" s="4" t="str">
        <v>r1-2</v>
      </c>
      <c r="O36" s="4" t="str">
        <v>r1-2-2</v>
      </c>
      <c r="P36" s="4">
        <v>15</v>
      </c>
      <c r="Q36" s="4">
        <v>-2</v>
      </c>
      <c r="S36" s="4" t="str">
        <v>r3</v>
      </c>
      <c r="T36" s="4" t="str">
        <v>r1-2</v>
      </c>
      <c r="U36" s="4" t="str">
        <v>r1-2-2</v>
      </c>
      <c r="V36" s="4">
        <v>0.36585365853658536</v>
      </c>
      <c r="W36" s="4">
        <v>-0.2857142857142857</v>
      </c>
      <c r="AE36" s="4" t="str">
        <v>a</v>
      </c>
      <c r="AF36" s="4" t="str">
        <v>e</v>
      </c>
      <c r="AG36" s="4" t="str">
        <v>c2-1-2</v>
      </c>
      <c r="AH36" s="4">
        <v>7.5</v>
      </c>
      <c r="AI36" s="4">
        <v>-4</v>
      </c>
    </row>
    <row r="37" spans="1:49" x14ac:dyDescent="0.15">
      <c r="A37" s="99"/>
      <c r="B37" s="100"/>
      <c r="C37" s="13" t="s">
        <v>794</v>
      </c>
      <c r="D37" s="4" t="s">
        <v>797</v>
      </c>
      <c r="E37" s="4" t="s">
        <v>801</v>
      </c>
      <c r="F37" s="13" t="s">
        <v>411</v>
      </c>
      <c r="G37" s="4" t="s">
        <v>616</v>
      </c>
      <c r="H37" s="4" t="s">
        <v>814</v>
      </c>
      <c r="I37" s="13">
        <v>5</v>
      </c>
      <c r="J37" s="13">
        <v>7</v>
      </c>
      <c r="K37" s="4">
        <v>1</v>
      </c>
      <c r="L37" s="4">
        <v>1</v>
      </c>
      <c r="M37" s="4" t="str">
        <v>r3</v>
      </c>
      <c r="N37" s="4" t="str">
        <v>r1-2</v>
      </c>
      <c r="O37" s="4" t="str">
        <v/>
      </c>
      <c r="P37" s="4">
        <v>22</v>
      </c>
      <c r="Q37" s="4">
        <v>-6</v>
      </c>
      <c r="S37" s="4" t="str">
        <v>r3</v>
      </c>
      <c r="T37" s="4" t="str">
        <v>r1-2</v>
      </c>
      <c r="U37" s="4" t="str">
        <v/>
      </c>
      <c r="V37" s="4">
        <v>0.53658536585365857</v>
      </c>
      <c r="W37" s="4">
        <v>-0.8571428571428571</v>
      </c>
      <c r="AE37" s="4" t="str">
        <v>a</v>
      </c>
      <c r="AF37" s="4" t="str">
        <v>g</v>
      </c>
      <c r="AG37" s="4" t="str">
        <v>c2-2-2</v>
      </c>
      <c r="AH37" s="4">
        <v>7</v>
      </c>
      <c r="AI37" s="4">
        <v>-1</v>
      </c>
    </row>
    <row r="38" spans="1:49" x14ac:dyDescent="0.15">
      <c r="A38" s="99"/>
      <c r="B38" s="100"/>
      <c r="C38" s="13" t="s">
        <v>818</v>
      </c>
      <c r="D38" s="4" t="s">
        <v>799</v>
      </c>
      <c r="E38" s="4" t="s">
        <v>800</v>
      </c>
      <c r="F38" s="13" t="s">
        <v>338</v>
      </c>
      <c r="G38" s="4" t="s">
        <v>498</v>
      </c>
      <c r="H38" s="4" t="s">
        <v>815</v>
      </c>
      <c r="I38" s="13">
        <v>9</v>
      </c>
      <c r="J38" s="13">
        <v>3</v>
      </c>
      <c r="K38" s="4">
        <v>1</v>
      </c>
      <c r="L38" s="4">
        <v>1</v>
      </c>
      <c r="M38" s="4" t="str">
        <v>r3</v>
      </c>
      <c r="N38" s="4" t="str">
        <v/>
      </c>
      <c r="O38" s="4" t="str">
        <v/>
      </c>
      <c r="P38" s="4">
        <v>20</v>
      </c>
      <c r="Q38" s="4">
        <v>3</v>
      </c>
      <c r="S38" s="4" t="str">
        <v>r3</v>
      </c>
      <c r="T38" s="4" t="str">
        <v/>
      </c>
      <c r="U38" s="4" t="str">
        <v/>
      </c>
      <c r="V38" s="4">
        <v>0.48780487804878048</v>
      </c>
      <c r="W38" s="4">
        <v>0.42857142857142855</v>
      </c>
      <c r="AE38" s="4" t="str">
        <v>b</v>
      </c>
      <c r="AF38" s="4" t="str">
        <v>d</v>
      </c>
      <c r="AG38" s="4" t="str">
        <v>c1-2-1</v>
      </c>
      <c r="AH38" s="4">
        <v>4</v>
      </c>
      <c r="AI38" s="4">
        <v>2</v>
      </c>
    </row>
    <row r="39" spans="1:49" x14ac:dyDescent="0.15">
      <c r="A39" s="99"/>
      <c r="B39" s="100"/>
      <c r="C39" s="13" t="s">
        <v>794</v>
      </c>
      <c r="D39" s="4" t="s">
        <v>795</v>
      </c>
      <c r="E39" s="4" t="s">
        <v>804</v>
      </c>
      <c r="F39" s="13" t="s">
        <v>411</v>
      </c>
      <c r="G39" s="4" t="s">
        <v>665</v>
      </c>
      <c r="H39" s="4" t="s">
        <v>816</v>
      </c>
      <c r="I39" s="13">
        <v>8</v>
      </c>
      <c r="J39" s="13">
        <v>-7</v>
      </c>
      <c r="K39" s="4">
        <v>1</v>
      </c>
      <c r="L39" s="4">
        <v>1</v>
      </c>
      <c r="M39" s="4" t="str">
        <v>Grand Total</v>
      </c>
      <c r="N39" s="4" t="str">
        <v/>
      </c>
      <c r="O39" s="4" t="str">
        <v/>
      </c>
      <c r="P39" s="4">
        <v>41</v>
      </c>
      <c r="Q39" s="4">
        <v>7</v>
      </c>
      <c r="S39" s="4" t="str">
        <v>Grand Total</v>
      </c>
      <c r="T39" s="4" t="str">
        <v/>
      </c>
      <c r="U39" s="4" t="str">
        <v/>
      </c>
      <c r="V39" s="4">
        <v>1</v>
      </c>
      <c r="W39" s="4">
        <v>1</v>
      </c>
      <c r="AE39" s="4" t="str">
        <v>b</v>
      </c>
      <c r="AF39" s="4" t="str">
        <v>d</v>
      </c>
      <c r="AG39" s="4" t="str">
        <v>c1-2-2</v>
      </c>
      <c r="AH39" s="4">
        <v>-1</v>
      </c>
      <c r="AI39" s="4">
        <v>7</v>
      </c>
    </row>
    <row r="40" spans="1:49" x14ac:dyDescent="0.15">
      <c r="A40" s="99"/>
      <c r="B40" s="100"/>
      <c r="C40" s="13" t="s">
        <v>818</v>
      </c>
      <c r="D40" s="4" t="s">
        <v>802</v>
      </c>
      <c r="E40" s="4" t="s">
        <v>803</v>
      </c>
      <c r="F40" s="13" t="s">
        <v>411</v>
      </c>
      <c r="G40" s="4" t="s">
        <v>665</v>
      </c>
      <c r="H40" s="4" t="s">
        <v>813</v>
      </c>
      <c r="I40" s="13">
        <v>8</v>
      </c>
      <c r="J40" s="13">
        <v>-4</v>
      </c>
      <c r="K40" s="4">
        <v>1</v>
      </c>
      <c r="L40" s="4">
        <v>0</v>
      </c>
      <c r="AE40" s="4" t="str">
        <v>b</v>
      </c>
      <c r="AF40" s="4" t="str">
        <v>f</v>
      </c>
      <c r="AG40" s="4" t="str">
        <v>c1-1-1</v>
      </c>
      <c r="AH40" s="4">
        <v>9</v>
      </c>
      <c r="AI40" s="4">
        <v>3</v>
      </c>
    </row>
    <row r="41" spans="1:49" x14ac:dyDescent="0.15">
      <c r="A41" s="99"/>
      <c r="B41" s="100"/>
      <c r="C41" s="13" t="s">
        <v>794</v>
      </c>
      <c r="D41" s="4" t="s">
        <v>797</v>
      </c>
      <c r="E41" s="4" t="s">
        <v>798</v>
      </c>
      <c r="F41" s="13" t="s">
        <v>411</v>
      </c>
      <c r="G41" s="4" t="s">
        <v>616</v>
      </c>
      <c r="H41" s="4" t="s">
        <v>817</v>
      </c>
      <c r="I41" s="13">
        <v>-6</v>
      </c>
      <c r="J41" s="13">
        <v>-7</v>
      </c>
      <c r="K41" s="4">
        <v>0</v>
      </c>
      <c r="L41" s="4">
        <v>0</v>
      </c>
      <c r="AE41" s="4" t="str">
        <v>Total</v>
      </c>
      <c r="AF41" s="4" t="str">
        <v/>
      </c>
      <c r="AG41" s="4" t="str">
        <v/>
      </c>
      <c r="AH41" s="4">
        <v>5.8888888888888893</v>
      </c>
      <c r="AI41" s="4">
        <v>-0.33333333333333331</v>
      </c>
    </row>
    <row r="42" spans="1:49" x14ac:dyDescent="0.15">
      <c r="A42" s="99"/>
      <c r="B42" s="100"/>
      <c r="C42" s="13" t="s">
        <v>818</v>
      </c>
      <c r="D42" s="4" t="s">
        <v>802</v>
      </c>
      <c r="E42" s="4" t="s">
        <v>803</v>
      </c>
      <c r="F42" s="13" t="s">
        <v>338</v>
      </c>
      <c r="G42" s="4" t="s">
        <v>612</v>
      </c>
      <c r="H42" s="4" t="s">
        <v>810</v>
      </c>
      <c r="I42" s="13">
        <v>1</v>
      </c>
      <c r="J42" s="13">
        <v>-1</v>
      </c>
      <c r="K42" s="4">
        <v>0</v>
      </c>
      <c r="L42" s="4">
        <v>0</v>
      </c>
    </row>
    <row r="43" spans="1:49" x14ac:dyDescent="0.15">
      <c r="A43" s="99"/>
      <c r="B43" s="100"/>
      <c r="C43" s="13" t="s">
        <v>818</v>
      </c>
      <c r="D43" s="4" t="s">
        <v>799</v>
      </c>
      <c r="E43" s="4" t="s">
        <v>800</v>
      </c>
      <c r="F43" s="13" t="s">
        <v>338</v>
      </c>
      <c r="G43" s="4" t="s">
        <v>612</v>
      </c>
      <c r="H43" s="4" t="s">
        <v>812</v>
      </c>
      <c r="I43" s="13">
        <v>-2</v>
      </c>
      <c r="J43" s="13">
        <v>-2</v>
      </c>
      <c r="K43" s="4">
        <v>0</v>
      </c>
      <c r="L43" s="4">
        <v>0</v>
      </c>
    </row>
    <row r="44" spans="1:49" x14ac:dyDescent="0.15">
      <c r="A44" s="99" t="s">
        <v>327</v>
      </c>
      <c r="B44" s="100" t="s">
        <v>541</v>
      </c>
      <c r="C44" s="13">
        <v>-1.1000000000000001</v>
      </c>
      <c r="D44" s="13">
        <v>2.1</v>
      </c>
      <c r="E44" s="13">
        <v>3</v>
      </c>
      <c r="F44" s="13">
        <v>4</v>
      </c>
      <c r="G44" s="13">
        <v>4.0999999999999996</v>
      </c>
      <c r="H44" s="14"/>
      <c r="I44" s="14" t="s">
        <v>338</v>
      </c>
      <c r="J44" s="14" t="b">
        <v>1</v>
      </c>
      <c r="K44" s="14" t="e">
        <f>#VALUE!</f>
        <v>#VALUE!</v>
      </c>
      <c r="L44" s="14" t="e">
        <v>#N/A</v>
      </c>
      <c r="M44" s="15" t="e">
        <v>#DIV/0!</v>
      </c>
      <c r="N44" s="15" t="e">
        <v>#NAME?</v>
      </c>
      <c r="O44" s="15" t="e">
        <v>#NULL!</v>
      </c>
      <c r="P44" s="15" t="e">
        <v>#NUM!</v>
      </c>
      <c r="Q44" s="15" t="e">
        <v>#REF!</v>
      </c>
      <c r="R44" s="4">
        <f>HLOOKUP(C44,{-1.1,2.1,3.1,4.1;5,6,7,8},2,0)</f>
        <v>5</v>
      </c>
      <c r="S44" s="4">
        <f>HLOOKUP(D44,{-1.1,2.1,3.1,4.1;5,6,7,8},2,0)</f>
        <v>6</v>
      </c>
      <c r="T44" s="4" t="e">
        <f>HLOOKUP(E44,{-1.1,2.1,3.1,4.1;5,6,7,8},2,0)</f>
        <v>#N/A</v>
      </c>
      <c r="U44" s="4" t="e">
        <f>HLOOKUP(F44,{-1.1,2.1,3.1,4.1;5,6,7,8},2,0)</f>
        <v>#N/A</v>
      </c>
      <c r="V44" s="4">
        <f>HLOOKUP(G44,{-1.1,2.1,3.1,4.1;5,6,7,8},2,0)</f>
        <v>8</v>
      </c>
      <c r="W44" s="4" t="e">
        <f>HLOOKUP(H44,{-1.1,2.1,3.1,4.1;5,6,7,8},2,0)</f>
        <v>#N/A</v>
      </c>
      <c r="X44" s="4" t="e">
        <f>HLOOKUP(I44,{-1.1,2.1,3.1,4.1;5,6,7,8},2,0)</f>
        <v>#N/A</v>
      </c>
      <c r="Y44" s="4" t="e">
        <f>HLOOKUP(J44,{-1.1,2.1,3.1,4.1;5,6,7,8},2,0)</f>
        <v>#N/A</v>
      </c>
      <c r="Z44" s="4" t="e">
        <f>HLOOKUP(K44,{-1.1,2.1,3.1,4.1;5,6,7,8},2,0)</f>
        <v>#VALUE!</v>
      </c>
      <c r="AA44" s="4" t="e">
        <f>HLOOKUP(L44,{-1.1,2.1,3.1,4.1;5,6,7,8},2,0)</f>
        <v>#N/A</v>
      </c>
      <c r="AB44" s="4" t="e">
        <f>HLOOKUP(M44,{-1.1,2.1,3.1,4.1;5,6,7,8},2,0)</f>
        <v>#DIV/0!</v>
      </c>
      <c r="AC44" s="4" t="e">
        <f>HLOOKUP(N44,{-1.1,2.1,3.1,4.1;5,6,7,8},2,0)</f>
        <v>#NAME?</v>
      </c>
      <c r="AD44" s="4" t="e">
        <f>HLOOKUP(O44,{-1.1,2.1,3.1,4.1;5,6,7,8},2,0)</f>
        <v>#NULL!</v>
      </c>
      <c r="AE44" s="4" t="e">
        <f>HLOOKUP(P44,{-1.1,2.1,3.1,4.1;5,6,7,8},2,0)</f>
        <v>#NUM!</v>
      </c>
      <c r="AF44" s="4" t="e">
        <f>HLOOKUP(Q44,{-1.1,2.1,3.1,4.1;5,6,7,8},2,0)</f>
        <v>#REF!</v>
      </c>
      <c r="AH44" s="4">
        <f t="array" ref="AH44:AW44">HLOOKUP(C44:Q44,{-1.1,2.1,3.1,4.1;5,6,7,8},{2,1},0)</f>
        <v>5</v>
      </c>
      <c r="AI44" s="4">
        <v>6</v>
      </c>
      <c r="AJ44" s="4" t="e">
        <v>#N/A</v>
      </c>
      <c r="AK44" s="4" t="e">
        <v>#N/A</v>
      </c>
      <c r="AL44" s="4">
        <v>8</v>
      </c>
      <c r="AM44" s="4" t="e">
        <v>#N/A</v>
      </c>
      <c r="AN44" s="4" t="e">
        <v>#N/A</v>
      </c>
      <c r="AO44" s="4" t="e">
        <v>#N/A</v>
      </c>
      <c r="AP44" s="4" t="e">
        <v>#VALUE!</v>
      </c>
      <c r="AQ44" s="4" t="e">
        <v>#N/A</v>
      </c>
      <c r="AR44" s="4" t="e">
        <v>#DIV/0!</v>
      </c>
      <c r="AS44" s="4" t="e">
        <v>#NAME?</v>
      </c>
      <c r="AT44" s="4" t="e">
        <v>#NULL!</v>
      </c>
      <c r="AU44" s="4" t="e">
        <v>#NUM!</v>
      </c>
      <c r="AV44" s="4" t="e">
        <v>#REF!</v>
      </c>
      <c r="AW44" s="4" t="e">
        <v>#N/A</v>
      </c>
    </row>
    <row r="45" spans="1:49" x14ac:dyDescent="0.15">
      <c r="A45" s="99"/>
      <c r="B45" s="100"/>
      <c r="C45" s="13">
        <v>-1.1000000000000001</v>
      </c>
      <c r="D45" s="13">
        <v>2.1</v>
      </c>
      <c r="E45" s="13">
        <v>3</v>
      </c>
      <c r="F45" s="13">
        <v>4</v>
      </c>
      <c r="G45" s="13">
        <v>4.0999999999999996</v>
      </c>
      <c r="H45" s="14"/>
      <c r="I45" s="14" t="s">
        <v>338</v>
      </c>
      <c r="J45" s="14" t="b">
        <v>1</v>
      </c>
      <c r="K45" s="14" t="e">
        <f>#VALUE!</f>
        <v>#VALUE!</v>
      </c>
      <c r="L45" s="14" t="e">
        <v>#N/A</v>
      </c>
      <c r="M45" s="15" t="e">
        <v>#DIV/0!</v>
      </c>
      <c r="N45" s="15" t="e">
        <v>#NAME?</v>
      </c>
      <c r="O45" s="15" t="e">
        <v>#NULL!</v>
      </c>
      <c r="P45" s="15" t="e">
        <v>#NUM!</v>
      </c>
      <c r="Q45" s="15" t="e">
        <v>#REF!</v>
      </c>
      <c r="R45" s="4">
        <f>HLOOKUP(C45,{-1.1,2.1,3.1,4.1;5,6,7,8},2,-2)</f>
        <v>5</v>
      </c>
      <c r="S45" s="4">
        <f>HLOOKUP(D45,{-1.1,2.1,3.1,4.1;5,6,7,8},2,-2)</f>
        <v>6</v>
      </c>
      <c r="T45" s="4">
        <f>HLOOKUP(E45,{-1.1,2.1,3.1,4.1;5,6,7,8},2,-2)</f>
        <v>6</v>
      </c>
      <c r="U45" s="4">
        <f>HLOOKUP(F45,{-1.1,2.1,3.1,4.1;5,6,7,8},2,-2)</f>
        <v>7</v>
      </c>
      <c r="V45" s="4">
        <f>HLOOKUP(G45,{-1.1,2.1,3.1,4.1;5,6,7,8},2,-2)</f>
        <v>8</v>
      </c>
      <c r="W45" s="4">
        <f>HLOOKUP(H45,{-1.1,2.1,3.1,4.1;5,6,7,8},2,-2)</f>
        <v>5</v>
      </c>
      <c r="X45" s="4" t="e">
        <f>HLOOKUP(I45,{-1.1,2.1,3.1,4.1;5,6,7,8},2,-2)</f>
        <v>#N/A</v>
      </c>
      <c r="Y45" s="4" t="e">
        <f>HLOOKUP(J45,{-1.1,2.1,3.1,4.1;5,6,7,8},2,-2)</f>
        <v>#N/A</v>
      </c>
      <c r="Z45" s="4" t="e">
        <f>HLOOKUP(K45,{-1.1,2.1,3.1,4.1;5,6,7,8},2,-2)</f>
        <v>#VALUE!</v>
      </c>
      <c r="AA45" s="4" t="e">
        <f>HLOOKUP(L45,{-1.1,2.1,3.1,4.1;5,6,7,8},2,-2)</f>
        <v>#N/A</v>
      </c>
      <c r="AB45" s="4" t="e">
        <f>HLOOKUP(M45,{-1.1,2.1,3.1,4.1;5,6,7,8},2,-2)</f>
        <v>#DIV/0!</v>
      </c>
      <c r="AC45" s="4" t="e">
        <f>HLOOKUP(N45,{-1.1,2.1,3.1,4.1;5,6,7,8},2,-2)</f>
        <v>#NAME?</v>
      </c>
      <c r="AD45" s="4" t="e">
        <f>HLOOKUP(O45,{-1.1,2.1,3.1,4.1;5,6,7,8},2,-2)</f>
        <v>#NULL!</v>
      </c>
      <c r="AE45" s="4" t="e">
        <f>HLOOKUP(P45,{-1.1,2.1,3.1,4.1;5,6,7,8},2,-2)</f>
        <v>#NUM!</v>
      </c>
      <c r="AF45" s="4" t="e">
        <f>HLOOKUP(Q45,{-1.1,2.1,3.1,4.1;5,6,7,8},2,-2)</f>
        <v>#REF!</v>
      </c>
    </row>
    <row r="46" spans="1:49" x14ac:dyDescent="0.15">
      <c r="A46" s="99"/>
      <c r="B46" s="100"/>
      <c r="C46" s="13">
        <v>-1.1000000000000001</v>
      </c>
      <c r="D46" s="13">
        <v>2.1</v>
      </c>
      <c r="E46" s="13">
        <v>3</v>
      </c>
      <c r="F46" s="13">
        <v>4</v>
      </c>
      <c r="G46" s="13">
        <v>4.0999999999999996</v>
      </c>
      <c r="H46" s="14"/>
      <c r="I46" s="14" t="s">
        <v>338</v>
      </c>
      <c r="J46" s="14" t="b">
        <v>1</v>
      </c>
      <c r="K46" s="14" t="e">
        <f>#VALUE!</f>
        <v>#VALUE!</v>
      </c>
      <c r="L46" s="14" t="e">
        <v>#N/A</v>
      </c>
      <c r="M46" s="15" t="e">
        <v>#DIV/0!</v>
      </c>
      <c r="N46" s="15" t="e">
        <v>#NAME?</v>
      </c>
      <c r="O46" s="15" t="e">
        <v>#NULL!</v>
      </c>
      <c r="P46" s="15" t="e">
        <v>#NUM!</v>
      </c>
      <c r="Q46" s="15" t="e">
        <v>#REF!</v>
      </c>
      <c r="R46" s="4">
        <f>HLOOKUP(C46,{-1.1,2.1,3.1,4.1;5,6,7,8},{2,3},-2)</f>
        <v>5</v>
      </c>
      <c r="S46" s="4">
        <f>HLOOKUP(D46,{-1.1,2.1,3.1,4.1;5,6,7,8},2,-2)</f>
        <v>6</v>
      </c>
      <c r="T46" s="4">
        <f>HLOOKUP(E46,{-1.1,2.1,3.1,4.1;5,6,7,8},2,-2)</f>
        <v>6</v>
      </c>
      <c r="U46" s="4">
        <f>HLOOKUP(F46,{-1.1,2.1,3.1,4.1;5,6,7,8},2,-2)</f>
        <v>7</v>
      </c>
      <c r="V46" s="4">
        <f>HLOOKUP(G46,{-1.1,2.1,3.1,4.1;5,6,7,8},2,-2)</f>
        <v>8</v>
      </c>
      <c r="W46" s="4">
        <f>HLOOKUP(H46,{-1.1,2.1,3.1,4.1;5,6,7,8},2,-2)</f>
        <v>5</v>
      </c>
      <c r="X46" s="4" t="e">
        <f>HLOOKUP(I46,{-1.1,2.1,3.1,4.1;5,6,7,8},2,-2)</f>
        <v>#N/A</v>
      </c>
      <c r="Y46" s="4" t="e">
        <f>HLOOKUP(J46,{-1.1,2.1,3.1,4.1;5,6,7,8},2,-2)</f>
        <v>#N/A</v>
      </c>
      <c r="Z46" s="4" t="e">
        <f>HLOOKUP(K46,{-1.1,2.1,3.1,4.1;5,6,7,8},2,-2)</f>
        <v>#VALUE!</v>
      </c>
      <c r="AA46" s="4" t="e">
        <f>HLOOKUP(L46,{-1.1,2.1,3.1,4.1;5,6,7,8},2,-2)</f>
        <v>#N/A</v>
      </c>
      <c r="AB46" s="4" t="e">
        <f>HLOOKUP(M46,{-1.1,2.1,3.1,4.1;5,6,7,8},2,-2)</f>
        <v>#DIV/0!</v>
      </c>
      <c r="AC46" s="4" t="e">
        <f>HLOOKUP(N46,{-1.1,2.1,3.1,4.1;5,6,7,8},2,-2)</f>
        <v>#NAME?</v>
      </c>
      <c r="AD46" s="4" t="e">
        <f>HLOOKUP(O46,{-1.1,2.1,3.1,4.1;5,6,7,8},2,-2)</f>
        <v>#NULL!</v>
      </c>
      <c r="AE46" s="4" t="e">
        <f>HLOOKUP(P46,{-1.1,2.1,3.1,4.1;5,6,7,8},2,-2)</f>
        <v>#NUM!</v>
      </c>
      <c r="AF46" s="4" t="e">
        <f>HLOOKUP(Q46,{-1.1,2.1,3.1,4.1;5,6,7,8},2,-2)</f>
        <v>#REF!</v>
      </c>
    </row>
    <row r="47" spans="1:49" x14ac:dyDescent="0.15">
      <c r="A47" s="99" t="s">
        <v>520</v>
      </c>
      <c r="B47" s="100" t="s">
        <v>541</v>
      </c>
      <c r="C47" s="13">
        <v>-1.1000000000000001</v>
      </c>
      <c r="D47" s="13">
        <v>2.1</v>
      </c>
      <c r="E47" s="13">
        <v>3</v>
      </c>
      <c r="F47" s="13">
        <v>4</v>
      </c>
      <c r="G47" s="13">
        <v>4.0999999999999996</v>
      </c>
      <c r="H47" s="14"/>
      <c r="I47" s="14" t="s">
        <v>338</v>
      </c>
      <c r="J47" s="14" t="b">
        <v>1</v>
      </c>
      <c r="K47" s="14" t="e">
        <f>#VALUE!</f>
        <v>#VALUE!</v>
      </c>
      <c r="L47" s="14" t="e">
        <v>#N/A</v>
      </c>
      <c r="M47" s="15" t="e">
        <v>#DIV/0!</v>
      </c>
      <c r="N47" s="15" t="e">
        <v>#NAME?</v>
      </c>
      <c r="O47" s="15" t="e">
        <v>#NULL!</v>
      </c>
      <c r="P47" s="15" t="e">
        <v>#NUM!</v>
      </c>
      <c r="Q47" s="15" t="e">
        <v>#REF!</v>
      </c>
      <c r="R47" s="4" cm="1">
        <f t="array" ref="R47:X49">_xlfn.HSTACK(C47:C48,D47,E47:E49,F47:G47,F48:G49)</f>
        <v>-1.1000000000000001</v>
      </c>
      <c r="S47" s="4">
        <v>2.1</v>
      </c>
      <c r="T47" s="4">
        <v>3</v>
      </c>
      <c r="U47" s="4">
        <v>4</v>
      </c>
      <c r="V47" s="4">
        <v>4.0999999999999996</v>
      </c>
      <c r="W47" s="4">
        <v>4</v>
      </c>
      <c r="X47" s="4">
        <v>4.0999999999999996</v>
      </c>
    </row>
    <row r="48" spans="1:49" x14ac:dyDescent="0.15">
      <c r="A48" s="99"/>
      <c r="B48" s="100"/>
      <c r="C48" s="13">
        <v>-1.1000000000000001</v>
      </c>
      <c r="D48" s="13">
        <v>2.1</v>
      </c>
      <c r="E48" s="13">
        <v>3</v>
      </c>
      <c r="F48" s="13">
        <v>4</v>
      </c>
      <c r="G48" s="13">
        <v>4.0999999999999996</v>
      </c>
      <c r="H48" s="14"/>
      <c r="I48" s="14" t="s">
        <v>338</v>
      </c>
      <c r="J48" s="14" t="b">
        <v>1</v>
      </c>
      <c r="K48" s="14" t="e">
        <f>#VALUE!</f>
        <v>#VALUE!</v>
      </c>
      <c r="L48" s="14" t="e">
        <v>#N/A</v>
      </c>
      <c r="M48" s="15" t="e">
        <v>#DIV/0!</v>
      </c>
      <c r="N48" s="15" t="e">
        <v>#NAME?</v>
      </c>
      <c r="O48" s="15" t="e">
        <v>#NULL!</v>
      </c>
      <c r="P48" s="15" t="e">
        <v>#NUM!</v>
      </c>
      <c r="Q48" s="15" t="e">
        <v>#REF!</v>
      </c>
      <c r="R48" s="4">
        <v>-1.1000000000000001</v>
      </c>
      <c r="S48" s="4" t="e">
        <v>#N/A</v>
      </c>
      <c r="T48" s="4">
        <v>3</v>
      </c>
      <c r="U48" s="4" t="e">
        <v>#N/A</v>
      </c>
      <c r="V48" s="4" t="e">
        <v>#N/A</v>
      </c>
      <c r="W48" s="4">
        <v>4</v>
      </c>
      <c r="X48" s="4">
        <v>4.0999999999999996</v>
      </c>
    </row>
    <row r="49" spans="1:49" x14ac:dyDescent="0.15">
      <c r="A49" s="99"/>
      <c r="B49" s="100"/>
      <c r="C49" s="13">
        <v>-1.1000000000000001</v>
      </c>
      <c r="D49" s="13">
        <v>2.1</v>
      </c>
      <c r="E49" s="13">
        <v>3</v>
      </c>
      <c r="F49" s="13">
        <v>4</v>
      </c>
      <c r="G49" s="13">
        <v>4.0999999999999996</v>
      </c>
      <c r="H49" s="14"/>
      <c r="I49" s="14" t="s">
        <v>338</v>
      </c>
      <c r="J49" s="14" t="b">
        <v>1</v>
      </c>
      <c r="K49" s="14" t="e">
        <f>#VALUE!</f>
        <v>#VALUE!</v>
      </c>
      <c r="L49" s="14" t="e">
        <v>#N/A</v>
      </c>
      <c r="M49" s="15" t="e">
        <v>#DIV/0!</v>
      </c>
      <c r="N49" s="15" t="e">
        <v>#NAME?</v>
      </c>
      <c r="O49" s="15" t="e">
        <v>#NULL!</v>
      </c>
      <c r="P49" s="15" t="e">
        <v>#NUM!</v>
      </c>
      <c r="Q49" s="15" t="e">
        <v>#REF!</v>
      </c>
      <c r="R49" s="4" t="e">
        <v>#N/A</v>
      </c>
      <c r="S49" s="4" t="e">
        <v>#N/A</v>
      </c>
      <c r="T49" s="4">
        <v>3</v>
      </c>
      <c r="U49" s="4" t="e">
        <v>#N/A</v>
      </c>
      <c r="V49" s="4" t="e">
        <v>#N/A</v>
      </c>
      <c r="W49" s="4" t="e">
        <v>#N/A</v>
      </c>
      <c r="X49" s="4" t="e">
        <v>#N/A</v>
      </c>
    </row>
    <row r="50" spans="1:49" x14ac:dyDescent="0.15">
      <c r="A50" s="40" t="s">
        <v>328</v>
      </c>
    </row>
    <row r="51" spans="1:49" x14ac:dyDescent="0.15">
      <c r="A51" s="40" t="s">
        <v>521</v>
      </c>
    </row>
    <row r="52" spans="1:49" x14ac:dyDescent="0.15">
      <c r="A52" s="99" t="s">
        <v>329</v>
      </c>
      <c r="B52" s="100" t="s">
        <v>541</v>
      </c>
      <c r="C52" s="13">
        <v>-1.1000000000000001</v>
      </c>
      <c r="D52" s="13">
        <v>2.1</v>
      </c>
      <c r="E52" s="13">
        <v>3</v>
      </c>
      <c r="F52" s="13">
        <v>4</v>
      </c>
      <c r="G52" s="13">
        <v>4.0999999999999996</v>
      </c>
      <c r="H52" s="14"/>
      <c r="I52" s="14" t="s">
        <v>338</v>
      </c>
      <c r="J52" s="14" t="b">
        <v>1</v>
      </c>
      <c r="K52" s="14" t="e">
        <f>#VALUE!</f>
        <v>#VALUE!</v>
      </c>
      <c r="L52" s="14" t="e">
        <v>#N/A</v>
      </c>
      <c r="M52" s="15" t="e">
        <v>#DIV/0!</v>
      </c>
      <c r="N52" s="15" t="e">
        <v>#NAME?</v>
      </c>
      <c r="O52" s="15" t="e">
        <v>#NULL!</v>
      </c>
      <c r="P52" s="15" t="e">
        <v>#NUM!</v>
      </c>
      <c r="Q52" s="15" t="e">
        <v>#REF!</v>
      </c>
      <c r="R52" s="4">
        <f>INDEX(C52:E53,1,2)</f>
        <v>2.1</v>
      </c>
      <c r="S52" s="4">
        <f>INDEX(D52:F52,1,2)</f>
        <v>3</v>
      </c>
      <c r="T52" s="4" t="e">
        <f>INDEX(E52:E54,1,2)</f>
        <v>#REF!</v>
      </c>
      <c r="U52" s="4" t="e">
        <f>INDEX(F52:H53,1,5)</f>
        <v>#REF!</v>
      </c>
      <c r="V52" s="4">
        <f>INDEX(G52:I53,1,2)</f>
        <v>0</v>
      </c>
      <c r="W52" s="4" t="str">
        <f t="shared" ref="W52:AF52" si="7">INDEX(H52:J53,1,2)</f>
        <v>b</v>
      </c>
      <c r="X52" s="4" t="b">
        <f t="shared" si="7"/>
        <v>1</v>
      </c>
      <c r="Y52" s="4" t="e">
        <f t="shared" si="7"/>
        <v>#VALUE!</v>
      </c>
      <c r="Z52" s="4" t="e">
        <f t="shared" si="7"/>
        <v>#N/A</v>
      </c>
      <c r="AA52" s="4" t="e">
        <f t="shared" si="7"/>
        <v>#DIV/0!</v>
      </c>
      <c r="AB52" s="4" t="e">
        <f t="shared" si="7"/>
        <v>#NAME?</v>
      </c>
      <c r="AC52" s="4" t="e">
        <f t="shared" si="7"/>
        <v>#NULL!</v>
      </c>
      <c r="AD52" s="4" t="e">
        <f t="shared" si="7"/>
        <v>#NUM!</v>
      </c>
      <c r="AE52" s="4" t="e">
        <f t="shared" si="7"/>
        <v>#REF!</v>
      </c>
      <c r="AF52" s="4">
        <f t="shared" si="7"/>
        <v>2.1</v>
      </c>
      <c r="AH52" s="4">
        <f t="array" ref="AH52:AH53">INDEX(C52:H54,E53:E54,1)</f>
        <v>-2</v>
      </c>
      <c r="AI52" s="4">
        <f t="array" ref="AI52:AJ52">INDEX(C52:E53,2,3)</f>
        <v>2</v>
      </c>
      <c r="AJ52" s="4">
        <v>2</v>
      </c>
      <c r="AK52" s="4" t="e">
        <f t="array" ref="AK52:AL54">INDEX({2,3;4,5},E52:E54)</f>
        <v>#REF!</v>
      </c>
      <c r="AL52" s="4" t="e">
        <v>#REF!</v>
      </c>
      <c r="AM52" s="4">
        <f t="array" ref="AM52:AN52">INDEX({2,3;4,5},2)</f>
        <v>4</v>
      </c>
      <c r="AN52" s="4">
        <v>5</v>
      </c>
      <c r="AO52" s="4">
        <f t="array" ref="AO52:AP53">INDEX({2,3;4,5},{1,2})</f>
        <v>2</v>
      </c>
      <c r="AP52" s="4">
        <v>4</v>
      </c>
      <c r="AQ52" s="4" t="e">
        <f t="array" ref="AQ52:AR54">INDEX((C52:C54,D52:D54),1,1,E52:E54)</f>
        <v>#REF!</v>
      </c>
      <c r="AR52" s="4" t="e">
        <v>#REF!</v>
      </c>
      <c r="AS52" s="4" t="e">
        <f t="array" ref="AS52:AS54">INDEX((C52:C54,D52:D54),E52:E54,1,E52:E54)</f>
        <v>#REF!</v>
      </c>
      <c r="AT52" s="4" t="e">
        <f t="array" ref="AT52:AU54">INDEX((C52:C53,D52:D53),1,1,E52:E53)</f>
        <v>#REF!</v>
      </c>
      <c r="AU52" s="4" t="e">
        <v>#REF!</v>
      </c>
    </row>
    <row r="53" spans="1:49" x14ac:dyDescent="0.15">
      <c r="A53" s="99"/>
      <c r="B53" s="100"/>
      <c r="C53" s="13">
        <v>-2</v>
      </c>
      <c r="D53" s="13">
        <v>1.1000000000000001</v>
      </c>
      <c r="E53" s="13">
        <v>2</v>
      </c>
      <c r="F53" s="13">
        <v>3</v>
      </c>
      <c r="G53" s="13">
        <v>3.1</v>
      </c>
      <c r="H53" s="14"/>
      <c r="I53" s="14" t="s">
        <v>411</v>
      </c>
      <c r="J53" s="14" t="b">
        <v>0</v>
      </c>
      <c r="K53" s="14" t="e">
        <f>#VALUE!</f>
        <v>#VALUE!</v>
      </c>
      <c r="L53" s="14" t="e">
        <v>#N/A</v>
      </c>
      <c r="M53" s="15" t="e">
        <v>#DIV/0!</v>
      </c>
      <c r="N53" s="15" t="e">
        <v>#NAME?</v>
      </c>
      <c r="O53" s="15" t="e">
        <v>#NULL!</v>
      </c>
      <c r="P53" s="15" t="e">
        <v>#NUM!</v>
      </c>
      <c r="Q53" s="15" t="e">
        <v>#REF!</v>
      </c>
      <c r="R53" s="4" t="e">
        <f>INDEX(C52:E53,2)</f>
        <v>#REF!</v>
      </c>
      <c r="S53" s="4">
        <f>INDEX(D52:F52,2)</f>
        <v>3</v>
      </c>
      <c r="T53" s="4">
        <f>INDEX(E52:E54,2)</f>
        <v>2</v>
      </c>
      <c r="U53" s="4" t="e">
        <f>INDEX({2,3,4},4)</f>
        <v>#REF!</v>
      </c>
      <c r="V53" s="4">
        <f>INDEX({2,3,4},1)</f>
        <v>2</v>
      </c>
      <c r="W53" s="4">
        <f>INDEX({2,3,4},1,1)</f>
        <v>2</v>
      </c>
      <c r="X53" s="4" t="e">
        <f>INDEX({2,3,4},2,1)</f>
        <v>#REF!</v>
      </c>
      <c r="Y53" s="4">
        <f>INDEX({2,3,4},2)</f>
        <v>3</v>
      </c>
      <c r="Z53" s="4">
        <f t="array" ref="Z53:AA53">INDEX({2,3;4,5},2)</f>
        <v>4</v>
      </c>
      <c r="AA53" s="4">
        <v>5</v>
      </c>
      <c r="AH53" s="4">
        <v>-1.1000000000000001</v>
      </c>
      <c r="AK53" s="4">
        <v>4</v>
      </c>
      <c r="AL53" s="4">
        <v>4</v>
      </c>
      <c r="AO53" s="4">
        <v>2</v>
      </c>
      <c r="AP53" s="4">
        <v>4</v>
      </c>
      <c r="AQ53" s="4">
        <v>2.1</v>
      </c>
      <c r="AR53" s="4">
        <v>2.1</v>
      </c>
      <c r="AS53" s="4">
        <v>1.1000000000000001</v>
      </c>
      <c r="AT53" s="4">
        <v>2.1</v>
      </c>
      <c r="AU53" s="4">
        <v>2.1</v>
      </c>
    </row>
    <row r="54" spans="1:49" x14ac:dyDescent="0.15">
      <c r="A54" s="99"/>
      <c r="B54" s="100"/>
      <c r="C54" s="13">
        <v>-2.9</v>
      </c>
      <c r="D54" s="13">
        <v>0.1</v>
      </c>
      <c r="E54" s="13">
        <v>1</v>
      </c>
      <c r="F54" s="13">
        <v>4</v>
      </c>
      <c r="G54" s="13">
        <v>2.1</v>
      </c>
      <c r="H54" s="14"/>
      <c r="I54" s="14" t="s">
        <v>413</v>
      </c>
      <c r="J54" s="14" t="b">
        <v>1</v>
      </c>
      <c r="K54" s="14" t="e">
        <f>#VALUE!</f>
        <v>#VALUE!</v>
      </c>
      <c r="L54" s="14" t="e">
        <v>#N/A</v>
      </c>
      <c r="M54" s="15" t="e">
        <v>#DIV/0!</v>
      </c>
      <c r="N54" s="15" t="e">
        <v>#NAME?</v>
      </c>
      <c r="O54" s="15" t="e">
        <v>#NULL!</v>
      </c>
      <c r="P54" s="15" t="e">
        <v>#NUM!</v>
      </c>
      <c r="Q54" s="15" t="e">
        <v>#REF!</v>
      </c>
      <c r="R54" s="4" t="e">
        <f>INDEX(C52:E53,-1)</f>
        <v>#VALUE!</v>
      </c>
      <c r="Z54" s="4" t="e">
        <f>INDEX({2,3,4,5},L54,K54)</f>
        <v>#N/A</v>
      </c>
      <c r="AA54" s="4" t="e">
        <f>INDEX({2,3,4,5},L54)</f>
        <v>#N/A</v>
      </c>
      <c r="AB54" s="4" t="e">
        <f>INDEX({2,3,4,5},1,1,N54)</f>
        <v>#NAME?</v>
      </c>
      <c r="AC54" s="4" t="e">
        <f>INDEX({2,3,4,5},N54)</f>
        <v>#NAME?</v>
      </c>
      <c r="AD54" s="4" t="e">
        <f>INDEX({2,3,4,5},O54)</f>
        <v>#NULL!</v>
      </c>
      <c r="AE54" s="4" t="e">
        <f>INDEX({2,3,4,5},P54)</f>
        <v>#NUM!</v>
      </c>
      <c r="AF54" s="4" t="e">
        <f>INDEX({2,3,4,5},Q54)</f>
        <v>#REF!</v>
      </c>
      <c r="AK54" s="4">
        <v>2</v>
      </c>
      <c r="AL54" s="4">
        <v>2</v>
      </c>
      <c r="AN54" s="4">
        <f t="array" ref="AN54:AO54">INDEX({2,3;4,5},{1})</f>
        <v>2</v>
      </c>
      <c r="AO54" s="4">
        <v>2</v>
      </c>
      <c r="AQ54" s="4">
        <v>-1.1000000000000001</v>
      </c>
      <c r="AR54" s="4">
        <v>-1.1000000000000001</v>
      </c>
      <c r="AS54" s="4">
        <v>-1.1000000000000001</v>
      </c>
      <c r="AT54" s="4" t="e">
        <v>#N/A</v>
      </c>
      <c r="AU54" s="4" t="e">
        <v>#N/A</v>
      </c>
    </row>
    <row r="55" spans="1:49" x14ac:dyDescent="0.15">
      <c r="A55" s="40" t="s">
        <v>330</v>
      </c>
      <c r="R55" s="6"/>
    </row>
    <row r="56" spans="1:49" x14ac:dyDescent="0.15">
      <c r="A56" s="99" t="s">
        <v>331</v>
      </c>
      <c r="B56" s="100" t="s">
        <v>541</v>
      </c>
      <c r="C56" s="13">
        <v>-1.1000000000000001</v>
      </c>
      <c r="D56" s="13">
        <v>2.1</v>
      </c>
      <c r="E56" s="13">
        <v>3</v>
      </c>
      <c r="F56" s="13">
        <v>4</v>
      </c>
      <c r="G56" s="13">
        <v>4.0999999999999996</v>
      </c>
      <c r="H56" s="14"/>
      <c r="I56" s="14" t="s">
        <v>338</v>
      </c>
      <c r="J56" s="14" t="b">
        <v>1</v>
      </c>
      <c r="K56" s="14" t="e">
        <f>#VALUE!</f>
        <v>#VALUE!</v>
      </c>
      <c r="L56" s="14" t="e">
        <v>#N/A</v>
      </c>
      <c r="M56" s="15" t="e">
        <v>#DIV/0!</v>
      </c>
      <c r="N56" s="15" t="e">
        <v>#NAME?</v>
      </c>
      <c r="O56" s="15" t="e">
        <v>#NULL!</v>
      </c>
      <c r="P56" s="15" t="e">
        <v>#NUM!</v>
      </c>
      <c r="Q56" s="15" t="e">
        <v>#REF!</v>
      </c>
      <c r="R56" s="6" t="e">
        <f>LOOKUP(-2,{-1.1,2.1,3.1,4.1})</f>
        <v>#N/A</v>
      </c>
      <c r="S56" s="6">
        <f>LOOKUP(2,{-1.1,2.1,3.1,4.1})</f>
        <v>-1.1000000000000001</v>
      </c>
      <c r="T56" s="6">
        <f>LOOKUP(E56,{-1.1,2.1,3.1,4.1})</f>
        <v>2.1</v>
      </c>
      <c r="U56" s="6">
        <f>LOOKUP(F56,{-1.1,2.1,3.1,4.1})</f>
        <v>3.1</v>
      </c>
      <c r="V56" s="6">
        <f>LOOKUP(G56,{-1.1,2.1,3.1,4.1})</f>
        <v>4.0999999999999996</v>
      </c>
      <c r="W56" s="6">
        <f>LOOKUP(20,{-1.1,2.1,3.1,4.1})</f>
        <v>4.0999999999999996</v>
      </c>
      <c r="X56" s="6" t="e">
        <f>LOOKUP(I56,{-1.1,2.1,3.1,4.1})</f>
        <v>#N/A</v>
      </c>
      <c r="Y56" s="6" t="e">
        <f>LOOKUP(J56,{-1.1,2.1,3.1,4.1})</f>
        <v>#N/A</v>
      </c>
      <c r="Z56" s="6" t="e">
        <f>LOOKUP(K56,{-1.1,2.1,3.1,4.1},{"L","ML","MR","R"})</f>
        <v>#VALUE!</v>
      </c>
      <c r="AA56" s="6" t="e">
        <f>LOOKUP(L56,{-1.1,2.1,3.1,4.1},{"L","ML","MR","R"})</f>
        <v>#N/A</v>
      </c>
      <c r="AB56" s="6" t="e">
        <f>LOOKUP(M56,{-1.1,2.1,3.1,4.1},{"L","ML","MR","R"})</f>
        <v>#DIV/0!</v>
      </c>
      <c r="AC56" s="6" t="e">
        <f>LOOKUP(N56,{-1.1,2.1,3.1,4.1},{"L","ML","MR","R"})</f>
        <v>#NAME?</v>
      </c>
      <c r="AD56" s="6" t="e">
        <f>LOOKUP(O56,{-1.1,2.1,3.1,4.1},{"L","ML","MR","R"})</f>
        <v>#NULL!</v>
      </c>
      <c r="AE56" s="6" t="e">
        <f>LOOKUP(P56,{-1.1,2.1,3.1,4.1},{"L","ML","MR","R"})</f>
        <v>#NUM!</v>
      </c>
      <c r="AF56" s="6" t="e">
        <f>LOOKUP(Q56,{-1.1,2.1,3.1,4.1},{"L","ML","MR","R"})</f>
        <v>#REF!</v>
      </c>
      <c r="AG56" s="6" t="str">
        <f>LOOKUP(20,{-1.1,2.1,3.1,4.1},{"L","ML","MR","R"})</f>
        <v>R</v>
      </c>
      <c r="AH56" s="6" t="str">
        <f t="array" ref="AH56:AW56">LOOKUP(C56:Q56,{-1.1,2.1,3.1,4.1},{"L","ML","MR","R"})</f>
        <v>L</v>
      </c>
      <c r="AI56" s="6" t="str">
        <v>ML</v>
      </c>
      <c r="AJ56" s="6" t="str">
        <v>ML</v>
      </c>
      <c r="AK56" s="6" t="str">
        <v>MR</v>
      </c>
      <c r="AL56" s="6" t="str">
        <v>R</v>
      </c>
      <c r="AM56" s="6" t="str">
        <v>L</v>
      </c>
      <c r="AN56" s="6" t="e">
        <v>#N/A</v>
      </c>
      <c r="AO56" s="6" t="e">
        <v>#N/A</v>
      </c>
      <c r="AP56" s="6" t="e">
        <v>#VALUE!</v>
      </c>
      <c r="AQ56" s="6" t="e">
        <v>#N/A</v>
      </c>
      <c r="AR56" s="6" t="e">
        <v>#DIV/0!</v>
      </c>
      <c r="AS56" s="6" t="e">
        <v>#NAME?</v>
      </c>
      <c r="AT56" s="6" t="e">
        <v>#NULL!</v>
      </c>
      <c r="AU56" s="6" t="e">
        <v>#NUM!</v>
      </c>
      <c r="AV56" s="6" t="e">
        <v>#REF!</v>
      </c>
      <c r="AW56" s="4" t="e">
        <v>#N/A</v>
      </c>
    </row>
    <row r="57" spans="1:49" x14ac:dyDescent="0.15">
      <c r="A57" s="99"/>
      <c r="B57" s="100"/>
      <c r="C57" s="13"/>
      <c r="D57" s="13"/>
      <c r="E57" s="13"/>
      <c r="F57" s="13"/>
      <c r="G57" s="13"/>
      <c r="H57" s="14"/>
      <c r="I57" s="14"/>
      <c r="J57" s="14"/>
      <c r="K57" s="14"/>
      <c r="L57" s="14"/>
      <c r="M57" s="15"/>
      <c r="N57" s="15"/>
      <c r="O57" s="15"/>
      <c r="P57" s="15"/>
      <c r="Q57" s="15"/>
      <c r="R57" s="6" t="e">
        <f>LOOKUP(-2,{"a",2.1,"b",4.1})</f>
        <v>#N/A</v>
      </c>
      <c r="S57" s="6" t="e">
        <f>LOOKUP(2,{"a",2.1,"b",4.1})</f>
        <v>#N/A</v>
      </c>
      <c r="T57" s="6">
        <f>LOOKUP(E56,{"a",2.1,"b",4.1})</f>
        <v>2.1</v>
      </c>
      <c r="U57" s="6">
        <f>LOOKUP(F56,{"a",2.1,"b",4.1})</f>
        <v>2.1</v>
      </c>
      <c r="V57" s="6">
        <f>LOOKUP(G56,{"a",2.1,"b",4.1})</f>
        <v>4.0999999999999996</v>
      </c>
      <c r="W57" s="6" t="e">
        <f>LOOKUP(H56,{"a",2.1,"b",4.1})</f>
        <v>#N/A</v>
      </c>
      <c r="X57" s="6" t="str">
        <f>LOOKUP(I56,{"a",2.1,"b",4.1})</f>
        <v>b</v>
      </c>
      <c r="Y57" s="6" t="e">
        <f>LOOKUP(J56,{"a",2.1,"b",4.1})</f>
        <v>#N/A</v>
      </c>
      <c r="Z57" s="6" t="e">
        <f>LOOKUP(K56,{"a",2.1,"b",4.1})</f>
        <v>#VALUE!</v>
      </c>
      <c r="AA57" s="6" t="e">
        <f>LOOKUP(L56,{"a",2.1,"b",4.1})</f>
        <v>#N/A</v>
      </c>
      <c r="AB57" s="6" t="e">
        <f>LOOKUP(M56,{"a",2.1,"b",4.1})</f>
        <v>#DIV/0!</v>
      </c>
      <c r="AC57" s="6" t="e">
        <f>LOOKUP(N56,{"a",2.1,"b",4.1})</f>
        <v>#NAME?</v>
      </c>
      <c r="AD57" s="6" t="e">
        <f>LOOKUP(O56,{"a",2.1,"b",4.1})</f>
        <v>#NULL!</v>
      </c>
      <c r="AE57" s="6" t="e">
        <f>LOOKUP(P56,{"a",2.1,"b",4.1})</f>
        <v>#NUM!</v>
      </c>
      <c r="AF57" s="6" t="e">
        <f>LOOKUP(Q56,{"a",2.1,"b",4.1})</f>
        <v>#REF!</v>
      </c>
      <c r="AG57" s="6" t="str">
        <f>LOOKUP(20,{"a",2.1,"b",4.1},{"L","ML","MR","R"})</f>
        <v>R</v>
      </c>
      <c r="AH57" s="6" t="e">
        <f t="array" ref="AH57:AW57">LOOKUP(C56:Q56,{"a",2.1,"b",4.1},{"L","ML","MR","R"})</f>
        <v>#N/A</v>
      </c>
      <c r="AI57" s="4" t="str">
        <v>ML</v>
      </c>
      <c r="AJ57" s="4" t="str">
        <v>ML</v>
      </c>
      <c r="AK57" s="4" t="str">
        <v>ML</v>
      </c>
      <c r="AL57" s="4" t="str">
        <v>R</v>
      </c>
      <c r="AM57" s="4" t="e">
        <v>#N/A</v>
      </c>
      <c r="AN57" s="4" t="str">
        <v>MR</v>
      </c>
      <c r="AO57" s="4" t="e">
        <v>#N/A</v>
      </c>
      <c r="AP57" s="4" t="e">
        <v>#VALUE!</v>
      </c>
      <c r="AQ57" s="4" t="e">
        <v>#N/A</v>
      </c>
      <c r="AR57" s="4" t="e">
        <v>#DIV/0!</v>
      </c>
      <c r="AS57" s="4" t="e">
        <v>#NAME?</v>
      </c>
      <c r="AT57" s="4" t="e">
        <v>#NULL!</v>
      </c>
      <c r="AU57" s="4" t="e">
        <v>#NUM!</v>
      </c>
      <c r="AV57" s="4" t="e">
        <v>#REF!</v>
      </c>
      <c r="AW57" s="4" t="e">
        <v>#N/A</v>
      </c>
    </row>
    <row r="58" spans="1:49" x14ac:dyDescent="0.15">
      <c r="A58" s="99"/>
      <c r="B58" s="100"/>
      <c r="C58" s="13"/>
      <c r="D58" s="13"/>
      <c r="E58" s="13"/>
      <c r="F58" s="13"/>
      <c r="G58" s="13"/>
      <c r="H58" s="14"/>
      <c r="I58" s="14"/>
      <c r="J58" s="14"/>
      <c r="K58" s="14"/>
      <c r="L58" s="14"/>
      <c r="M58" s="15"/>
      <c r="N58" s="15"/>
      <c r="O58" s="15"/>
      <c r="P58" s="15"/>
      <c r="Q58" s="15"/>
      <c r="R58" s="6" t="e">
        <f>LOOKUP(-2,{FALSE,2.1,TRUE,4.1})</f>
        <v>#N/A</v>
      </c>
      <c r="S58" s="6" t="e">
        <f>LOOKUP(2,{FALSE,2.1,TRUE,4.1})</f>
        <v>#N/A</v>
      </c>
      <c r="T58" s="6">
        <f>LOOKUP(E56,{FALSE,2.1,TRUE,4.1})</f>
        <v>2.1</v>
      </c>
      <c r="U58" s="6">
        <f>LOOKUP(F56,{FALSE,2.1,TRUE,4.1})</f>
        <v>2.1</v>
      </c>
      <c r="V58" s="6">
        <f>LOOKUP(G56,{FALSE,2.1,TRUE,4.1})</f>
        <v>4.0999999999999996</v>
      </c>
      <c r="W58" s="6" t="e">
        <f>LOOKUP(H56,{FALSE,2.1,TRUE,4.1})</f>
        <v>#N/A</v>
      </c>
      <c r="X58" s="6" t="e">
        <f>LOOKUP(I56,{FALSE,2.1,TRUE,4.1})</f>
        <v>#N/A</v>
      </c>
      <c r="Y58" s="6" t="b">
        <f>LOOKUP(J56,{FALSE,2.1,TRUE,4.1})</f>
        <v>1</v>
      </c>
      <c r="Z58" s="6" t="e">
        <f>LOOKUP(K56,{FALSE,2.1,TRUE,4.1})</f>
        <v>#VALUE!</v>
      </c>
      <c r="AA58" s="6" t="e">
        <f>LOOKUP(L56,{FALSE,2.1,TRUE,4.1})</f>
        <v>#N/A</v>
      </c>
      <c r="AB58" s="6" t="e">
        <f>LOOKUP(M56,{FALSE,2.1,TRUE,4.1})</f>
        <v>#DIV/0!</v>
      </c>
      <c r="AC58" s="6" t="e">
        <f>LOOKUP(N56,{FALSE,2.1,TRUE,4.1})</f>
        <v>#NAME?</v>
      </c>
      <c r="AD58" s="6" t="e">
        <f>LOOKUP(O56,{FALSE,2.1,TRUE,4.1})</f>
        <v>#NULL!</v>
      </c>
      <c r="AE58" s="6" t="e">
        <f>LOOKUP(P56,{FALSE,2.1,TRUE,4.1})</f>
        <v>#NUM!</v>
      </c>
      <c r="AF58" s="6" t="e">
        <f>LOOKUP(Q56,{FALSE,2.1,TRUE,4.1})</f>
        <v>#REF!</v>
      </c>
      <c r="AG58" s="6" t="str">
        <f>LOOKUP(20,{FALSE,2.1,TRUE,4.1},{"L","ML","MR","R"})</f>
        <v>R</v>
      </c>
      <c r="AH58" s="6" t="e">
        <f t="array" ref="AH58:AW58">LOOKUP(C56:Q56,{FALSE,2.1,TRUE,4.1},{"L","ML","MR","R"})</f>
        <v>#N/A</v>
      </c>
      <c r="AI58" s="4" t="str">
        <v>ML</v>
      </c>
      <c r="AJ58" s="4" t="str">
        <v>ML</v>
      </c>
      <c r="AK58" s="4" t="str">
        <v>ML</v>
      </c>
      <c r="AL58" s="4" t="str">
        <v>R</v>
      </c>
      <c r="AM58" s="4" t="e">
        <v>#N/A</v>
      </c>
      <c r="AN58" s="4" t="e">
        <v>#N/A</v>
      </c>
      <c r="AO58" s="4" t="str">
        <v>MR</v>
      </c>
      <c r="AP58" s="4" t="e">
        <v>#VALUE!</v>
      </c>
      <c r="AQ58" s="4" t="e">
        <v>#N/A</v>
      </c>
      <c r="AR58" s="4" t="e">
        <v>#DIV/0!</v>
      </c>
      <c r="AS58" s="4" t="e">
        <v>#NAME?</v>
      </c>
      <c r="AT58" s="4" t="e">
        <v>#NULL!</v>
      </c>
      <c r="AU58" s="4" t="e">
        <v>#NUM!</v>
      </c>
      <c r="AV58" s="4" t="e">
        <v>#REF!</v>
      </c>
      <c r="AW58" s="4" t="e">
        <v>#N/A</v>
      </c>
    </row>
    <row r="59" spans="1:49" x14ac:dyDescent="0.15">
      <c r="A59" s="99"/>
      <c r="B59" s="100"/>
      <c r="C59" s="13"/>
      <c r="D59" s="13"/>
      <c r="E59" s="13"/>
      <c r="F59" s="13"/>
      <c r="G59" s="13"/>
      <c r="H59" s="14"/>
      <c r="I59" s="14"/>
      <c r="J59" s="14"/>
      <c r="K59" s="14"/>
      <c r="L59" s="14"/>
      <c r="M59" s="15"/>
      <c r="N59" s="15"/>
      <c r="O59" s="15"/>
      <c r="P59" s="15"/>
      <c r="Q59" s="15"/>
      <c r="R59" s="6" t="e">
        <f>LOOKUP(-2,{4.1,2.1,3.1,1.1})</f>
        <v>#N/A</v>
      </c>
      <c r="S59" s="6" t="e">
        <f>LOOKUP(2,{4.1,2.1,3.1,1.1})</f>
        <v>#N/A</v>
      </c>
      <c r="T59" s="6">
        <f>LOOKUP(E56,{4.1,2.1,3.1,1.1})</f>
        <v>2.1</v>
      </c>
      <c r="U59" s="6">
        <f>LOOKUP(F56,{4.1,2.1,3.1,1.1})</f>
        <v>1.1000000000000001</v>
      </c>
      <c r="V59" s="6">
        <f>LOOKUP(G56,{4.1,2.1,3.1,1.1})</f>
        <v>1.1000000000000001</v>
      </c>
      <c r="W59" s="6" t="e">
        <f>LOOKUP(H56,{4.1,2.1,3.1,1.1})</f>
        <v>#N/A</v>
      </c>
      <c r="X59" s="6" t="e">
        <f>LOOKUP(I56,{4.1,2.1,3.1,1.1})</f>
        <v>#N/A</v>
      </c>
      <c r="Y59" s="6" t="e">
        <f>LOOKUP(J56,{4.1,2.1,3.1,1.1})</f>
        <v>#N/A</v>
      </c>
      <c r="Z59" s="6" t="e">
        <f>LOOKUP(K56,{4.1,2.1,3.1,1.1})</f>
        <v>#VALUE!</v>
      </c>
      <c r="AA59" s="6" t="e">
        <f>LOOKUP(L56,{4.1,2.1,3.1,1.1})</f>
        <v>#N/A</v>
      </c>
      <c r="AB59" s="6" t="e">
        <f>LOOKUP(M56,{4.1,2.1,3.1,1.1})</f>
        <v>#DIV/0!</v>
      </c>
      <c r="AC59" s="6" t="e">
        <f>LOOKUP(N56,{4.1,2.1,3.1,1.1})</f>
        <v>#NAME?</v>
      </c>
      <c r="AD59" s="6" t="e">
        <f>LOOKUP(O56,{4.1,2.1,3.1,1.1})</f>
        <v>#NULL!</v>
      </c>
      <c r="AE59" s="6" t="e">
        <f>LOOKUP(P56,{4.1,2.1,3.1,1.1})</f>
        <v>#NUM!</v>
      </c>
      <c r="AF59" s="6" t="e">
        <f>LOOKUP(Q56,{4.1,2.1,3.1,1.1})</f>
        <v>#REF!</v>
      </c>
      <c r="AG59" s="6" t="str">
        <f>LOOKUP(20,{4.1,2.1,3.1,1.1},{"L","ML","MR","R"})</f>
        <v>R</v>
      </c>
      <c r="AH59" s="6" t="e">
        <f t="array" ref="AH59:AW59">LOOKUP(C56:Q56,{4.1,2.1,3.1,1.1},{"L","ML","MR","R"})</f>
        <v>#N/A</v>
      </c>
      <c r="AI59" s="4" t="str">
        <v>ML</v>
      </c>
      <c r="AJ59" s="4" t="str">
        <v>ML</v>
      </c>
      <c r="AK59" s="4" t="str">
        <v>R</v>
      </c>
      <c r="AL59" s="4" t="str">
        <v>R</v>
      </c>
      <c r="AM59" s="4" t="e">
        <v>#N/A</v>
      </c>
      <c r="AN59" s="4" t="e">
        <v>#N/A</v>
      </c>
      <c r="AO59" s="4" t="e">
        <v>#N/A</v>
      </c>
      <c r="AP59" s="4" t="e">
        <v>#VALUE!</v>
      </c>
      <c r="AQ59" s="4" t="e">
        <v>#N/A</v>
      </c>
      <c r="AR59" s="4" t="e">
        <v>#DIV/0!</v>
      </c>
      <c r="AS59" s="4" t="e">
        <v>#NAME?</v>
      </c>
      <c r="AT59" s="4" t="e">
        <v>#NULL!</v>
      </c>
      <c r="AU59" s="4" t="e">
        <v>#NUM!</v>
      </c>
      <c r="AV59" s="4" t="e">
        <v>#REF!</v>
      </c>
      <c r="AW59" s="4" t="e">
        <v>#N/A</v>
      </c>
    </row>
    <row r="60" spans="1:49" x14ac:dyDescent="0.15">
      <c r="A60" s="99"/>
      <c r="B60" s="100"/>
      <c r="C60" s="13"/>
      <c r="D60" s="13"/>
      <c r="E60" s="13"/>
      <c r="F60" s="13"/>
      <c r="G60" s="13"/>
      <c r="H60" s="14"/>
      <c r="I60" s="14"/>
      <c r="J60" s="14"/>
      <c r="K60" s="14"/>
      <c r="L60" s="14"/>
      <c r="M60" s="15"/>
      <c r="N60" s="15"/>
      <c r="O60" s="15"/>
      <c r="P60" s="15"/>
      <c r="Q60" s="15"/>
      <c r="R60" s="6" t="e">
        <f>LOOKUP(-2,{"b",4.1,"a",1.1})</f>
        <v>#N/A</v>
      </c>
      <c r="S60" s="6" t="e">
        <f>LOOKUP(2,{"b",4.1,"a",1.1})</f>
        <v>#N/A</v>
      </c>
      <c r="T60" s="6" t="e">
        <f>LOOKUP(E56,{"b",4.1,"a",1.1})</f>
        <v>#N/A</v>
      </c>
      <c r="U60" s="6" t="e">
        <f>LOOKUP(F56,{"b",4.1,"a",1.1})</f>
        <v>#N/A</v>
      </c>
      <c r="V60" s="6">
        <f>LOOKUP(G56,{"b",4.1,"a",1.1})</f>
        <v>4.0999999999999996</v>
      </c>
      <c r="W60" s="6" t="e">
        <f>LOOKUP(H56,{"b",4.1,"a",1.1})</f>
        <v>#N/A</v>
      </c>
      <c r="X60" s="6" t="str">
        <f>LOOKUP(I56,{"b",4.1,"a",1.1})</f>
        <v>a</v>
      </c>
      <c r="Y60" s="6" t="e">
        <f>LOOKUP(J56,{"b",4.1,"a",1.1})</f>
        <v>#N/A</v>
      </c>
      <c r="Z60" s="6" t="e">
        <f>LOOKUP(K56,{"b",4.1,"a",1.1})</f>
        <v>#VALUE!</v>
      </c>
      <c r="AA60" s="6" t="e">
        <f>LOOKUP(L56,{"b",4.1,"a",1.1})</f>
        <v>#N/A</v>
      </c>
      <c r="AB60" s="6" t="e">
        <f>LOOKUP(M56,{"b",4.1,"a",1.1})</f>
        <v>#DIV/0!</v>
      </c>
      <c r="AC60" s="6" t="e">
        <f>LOOKUP(N56,{"b",4.1,"a",1.1})</f>
        <v>#NAME?</v>
      </c>
      <c r="AD60" s="6" t="e">
        <f>LOOKUP(O56,{"b",4.1,"a",1.1})</f>
        <v>#NULL!</v>
      </c>
      <c r="AE60" s="6" t="e">
        <f>LOOKUP(P56,{"b",4.1,"a",1.1})</f>
        <v>#NUM!</v>
      </c>
      <c r="AF60" s="6" t="e">
        <f>LOOKUP(Q56,{"b",4.1,"a",1.1})</f>
        <v>#REF!</v>
      </c>
      <c r="AG60" s="6" t="str">
        <f>LOOKUP(20,{"b",4.1,"a",1.1},{"L","ML","MR","R"})</f>
        <v>R</v>
      </c>
      <c r="AH60" s="6" t="e">
        <f t="array" ref="AH60:AW60">LOOKUP(C56:Q56,{"b",4.1,"a",1.1},{"L","ML","MR","R"})</f>
        <v>#N/A</v>
      </c>
      <c r="AI60" s="4" t="e">
        <v>#N/A</v>
      </c>
      <c r="AJ60" s="4" t="e">
        <v>#N/A</v>
      </c>
      <c r="AK60" s="4" t="e">
        <v>#N/A</v>
      </c>
      <c r="AL60" s="4" t="str">
        <v>ML</v>
      </c>
      <c r="AM60" s="4" t="e">
        <v>#N/A</v>
      </c>
      <c r="AN60" s="4" t="str">
        <v>MR</v>
      </c>
      <c r="AO60" s="4" t="e">
        <v>#N/A</v>
      </c>
      <c r="AP60" s="4" t="e">
        <v>#VALUE!</v>
      </c>
      <c r="AQ60" s="4" t="e">
        <v>#N/A</v>
      </c>
      <c r="AR60" s="4" t="e">
        <v>#DIV/0!</v>
      </c>
      <c r="AS60" s="4" t="e">
        <v>#NAME?</v>
      </c>
      <c r="AT60" s="4" t="e">
        <v>#NULL!</v>
      </c>
      <c r="AU60" s="4" t="e">
        <v>#NUM!</v>
      </c>
      <c r="AV60" s="4" t="e">
        <v>#REF!</v>
      </c>
      <c r="AW60" s="4" t="e">
        <v>#N/A</v>
      </c>
    </row>
    <row r="61" spans="1:49" x14ac:dyDescent="0.15">
      <c r="A61" s="99"/>
      <c r="B61" s="100"/>
      <c r="C61" s="13"/>
      <c r="D61" s="13"/>
      <c r="E61" s="13"/>
      <c r="F61" s="13"/>
      <c r="G61" s="13"/>
      <c r="H61" s="14"/>
      <c r="I61" s="14"/>
      <c r="J61" s="14"/>
      <c r="K61" s="14"/>
      <c r="L61" s="14"/>
      <c r="M61" s="15"/>
      <c r="N61" s="15"/>
      <c r="O61" s="15"/>
      <c r="P61" s="15"/>
      <c r="Q61" s="15"/>
      <c r="R61" s="6" t="e">
        <f>LOOKUP(-2,{"",4.1,"a",1.1})</f>
        <v>#N/A</v>
      </c>
      <c r="S61" s="6" t="e">
        <f>LOOKUP(2,{"",4.1,"a",1.1})</f>
        <v>#N/A</v>
      </c>
      <c r="T61" s="6" t="e">
        <f>LOOKUP(E56,{"",4.1,"a",1.1})</f>
        <v>#N/A</v>
      </c>
      <c r="U61" s="6" t="e">
        <f>LOOKUP(F56,{"",4.1,"a",1.1})</f>
        <v>#N/A</v>
      </c>
      <c r="V61" s="6">
        <f>LOOKUP(G56,{"",4.1,"a",1.1})</f>
        <v>4.0999999999999996</v>
      </c>
      <c r="W61" s="6" t="e">
        <f>LOOKUP(H56,{"",4.1,"a",1.1})</f>
        <v>#N/A</v>
      </c>
      <c r="X61" s="6" t="str">
        <f>LOOKUP(I56,{"",4.1,"a",1.1})</f>
        <v>a</v>
      </c>
      <c r="Y61" s="6" t="e">
        <f>LOOKUP(J56,{"",4.1,"a",1.1})</f>
        <v>#N/A</v>
      </c>
      <c r="Z61" s="6" t="e">
        <f>LOOKUP(K56,{"",4.1,"a",1.1})</f>
        <v>#VALUE!</v>
      </c>
      <c r="AA61" s="6" t="e">
        <f>LOOKUP(L56,{"",4.1,"a",1.1})</f>
        <v>#N/A</v>
      </c>
      <c r="AB61" s="6" t="e">
        <f>LOOKUP(M56,{"",4.1,"a",1.1})</f>
        <v>#DIV/0!</v>
      </c>
      <c r="AC61" s="6" t="e">
        <f>LOOKUP(N56,{"",4.1,"a",1.1})</f>
        <v>#NAME?</v>
      </c>
      <c r="AD61" s="6" t="e">
        <f>LOOKUP(O56,{"",4.1,"a",1.1})</f>
        <v>#NULL!</v>
      </c>
      <c r="AE61" s="6" t="e">
        <f>LOOKUP(P56,{"",4.1,"a",1.1})</f>
        <v>#NUM!</v>
      </c>
      <c r="AF61" s="6" t="e">
        <f>LOOKUP(Q56,{"",4.1,"a",1.1})</f>
        <v>#REF!</v>
      </c>
      <c r="AG61" s="6" t="str">
        <f>LOOKUP(20,{"",4.1,"a",1.1},{"L","ML","MR","R"})</f>
        <v>R</v>
      </c>
      <c r="AH61" s="6" t="e">
        <f t="array" ref="AH61:AW61">LOOKUP(C56:Q56,{"",4.1,"a",1.1},{"L","ML","MR","R"})</f>
        <v>#N/A</v>
      </c>
      <c r="AI61" s="4" t="e">
        <v>#N/A</v>
      </c>
      <c r="AJ61" s="4" t="e">
        <v>#N/A</v>
      </c>
      <c r="AK61" s="4" t="e">
        <v>#N/A</v>
      </c>
      <c r="AL61" s="4" t="str">
        <v>ML</v>
      </c>
      <c r="AM61" s="4" t="e">
        <v>#N/A</v>
      </c>
      <c r="AN61" s="4" t="str">
        <v>MR</v>
      </c>
      <c r="AO61" s="4" t="e">
        <v>#N/A</v>
      </c>
      <c r="AP61" s="4" t="e">
        <v>#VALUE!</v>
      </c>
      <c r="AQ61" s="4" t="e">
        <v>#N/A</v>
      </c>
      <c r="AR61" s="4" t="e">
        <v>#DIV/0!</v>
      </c>
      <c r="AS61" s="4" t="e">
        <v>#NAME?</v>
      </c>
      <c r="AT61" s="4" t="e">
        <v>#NULL!</v>
      </c>
      <c r="AU61" s="4" t="e">
        <v>#NUM!</v>
      </c>
      <c r="AV61" s="4" t="e">
        <v>#REF!</v>
      </c>
      <c r="AW61" s="4" t="e">
        <v>#N/A</v>
      </c>
    </row>
    <row r="62" spans="1:49" x14ac:dyDescent="0.15">
      <c r="A62" s="99"/>
      <c r="B62" s="100"/>
      <c r="C62" s="13"/>
      <c r="D62" s="13"/>
      <c r="E62" s="13"/>
      <c r="F62" s="13"/>
      <c r="G62" s="13"/>
      <c r="H62" s="14"/>
      <c r="I62" s="14"/>
      <c r="J62" s="14"/>
      <c r="K62" s="14"/>
      <c r="L62" s="14"/>
      <c r="M62" s="15"/>
      <c r="N62" s="15"/>
      <c r="O62" s="15"/>
      <c r="P62" s="15"/>
      <c r="Q62" s="15"/>
      <c r="R62" s="6" t="e">
        <f>LOOKUP(-2,{TRUE,4.1,FALSE,1.1})</f>
        <v>#N/A</v>
      </c>
      <c r="S62" s="6" t="e">
        <f>LOOKUP(2,{TRUE,4.1,FALSE,1.1})</f>
        <v>#N/A</v>
      </c>
      <c r="T62" s="6" t="e">
        <f>LOOKUP(E56,{TRUE,4.1,FALSE,1.1})</f>
        <v>#N/A</v>
      </c>
      <c r="U62" s="6" t="e">
        <f>LOOKUP(F56,{TRUE,4.1,FALSE,1.1})</f>
        <v>#N/A</v>
      </c>
      <c r="V62" s="6">
        <f>LOOKUP(G56,{TRUE,4.1,FALSE,1.1})</f>
        <v>4.0999999999999996</v>
      </c>
      <c r="W62" s="6" t="e">
        <f>LOOKUP(H56,{TRUE,4.1,FALSE,1.1})</f>
        <v>#N/A</v>
      </c>
      <c r="X62" s="6" t="e">
        <f>LOOKUP(I56,{TRUE,4.1,FALSE,1.1})</f>
        <v>#N/A</v>
      </c>
      <c r="Y62" s="6" t="b">
        <f>LOOKUP(J56,{TRUE,4.1,FALSE,1.1})</f>
        <v>0</v>
      </c>
      <c r="Z62" s="6" t="e">
        <f>LOOKUP(K56,{TRUE,4.1,FALSE,1.1})</f>
        <v>#VALUE!</v>
      </c>
      <c r="AA62" s="6" t="e">
        <f>LOOKUP(L56,{TRUE,4.1,FALSE,1.1})</f>
        <v>#N/A</v>
      </c>
      <c r="AB62" s="6" t="e">
        <f>LOOKUP(M56,{TRUE,4.1,FALSE,1.1})</f>
        <v>#DIV/0!</v>
      </c>
      <c r="AC62" s="6" t="e">
        <f>LOOKUP(N56,{TRUE,4.1,FALSE,1.1})</f>
        <v>#NAME?</v>
      </c>
      <c r="AD62" s="6" t="e">
        <f>LOOKUP(O56,{TRUE,4.1,FALSE,1.1})</f>
        <v>#NULL!</v>
      </c>
      <c r="AE62" s="6" t="e">
        <f>LOOKUP(P56,{TRUE,4.1,FALSE,1.1})</f>
        <v>#NUM!</v>
      </c>
      <c r="AF62" s="6" t="e">
        <f>LOOKUP(Q56,{TRUE,4.1,FALSE,1.1})</f>
        <v>#REF!</v>
      </c>
      <c r="AG62" s="6" t="str">
        <f>LOOKUP(20,{TRUE,4.1,FALSE,1.1},{"L","ML","MR","R"})</f>
        <v>R</v>
      </c>
      <c r="AH62" s="6" t="e">
        <f t="array" ref="AH62:AW62">LOOKUP(C56:Q56,{TRUE,4.1,FALSE,1.1},{"L","ML","MR","R"})</f>
        <v>#N/A</v>
      </c>
      <c r="AI62" s="4" t="e">
        <v>#N/A</v>
      </c>
      <c r="AJ62" s="4" t="e">
        <v>#N/A</v>
      </c>
      <c r="AK62" s="4" t="e">
        <v>#N/A</v>
      </c>
      <c r="AL62" s="4" t="str">
        <v>ML</v>
      </c>
      <c r="AM62" s="4" t="e">
        <v>#N/A</v>
      </c>
      <c r="AN62" s="4" t="e">
        <v>#N/A</v>
      </c>
      <c r="AO62" s="4" t="str">
        <v>MR</v>
      </c>
      <c r="AP62" s="4" t="e">
        <v>#VALUE!</v>
      </c>
      <c r="AQ62" s="4" t="e">
        <v>#N/A</v>
      </c>
      <c r="AR62" s="4" t="e">
        <v>#DIV/0!</v>
      </c>
      <c r="AS62" s="4" t="e">
        <v>#NAME?</v>
      </c>
      <c r="AT62" s="4" t="e">
        <v>#NULL!</v>
      </c>
      <c r="AU62" s="4" t="e">
        <v>#NUM!</v>
      </c>
      <c r="AV62" s="4" t="e">
        <v>#REF!</v>
      </c>
      <c r="AW62" s="4" t="e">
        <v>#N/A</v>
      </c>
    </row>
    <row r="63" spans="1:49" x14ac:dyDescent="0.15">
      <c r="A63" s="99"/>
      <c r="B63" s="100"/>
      <c r="C63" s="13"/>
      <c r="D63" s="13"/>
      <c r="E63" s="13"/>
      <c r="F63" s="13"/>
      <c r="G63" s="13"/>
      <c r="H63" s="14"/>
      <c r="I63" s="14"/>
      <c r="J63" s="14"/>
      <c r="K63" s="14"/>
      <c r="L63" s="14"/>
      <c r="M63" s="15"/>
      <c r="N63" s="15"/>
      <c r="O63" s="15"/>
      <c r="P63" s="15"/>
      <c r="Q63" s="15"/>
      <c r="R63" s="6" t="e">
        <f>LOOKUP(-2,{TRUE,4.1,FALSE,"b"})</f>
        <v>#N/A</v>
      </c>
      <c r="S63" s="6" t="e">
        <f>LOOKUP(2,{TRUE,4.1,FALSE,"b"})</f>
        <v>#N/A</v>
      </c>
      <c r="T63" s="6" t="e">
        <f>LOOKUP(E56,{TRUE,4.1,FALSE,"b"})</f>
        <v>#N/A</v>
      </c>
      <c r="U63" s="6" t="e">
        <f>LOOKUP(F56,{TRUE,4.1,FALSE,"b"})</f>
        <v>#N/A</v>
      </c>
      <c r="V63" s="6">
        <f>LOOKUP(G56,{TRUE,4.1,FALSE,"b"})</f>
        <v>4.0999999999999996</v>
      </c>
      <c r="W63" s="6" t="e">
        <f>LOOKUP(H56,{TRUE,4.1,FALSE,"b"})</f>
        <v>#N/A</v>
      </c>
      <c r="X63" s="6" t="str">
        <f>LOOKUP(I56,{TRUE,4.1,FALSE,"b"})</f>
        <v>b</v>
      </c>
      <c r="Y63" s="6" t="b">
        <f>LOOKUP(J56,{TRUE,4.1,FALSE,"b"})</f>
        <v>0</v>
      </c>
      <c r="Z63" s="6" t="e">
        <f>LOOKUP(K56,{TRUE,4.1,FALSE,"b"})</f>
        <v>#VALUE!</v>
      </c>
      <c r="AA63" s="6" t="e">
        <f>LOOKUP(L56,{TRUE,4.1,FALSE,"b"})</f>
        <v>#N/A</v>
      </c>
      <c r="AB63" s="6" t="e">
        <f>LOOKUP(M56,{TRUE,4.1,FALSE,"b"})</f>
        <v>#DIV/0!</v>
      </c>
      <c r="AC63" s="6" t="e">
        <f>LOOKUP(N56,{TRUE,4.1,FALSE,"b"})</f>
        <v>#NAME?</v>
      </c>
      <c r="AD63" s="6" t="e">
        <f>LOOKUP(O56,{TRUE,4.1,FALSE,"b"})</f>
        <v>#NULL!</v>
      </c>
      <c r="AE63" s="6" t="e">
        <f>LOOKUP(P56,{TRUE,4.1,FALSE,"b"})</f>
        <v>#NUM!</v>
      </c>
      <c r="AF63" s="6" t="e">
        <f>LOOKUP(Q56,{TRUE,4.1,FALSE,"b"})</f>
        <v>#REF!</v>
      </c>
      <c r="AG63" s="6" t="str">
        <f>LOOKUP(20,{TRUE,4.1,FALSE,"b"},{"L","ML","MR","R"})</f>
        <v>ML</v>
      </c>
      <c r="AH63" s="6" t="e">
        <f t="array" ref="AH63:AW63">LOOKUP(C56:Q56,{TRUE,4.1,FALSE,"b"},{"L","ML","MR","R"})</f>
        <v>#N/A</v>
      </c>
      <c r="AI63" s="4" t="e">
        <v>#N/A</v>
      </c>
      <c r="AJ63" s="4" t="e">
        <v>#N/A</v>
      </c>
      <c r="AK63" s="4" t="e">
        <v>#N/A</v>
      </c>
      <c r="AL63" s="4" t="str">
        <v>ML</v>
      </c>
      <c r="AM63" s="4" t="e">
        <v>#N/A</v>
      </c>
      <c r="AN63" s="4" t="str">
        <v>R</v>
      </c>
      <c r="AO63" s="4" t="str">
        <v>MR</v>
      </c>
      <c r="AP63" s="4" t="e">
        <v>#VALUE!</v>
      </c>
      <c r="AQ63" s="4" t="e">
        <v>#N/A</v>
      </c>
      <c r="AR63" s="4" t="e">
        <v>#DIV/0!</v>
      </c>
      <c r="AS63" s="4" t="e">
        <v>#NAME?</v>
      </c>
      <c r="AT63" s="4" t="e">
        <v>#NULL!</v>
      </c>
      <c r="AU63" s="4" t="e">
        <v>#NUM!</v>
      </c>
      <c r="AV63" s="4" t="e">
        <v>#REF!</v>
      </c>
      <c r="AW63" s="4" t="e">
        <v>#N/A</v>
      </c>
    </row>
    <row r="64" spans="1:49" x14ac:dyDescent="0.15">
      <c r="A64" s="99"/>
      <c r="B64" s="100"/>
      <c r="C64" s="6"/>
      <c r="D64" s="6"/>
      <c r="E64" s="6"/>
      <c r="F64" s="6"/>
      <c r="G64" s="6"/>
      <c r="I64" s="14"/>
      <c r="J64" s="14"/>
      <c r="K64" s="14"/>
      <c r="L64" s="14"/>
      <c r="M64" s="15"/>
      <c r="N64" s="15"/>
      <c r="O64" s="15"/>
      <c r="P64" s="15"/>
      <c r="Q64" s="15"/>
      <c r="R64" s="6" t="e">
        <f>LOOKUP(-2,{TRUE,FALSE,"a","b"})</f>
        <v>#N/A</v>
      </c>
      <c r="S64" s="6" t="e">
        <f>LOOKUP(2,{TRUE,FALSE,"a","b"})</f>
        <v>#N/A</v>
      </c>
      <c r="T64" s="6" t="e">
        <f>LOOKUP(E56,{TRUE,FALSE,"a","b"})</f>
        <v>#N/A</v>
      </c>
      <c r="U64" s="6" t="e">
        <f>LOOKUP(F56,{TRUE,FALSE,"a","b"})</f>
        <v>#N/A</v>
      </c>
      <c r="V64" s="6" t="e">
        <f>LOOKUP(G56,{TRUE,FALSE,"a","b"})</f>
        <v>#N/A</v>
      </c>
      <c r="W64" s="6" t="e">
        <f>LOOKUP(H56,{TRUE,FALSE,"a","b"})</f>
        <v>#N/A</v>
      </c>
      <c r="X64" s="6" t="str">
        <f>LOOKUP(I56,{TRUE,FALSE,"a","b"})</f>
        <v>b</v>
      </c>
      <c r="Y64" s="6" t="b">
        <f>LOOKUP(J56,{TRUE,FALSE,"a","b"})</f>
        <v>0</v>
      </c>
      <c r="Z64" s="6" t="e">
        <f>LOOKUP(K56,{TRUE,FALSE,"a","b"})</f>
        <v>#VALUE!</v>
      </c>
      <c r="AA64" s="6" t="e">
        <f>LOOKUP(L56,{TRUE,FALSE,"a","b"})</f>
        <v>#N/A</v>
      </c>
      <c r="AB64" s="6" t="e">
        <f>LOOKUP(M56,{TRUE,FALSE,"a","b"})</f>
        <v>#DIV/0!</v>
      </c>
      <c r="AC64" s="6" t="e">
        <f>LOOKUP(N56,{TRUE,FALSE,"a","b"})</f>
        <v>#NAME?</v>
      </c>
      <c r="AD64" s="6" t="e">
        <f>LOOKUP(O56,{TRUE,FALSE,"a","b"})</f>
        <v>#NULL!</v>
      </c>
      <c r="AE64" s="6" t="e">
        <f>LOOKUP(P56,{TRUE,FALSE,"a","b"})</f>
        <v>#NUM!</v>
      </c>
      <c r="AF64" s="6" t="e">
        <f>LOOKUP(Q56,{TRUE,FALSE,"a","b"})</f>
        <v>#REF!</v>
      </c>
      <c r="AG64" s="6" t="e">
        <f>LOOKUP(20,{TRUE,FALSE,"a","b"},{"L","ML","MR","R"})</f>
        <v>#N/A</v>
      </c>
      <c r="AH64" s="6" t="e">
        <f t="array" ref="AH64:AW64">LOOKUP(C56:Q56,{TRUE,FALSE,"a","b"},{"L","ML","MR","R"})</f>
        <v>#N/A</v>
      </c>
      <c r="AI64" s="4" t="e">
        <v>#N/A</v>
      </c>
      <c r="AJ64" s="4" t="e">
        <v>#N/A</v>
      </c>
      <c r="AK64" s="4" t="e">
        <v>#N/A</v>
      </c>
      <c r="AL64" s="4" t="e">
        <v>#N/A</v>
      </c>
      <c r="AM64" s="4" t="e">
        <v>#N/A</v>
      </c>
      <c r="AN64" s="4" t="str">
        <v>R</v>
      </c>
      <c r="AO64" s="4" t="str">
        <v>ML</v>
      </c>
      <c r="AP64" s="4" t="e">
        <v>#VALUE!</v>
      </c>
      <c r="AQ64" s="4" t="e">
        <v>#N/A</v>
      </c>
      <c r="AR64" s="4" t="e">
        <v>#DIV/0!</v>
      </c>
      <c r="AS64" s="4" t="e">
        <v>#NAME?</v>
      </c>
      <c r="AT64" s="4" t="e">
        <v>#NULL!</v>
      </c>
      <c r="AU64" s="4" t="e">
        <v>#NUM!</v>
      </c>
      <c r="AV64" s="4" t="e">
        <v>#REF!</v>
      </c>
      <c r="AW64" s="4" t="e">
        <v>#N/A</v>
      </c>
    </row>
    <row r="65" spans="1:48" x14ac:dyDescent="0.15">
      <c r="A65" s="99" t="s">
        <v>550</v>
      </c>
      <c r="B65" s="100" t="s">
        <v>541</v>
      </c>
      <c r="C65" s="13">
        <v>-2</v>
      </c>
      <c r="D65" s="13">
        <v>1.1000000000000001</v>
      </c>
      <c r="E65" s="13">
        <v>3</v>
      </c>
      <c r="F65" s="13">
        <v>4</v>
      </c>
      <c r="G65" s="13">
        <v>4.0999999999999996</v>
      </c>
      <c r="H65" s="14"/>
      <c r="I65" s="14" t="s">
        <v>339</v>
      </c>
      <c r="J65" s="14" t="b">
        <v>1</v>
      </c>
      <c r="K65" s="14" t="e">
        <f>#VALUE!</f>
        <v>#VALUE!</v>
      </c>
      <c r="L65" s="14" t="e">
        <v>#N/A</v>
      </c>
      <c r="M65" s="15" t="e">
        <v>#DIV/0!</v>
      </c>
      <c r="N65" s="15" t="e">
        <v>#NAME?</v>
      </c>
      <c r="O65" s="15" t="e">
        <v>#NULL!</v>
      </c>
      <c r="P65" s="15" t="e">
        <v>#NUM!</v>
      </c>
      <c r="Q65" s="15" t="e">
        <v>#REF!</v>
      </c>
      <c r="R65" s="6" t="e">
        <f>MATCH(C65,{-1.1,2.1,3.1,4.1})</f>
        <v>#N/A</v>
      </c>
      <c r="S65" s="6">
        <f>MATCH(D65,{-1.1,2.1,3.1,4.1})</f>
        <v>1</v>
      </c>
      <c r="T65" s="6">
        <f>MATCH(E65,{-1.1,2.1,3.1,4.1})</f>
        <v>2</v>
      </c>
      <c r="U65" s="6">
        <f>MATCH(F65,{-1.1,2.1,3.1,4.1})</f>
        <v>3</v>
      </c>
      <c r="V65" s="6">
        <f>MATCH(G65,{-1.1,2.1,3.1,4.1})</f>
        <v>4</v>
      </c>
      <c r="W65" s="6">
        <f>MATCH(H65,{-1.1,2.1,3.1,4.1})</f>
        <v>1</v>
      </c>
      <c r="X65" s="6" t="e">
        <f>MATCH(I65,{-1.1,2.1,3.1,4.1})</f>
        <v>#N/A</v>
      </c>
      <c r="Y65" s="6" t="e">
        <f>MATCH(J65,{-1.1,2.1,3.1,4.1})</f>
        <v>#N/A</v>
      </c>
      <c r="Z65" s="6" t="e">
        <f>MATCH(K65,{-1.1,2.1,3.1,4.1})</f>
        <v>#VALUE!</v>
      </c>
      <c r="AA65" s="6" t="e">
        <f>MATCH(L65,{-1.1,2.1,3.1,4.1})</f>
        <v>#N/A</v>
      </c>
      <c r="AB65" s="6" t="e">
        <f>MATCH(M65,{-1.1,2.1,3.1,4.1})</f>
        <v>#DIV/0!</v>
      </c>
      <c r="AC65" s="6" t="e">
        <f>MATCH(N65,{-1.1,2.1,3.1,4.1})</f>
        <v>#NAME?</v>
      </c>
      <c r="AD65" s="6" t="e">
        <f>MATCH(O65,{-1.1,2.1,3.1,4.1})</f>
        <v>#NULL!</v>
      </c>
      <c r="AE65" s="6" t="e">
        <f>MATCH(P65,{-1.1,2.1,3.1,4.1})</f>
        <v>#NUM!</v>
      </c>
      <c r="AF65" s="6" t="e">
        <f>MATCH(Q65,{-1.1,2.1,3.1,4.1})</f>
        <v>#REF!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15">
      <c r="A66" s="99"/>
      <c r="B66" s="100"/>
      <c r="C66" s="13">
        <v>-2</v>
      </c>
      <c r="D66" s="13">
        <v>1.1000000000000001</v>
      </c>
      <c r="E66" s="13">
        <v>3</v>
      </c>
      <c r="F66" s="13">
        <v>4</v>
      </c>
      <c r="G66" s="13">
        <v>4.0999999999999996</v>
      </c>
      <c r="H66" s="14"/>
      <c r="I66" s="14" t="s">
        <v>339</v>
      </c>
      <c r="J66" s="14" t="b">
        <v>1</v>
      </c>
      <c r="K66" s="14" t="e">
        <f>#VALUE!</f>
        <v>#VALUE!</v>
      </c>
      <c r="L66" s="14" t="e">
        <v>#N/A</v>
      </c>
      <c r="M66" s="15" t="e">
        <v>#DIV/0!</v>
      </c>
      <c r="N66" s="15" t="e">
        <v>#NAME?</v>
      </c>
      <c r="O66" s="15" t="e">
        <v>#NULL!</v>
      </c>
      <c r="P66" s="15" t="e">
        <v>#NUM!</v>
      </c>
      <c r="Q66" s="15" t="e">
        <v>#REF!</v>
      </c>
      <c r="R66" s="6" t="e">
        <f>MATCH(C66,{"a",2.1,"c bau c",4.1})</f>
        <v>#N/A</v>
      </c>
      <c r="S66" s="6" t="e">
        <f>MATCH(D66,{"a",2.1,"c bau c",4.1})</f>
        <v>#N/A</v>
      </c>
      <c r="T66" s="6">
        <f>MATCH(E66,{"a",2.1,"c bau c",4.1})</f>
        <v>2</v>
      </c>
      <c r="U66" s="6">
        <f>MATCH(F66,{"a",2.1,"c bau c",4.1})</f>
        <v>2</v>
      </c>
      <c r="V66" s="6">
        <f>MATCH(G66,{"a",2.1,"c bau c",4.1})</f>
        <v>4</v>
      </c>
      <c r="W66" s="6" t="e">
        <f>MATCH(H66,{"a",2.1,"c bau c",4.1})</f>
        <v>#N/A</v>
      </c>
      <c r="X66" s="6" t="e">
        <f>MATCH(I66,{"a",2.1,"c bau c",4.1})</f>
        <v>#N/A</v>
      </c>
      <c r="Y66" s="6" t="e">
        <f>MATCH(J66,{"a",2.1,"c bau c",4.1})</f>
        <v>#N/A</v>
      </c>
      <c r="Z66" s="6" t="e">
        <f>MATCH(K66,{"a",2.1,"c bau c",4.1})</f>
        <v>#VALUE!</v>
      </c>
      <c r="AA66" s="6" t="e">
        <f>MATCH(L66,{"a",2.1,"c bau c",4.1})</f>
        <v>#N/A</v>
      </c>
      <c r="AB66" s="6" t="e">
        <f>MATCH(M66,{"a",2.1,"c bau c",4.1})</f>
        <v>#DIV/0!</v>
      </c>
      <c r="AC66" s="6" t="e">
        <f>MATCH(N66,{"a",2.1,"c bau c",4.1})</f>
        <v>#NAME?</v>
      </c>
      <c r="AD66" s="6" t="e">
        <f>MATCH(O66,{"a",2.1,"c bau c",4.1})</f>
        <v>#NULL!</v>
      </c>
      <c r="AE66" s="6" t="e">
        <f>MATCH(P66,{"a",2.1,"c bau c",4.1})</f>
        <v>#NUM!</v>
      </c>
      <c r="AF66" s="6" t="e">
        <f>MATCH(Q66,{"a",2.1,"c bau c",4.1})</f>
        <v>#REF!</v>
      </c>
      <c r="AG66" s="6"/>
      <c r="AH66" s="6"/>
    </row>
    <row r="67" spans="1:48" x14ac:dyDescent="0.15">
      <c r="A67" s="99"/>
      <c r="B67" s="100"/>
      <c r="C67" s="13">
        <v>-2</v>
      </c>
      <c r="D67" s="13">
        <v>1.1000000000000001</v>
      </c>
      <c r="E67" s="13">
        <v>3</v>
      </c>
      <c r="F67" s="13">
        <v>4</v>
      </c>
      <c r="G67" s="13">
        <v>4.0999999999999996</v>
      </c>
      <c r="H67" s="14"/>
      <c r="I67" s="14" t="s">
        <v>339</v>
      </c>
      <c r="J67" s="14" t="b">
        <v>1</v>
      </c>
      <c r="K67" s="14" t="e">
        <f>#VALUE!</f>
        <v>#VALUE!</v>
      </c>
      <c r="L67" s="14" t="e">
        <v>#N/A</v>
      </c>
      <c r="M67" s="15" t="e">
        <v>#DIV/0!</v>
      </c>
      <c r="N67" s="15" t="e">
        <v>#NAME?</v>
      </c>
      <c r="O67" s="15" t="e">
        <v>#NULL!</v>
      </c>
      <c r="P67" s="15" t="e">
        <v>#NUM!</v>
      </c>
      <c r="Q67" s="15" t="e">
        <v>#REF!</v>
      </c>
      <c r="R67" s="6" t="e">
        <f>MATCH(C67,{FALSE,2.1,TRUE,4.1})</f>
        <v>#N/A</v>
      </c>
      <c r="S67" s="6" t="e">
        <f>MATCH(D67,{FALSE,2.1,TRUE,4.1})</f>
        <v>#N/A</v>
      </c>
      <c r="T67" s="6">
        <f>MATCH(E67,{FALSE,2.1,TRUE,4.1})</f>
        <v>2</v>
      </c>
      <c r="U67" s="6">
        <f>MATCH(F67,{FALSE,2.1,TRUE,4.1})</f>
        <v>2</v>
      </c>
      <c r="V67" s="6">
        <f>MATCH(G67,{FALSE,2.1,TRUE,4.1})</f>
        <v>4</v>
      </c>
      <c r="W67" s="6" t="e">
        <f>MATCH(H67,{FALSE,2.1,TRUE,4.1})</f>
        <v>#N/A</v>
      </c>
      <c r="X67" s="6" t="e">
        <f>MATCH(I67,{FALSE,2.1,TRUE,4.1})</f>
        <v>#N/A</v>
      </c>
      <c r="Y67" s="6">
        <f>MATCH(J67,{FALSE,2.1,TRUE,4.1})</f>
        <v>3</v>
      </c>
      <c r="Z67" s="6" t="e">
        <f>MATCH(K67,{FALSE,2.1,TRUE,4.1})</f>
        <v>#VALUE!</v>
      </c>
      <c r="AA67" s="6" t="e">
        <f>MATCH(L67,{FALSE,2.1,TRUE,4.1})</f>
        <v>#N/A</v>
      </c>
      <c r="AB67" s="6" t="e">
        <f>MATCH(M67,{FALSE,2.1,TRUE,4.1})</f>
        <v>#DIV/0!</v>
      </c>
      <c r="AC67" s="6" t="e">
        <f>MATCH(N67,{FALSE,2.1,TRUE,4.1})</f>
        <v>#NAME?</v>
      </c>
      <c r="AD67" s="6" t="e">
        <f>MATCH(O67,{FALSE,2.1,TRUE,4.1})</f>
        <v>#NULL!</v>
      </c>
      <c r="AE67" s="6" t="e">
        <f>MATCH(P67,{FALSE,2.1,TRUE,4.1})</f>
        <v>#NUM!</v>
      </c>
      <c r="AF67" s="6" t="e">
        <f>MATCH(Q67,{FALSE,2.1,TRUE,4.1})</f>
        <v>#REF!</v>
      </c>
      <c r="AG67" s="6"/>
      <c r="AH67" s="6"/>
    </row>
    <row r="68" spans="1:48" x14ac:dyDescent="0.15">
      <c r="A68" s="99"/>
      <c r="B68" s="100"/>
      <c r="C68" s="13">
        <v>-2</v>
      </c>
      <c r="D68" s="13">
        <v>1.1000000000000001</v>
      </c>
      <c r="E68" s="13">
        <v>3</v>
      </c>
      <c r="F68" s="13">
        <v>4</v>
      </c>
      <c r="G68" s="13">
        <v>4.0999999999999996</v>
      </c>
      <c r="H68" s="14"/>
      <c r="I68" s="14" t="s">
        <v>339</v>
      </c>
      <c r="J68" s="14" t="b">
        <v>1</v>
      </c>
      <c r="K68" s="14" t="e">
        <f>#VALUE!</f>
        <v>#VALUE!</v>
      </c>
      <c r="L68" s="14" t="e">
        <v>#N/A</v>
      </c>
      <c r="M68" s="15" t="e">
        <v>#DIV/0!</v>
      </c>
      <c r="N68" s="15" t="e">
        <v>#NAME?</v>
      </c>
      <c r="O68" s="15" t="e">
        <v>#NULL!</v>
      </c>
      <c r="P68" s="15" t="e">
        <v>#NUM!</v>
      </c>
      <c r="Q68" s="15" t="e">
        <v>#REF!</v>
      </c>
      <c r="R68" s="6" t="e">
        <f>MATCH(C68,{4.1,3.1,2.1,1.1})</f>
        <v>#N/A</v>
      </c>
      <c r="S68" s="6" t="e">
        <f>MATCH(D68,{4.1,3.1,2.1,1.1})</f>
        <v>#N/A</v>
      </c>
      <c r="T68" s="6" t="e">
        <f>MATCH(E68,{4.1,3.1,2.1,1.1})</f>
        <v>#N/A</v>
      </c>
      <c r="U68" s="6">
        <f>MATCH(F68,{4.1,3.1,2.1,1.1})</f>
        <v>4</v>
      </c>
      <c r="V68" s="6">
        <f>MATCH(G68,{4.1,3.1,2.1,1.1})</f>
        <v>4</v>
      </c>
      <c r="W68" s="6" t="e">
        <f>MATCH(H68,{4.1,3.1,2.1,1.1})</f>
        <v>#N/A</v>
      </c>
      <c r="X68" s="6" t="e">
        <f>MATCH(I68,{4.1,3.1,2.1,1.1})</f>
        <v>#N/A</v>
      </c>
      <c r="Y68" s="6" t="e">
        <f>MATCH(J68,{4.1,3.1,2.1,1.1})</f>
        <v>#N/A</v>
      </c>
      <c r="Z68" s="6" t="e">
        <f>MATCH(K68,{4.1,3.1,2.1,1.1})</f>
        <v>#VALUE!</v>
      </c>
      <c r="AA68" s="6" t="e">
        <f>MATCH(L68,{4.1,3.1,2.1,1.1})</f>
        <v>#N/A</v>
      </c>
      <c r="AB68" s="6" t="e">
        <f>MATCH(M68,{4.1,3.1,2.1,1.1})</f>
        <v>#DIV/0!</v>
      </c>
      <c r="AC68" s="6" t="e">
        <f>MATCH(N68,{4.1,3.1,2.1,1.1})</f>
        <v>#NAME?</v>
      </c>
      <c r="AD68" s="6" t="e">
        <f>MATCH(O68,{4.1,3.1,2.1,1.1})</f>
        <v>#NULL!</v>
      </c>
      <c r="AE68" s="6" t="e">
        <f>MATCH(P68,{4.1,3.1,2.1,1.1})</f>
        <v>#NUM!</v>
      </c>
      <c r="AF68" s="6" t="e">
        <f>MATCH(Q68,{4.1,3.1,2.1,1.1})</f>
        <v>#REF!</v>
      </c>
      <c r="AG68" s="6"/>
      <c r="AH68" s="6"/>
    </row>
    <row r="69" spans="1:48" x14ac:dyDescent="0.15">
      <c r="A69" s="99"/>
      <c r="B69" s="100"/>
      <c r="C69" s="13">
        <v>-2</v>
      </c>
      <c r="D69" s="13">
        <v>1.1000000000000001</v>
      </c>
      <c r="E69" s="13">
        <v>3</v>
      </c>
      <c r="F69" s="13">
        <v>4</v>
      </c>
      <c r="G69" s="13">
        <v>4.0999999999999996</v>
      </c>
      <c r="H69" s="14"/>
      <c r="I69" s="14" t="s">
        <v>339</v>
      </c>
      <c r="J69" s="14" t="b">
        <v>1</v>
      </c>
      <c r="K69" s="14" t="e">
        <f>#VALUE!</f>
        <v>#VALUE!</v>
      </c>
      <c r="L69" s="14" t="e">
        <v>#N/A</v>
      </c>
      <c r="M69" s="15" t="e">
        <v>#DIV/0!</v>
      </c>
      <c r="N69" s="15" t="e">
        <v>#NAME?</v>
      </c>
      <c r="O69" s="15" t="e">
        <v>#NULL!</v>
      </c>
      <c r="P69" s="15" t="e">
        <v>#NUM!</v>
      </c>
      <c r="Q69" s="15" t="e">
        <v>#REF!</v>
      </c>
      <c r="R69" s="6" t="e">
        <f>MATCH(C69,{"c bau c",4.1,"a",1.1})</f>
        <v>#N/A</v>
      </c>
      <c r="S69" s="6" t="e">
        <f>MATCH(D69,{"c bau c",4.1,"a",1.1})</f>
        <v>#N/A</v>
      </c>
      <c r="T69" s="6" t="e">
        <f>MATCH(E69,{"c bau c",4.1,"a",1.1})</f>
        <v>#N/A</v>
      </c>
      <c r="U69" s="6" t="e">
        <f>MATCH(F69,{"c bau c",4.1,"a",1.1})</f>
        <v>#N/A</v>
      </c>
      <c r="V69" s="6">
        <f>MATCH(G69,{"c bau c",4.1,"a",1.1})</f>
        <v>2</v>
      </c>
      <c r="W69" s="6" t="e">
        <f>MATCH(H69,{"c bau c",4.1,"a",1.1})</f>
        <v>#N/A</v>
      </c>
      <c r="X69" s="6" t="e">
        <f>MATCH(I69,{"c bau c",4.1,"a",1.1})</f>
        <v>#N/A</v>
      </c>
      <c r="Y69" s="6" t="e">
        <f>MATCH(J69,{"c bau c",4.1,"a",1.1})</f>
        <v>#N/A</v>
      </c>
      <c r="Z69" s="6" t="e">
        <f>MATCH(K69,{"c bau c",4.1,"a",1.1})</f>
        <v>#VALUE!</v>
      </c>
      <c r="AA69" s="6" t="e">
        <f>MATCH(L69,{"c bau c",4.1,"a",1.1})</f>
        <v>#N/A</v>
      </c>
      <c r="AB69" s="6" t="e">
        <f>MATCH(M69,{"c bau c",4.1,"a",1.1})</f>
        <v>#DIV/0!</v>
      </c>
      <c r="AC69" s="6" t="e">
        <f>MATCH(N69,{"c bau c",4.1,"a",1.1})</f>
        <v>#NAME?</v>
      </c>
      <c r="AD69" s="6" t="e">
        <f>MATCH(O69,{"c bau c",4.1,"a",1.1})</f>
        <v>#NULL!</v>
      </c>
      <c r="AE69" s="6" t="e">
        <f>MATCH(P69,{"c bau c",4.1,"a",1.1})</f>
        <v>#NUM!</v>
      </c>
      <c r="AF69" s="6" t="e">
        <f>MATCH(Q69,{"c bau c",4.1,"a",1.1})</f>
        <v>#REF!</v>
      </c>
      <c r="AG69" s="6"/>
      <c r="AH69" s="6"/>
    </row>
    <row r="70" spans="1:48" x14ac:dyDescent="0.15">
      <c r="A70" s="99"/>
      <c r="B70" s="100"/>
      <c r="C70" s="13">
        <v>-2</v>
      </c>
      <c r="D70" s="13">
        <v>1.1000000000000001</v>
      </c>
      <c r="E70" s="13">
        <v>3</v>
      </c>
      <c r="F70" s="13">
        <v>4</v>
      </c>
      <c r="G70" s="13">
        <v>4.0999999999999996</v>
      </c>
      <c r="H70" s="14"/>
      <c r="I70" s="14" t="s">
        <v>339</v>
      </c>
      <c r="J70" s="14" t="b">
        <v>1</v>
      </c>
      <c r="K70" s="14" t="e">
        <f>#VALUE!</f>
        <v>#VALUE!</v>
      </c>
      <c r="L70" s="14" t="e">
        <v>#N/A</v>
      </c>
      <c r="M70" s="15" t="e">
        <v>#DIV/0!</v>
      </c>
      <c r="N70" s="15" t="e">
        <v>#NAME?</v>
      </c>
      <c r="O70" s="15" t="e">
        <v>#NULL!</v>
      </c>
      <c r="P70" s="15" t="e">
        <v>#NUM!</v>
      </c>
      <c r="Q70" s="15" t="e">
        <v>#REF!</v>
      </c>
      <c r="R70" s="6" t="e">
        <f>MATCH(C70,{"",4.1,"a",1.1})</f>
        <v>#N/A</v>
      </c>
      <c r="S70" s="6" t="e">
        <f>MATCH(D70,{"",4.1,"a",1.1})</f>
        <v>#N/A</v>
      </c>
      <c r="T70" s="6" t="e">
        <f>MATCH(E70,{"",4.1,"a",1.1})</f>
        <v>#N/A</v>
      </c>
      <c r="U70" s="6" t="e">
        <f>MATCH(F70,{"",4.1,"a",1.1})</f>
        <v>#N/A</v>
      </c>
      <c r="V70" s="6">
        <f>MATCH(G70,{"",4.1,"a",1.1})</f>
        <v>2</v>
      </c>
      <c r="W70" s="6" t="e">
        <f>MATCH(H70,{"",4.1,"a",1.1})</f>
        <v>#N/A</v>
      </c>
      <c r="X70" s="6">
        <f>MATCH(I70,{"",4.1,"a",1.1})</f>
        <v>1</v>
      </c>
      <c r="Y70" s="6" t="e">
        <f>MATCH(J70,{"",4.1,"a",1.1})</f>
        <v>#N/A</v>
      </c>
      <c r="Z70" s="6" t="e">
        <f>MATCH(K70,{"",4.1,"a",1.1})</f>
        <v>#VALUE!</v>
      </c>
      <c r="AA70" s="6" t="e">
        <f>MATCH(L70,{"",4.1,"a",1.1})</f>
        <v>#N/A</v>
      </c>
      <c r="AB70" s="6" t="e">
        <f>MATCH(M70,{"",4.1,"a",1.1})</f>
        <v>#DIV/0!</v>
      </c>
      <c r="AC70" s="6" t="e">
        <f>MATCH(N70,{"",4.1,"a",1.1})</f>
        <v>#NAME?</v>
      </c>
      <c r="AD70" s="6" t="e">
        <f>MATCH(O70,{"",4.1,"a",1.1})</f>
        <v>#NULL!</v>
      </c>
      <c r="AE70" s="6" t="e">
        <f>MATCH(P70,{"",4.1,"a",1.1})</f>
        <v>#NUM!</v>
      </c>
      <c r="AF70" s="6" t="e">
        <f>MATCH(Q70,{"",4.1,"a",1.1})</f>
        <v>#REF!</v>
      </c>
      <c r="AG70" s="6"/>
      <c r="AH70" s="6"/>
    </row>
    <row r="71" spans="1:48" x14ac:dyDescent="0.15">
      <c r="A71" s="99"/>
      <c r="B71" s="100"/>
      <c r="C71" s="13">
        <v>-2</v>
      </c>
      <c r="D71" s="13">
        <v>1.1000000000000001</v>
      </c>
      <c r="E71" s="13">
        <v>3</v>
      </c>
      <c r="F71" s="13">
        <v>4</v>
      </c>
      <c r="G71" s="13">
        <v>4.0999999999999996</v>
      </c>
      <c r="H71" s="14"/>
      <c r="I71" s="14" t="s">
        <v>339</v>
      </c>
      <c r="J71" s="14" t="b">
        <v>1</v>
      </c>
      <c r="K71" s="14" t="e">
        <f>#VALUE!</f>
        <v>#VALUE!</v>
      </c>
      <c r="L71" s="14" t="e">
        <v>#N/A</v>
      </c>
      <c r="M71" s="15" t="e">
        <v>#DIV/0!</v>
      </c>
      <c r="N71" s="15" t="e">
        <v>#NAME?</v>
      </c>
      <c r="O71" s="15" t="e">
        <v>#NULL!</v>
      </c>
      <c r="P71" s="15" t="e">
        <v>#NUM!</v>
      </c>
      <c r="Q71" s="15" t="e">
        <v>#REF!</v>
      </c>
      <c r="R71" s="6" t="e">
        <f>MATCH(C71,{TRUE,4.1,FALSE,1.1})</f>
        <v>#N/A</v>
      </c>
      <c r="S71" s="6" t="e">
        <f>MATCH(D71,{TRUE,4.1,FALSE,1.1})</f>
        <v>#N/A</v>
      </c>
      <c r="T71" s="6" t="e">
        <f>MATCH(E71,{TRUE,4.1,FALSE,1.1})</f>
        <v>#N/A</v>
      </c>
      <c r="U71" s="6" t="e">
        <f>MATCH(F71,{TRUE,4.1,FALSE,1.1})</f>
        <v>#N/A</v>
      </c>
      <c r="V71" s="6">
        <f>MATCH(G71,{TRUE,4.1,FALSE,1.1})</f>
        <v>2</v>
      </c>
      <c r="W71" s="6" t="e">
        <f>MATCH(H71,{TRUE,4.1,FALSE,1.1})</f>
        <v>#N/A</v>
      </c>
      <c r="X71" s="6" t="e">
        <f>MATCH(I71,{TRUE,4.1,FALSE,1.1})</f>
        <v>#N/A</v>
      </c>
      <c r="Y71" s="6">
        <f>MATCH(J71,{TRUE,4.1,FALSE,1.1})</f>
        <v>3</v>
      </c>
      <c r="Z71" s="6" t="e">
        <f>MATCH(K71,{TRUE,4.1,FALSE,1.1})</f>
        <v>#VALUE!</v>
      </c>
      <c r="AA71" s="6" t="e">
        <f>MATCH(L71,{TRUE,4.1,FALSE,1.1})</f>
        <v>#N/A</v>
      </c>
      <c r="AB71" s="6" t="e">
        <f>MATCH(M71,{TRUE,4.1,FALSE,1.1})</f>
        <v>#DIV/0!</v>
      </c>
      <c r="AC71" s="6" t="e">
        <f>MATCH(N71,{TRUE,4.1,FALSE,1.1})</f>
        <v>#NAME?</v>
      </c>
      <c r="AD71" s="6" t="e">
        <f>MATCH(O71,{TRUE,4.1,FALSE,1.1})</f>
        <v>#NULL!</v>
      </c>
      <c r="AE71" s="6" t="e">
        <f>MATCH(P71,{TRUE,4.1,FALSE,1.1})</f>
        <v>#NUM!</v>
      </c>
      <c r="AF71" s="6" t="e">
        <f>MATCH(Q71,{TRUE,4.1,FALSE,1.1})</f>
        <v>#REF!</v>
      </c>
      <c r="AG71" s="6"/>
      <c r="AH71" s="6"/>
    </row>
    <row r="72" spans="1:48" x14ac:dyDescent="0.15">
      <c r="A72" s="99"/>
      <c r="B72" s="100"/>
      <c r="C72" s="13">
        <v>-2</v>
      </c>
      <c r="D72" s="13">
        <v>1.1000000000000001</v>
      </c>
      <c r="E72" s="13">
        <v>3</v>
      </c>
      <c r="F72" s="13">
        <v>4</v>
      </c>
      <c r="G72" s="13">
        <v>4.0999999999999996</v>
      </c>
      <c r="H72" s="14"/>
      <c r="I72" s="14" t="s">
        <v>339</v>
      </c>
      <c r="J72" s="14" t="b">
        <v>1</v>
      </c>
      <c r="K72" s="14" t="e">
        <f>#VALUE!</f>
        <v>#VALUE!</v>
      </c>
      <c r="L72" s="14" t="e">
        <v>#N/A</v>
      </c>
      <c r="M72" s="15" t="e">
        <v>#DIV/0!</v>
      </c>
      <c r="N72" s="15" t="e">
        <v>#NAME?</v>
      </c>
      <c r="O72" s="15" t="e">
        <v>#NULL!</v>
      </c>
      <c r="P72" s="15" t="e">
        <v>#NUM!</v>
      </c>
      <c r="Q72" s="15" t="e">
        <v>#REF!</v>
      </c>
      <c r="R72" s="6" t="e">
        <f>MATCH(C72,{TRUE,4.1,FALSE,"c bau c"})</f>
        <v>#N/A</v>
      </c>
      <c r="S72" s="6" t="e">
        <f>MATCH(D72,{TRUE,4.1,FALSE,"c bau c"})</f>
        <v>#N/A</v>
      </c>
      <c r="T72" s="6" t="e">
        <f>MATCH(E72,{TRUE,4.1,FALSE,"c bau c"})</f>
        <v>#N/A</v>
      </c>
      <c r="U72" s="6" t="e">
        <f>MATCH(F72,{TRUE,4.1,FALSE,"c bau c"})</f>
        <v>#N/A</v>
      </c>
      <c r="V72" s="6">
        <f>MATCH(G72,{TRUE,4.1,FALSE,"c bau c"})</f>
        <v>2</v>
      </c>
      <c r="W72" s="6" t="e">
        <f>MATCH(H72,{TRUE,4.1,FALSE,"c bau c"})</f>
        <v>#N/A</v>
      </c>
      <c r="X72" s="6" t="e">
        <f>MATCH(I72,{TRUE,4.1,FALSE,"c bau c"})</f>
        <v>#N/A</v>
      </c>
      <c r="Y72" s="6">
        <f>MATCH(J72,{TRUE,4.1,FALSE,"c bau c"})</f>
        <v>3</v>
      </c>
      <c r="Z72" s="6" t="e">
        <f>MATCH(K72,{TRUE,4.1,FALSE,"c bau c"})</f>
        <v>#VALUE!</v>
      </c>
      <c r="AA72" s="6" t="e">
        <f>MATCH(L72,{TRUE,4.1,FALSE,"c bau c"})</f>
        <v>#N/A</v>
      </c>
      <c r="AB72" s="6" t="e">
        <f>MATCH(M72,{TRUE,4.1,FALSE,"c bau c"})</f>
        <v>#DIV/0!</v>
      </c>
      <c r="AC72" s="6" t="e">
        <f>MATCH(N72,{TRUE,4.1,FALSE,"c bau c"})</f>
        <v>#NAME?</v>
      </c>
      <c r="AD72" s="6" t="e">
        <f>MATCH(O72,{TRUE,4.1,FALSE,"c bau c"})</f>
        <v>#NULL!</v>
      </c>
      <c r="AE72" s="6" t="e">
        <f>MATCH(P72,{TRUE,4.1,FALSE,"c bau c"})</f>
        <v>#NUM!</v>
      </c>
      <c r="AF72" s="6" t="e">
        <f>MATCH(Q72,{TRUE,4.1,FALSE,"c bau c"})</f>
        <v>#REF!</v>
      </c>
      <c r="AG72" s="6"/>
      <c r="AH72" s="6"/>
    </row>
    <row r="73" spans="1:48" x14ac:dyDescent="0.15">
      <c r="A73" s="99"/>
      <c r="B73" s="100"/>
      <c r="C73" s="13">
        <v>-2</v>
      </c>
      <c r="D73" s="13">
        <v>1.1000000000000001</v>
      </c>
      <c r="E73" s="13">
        <v>3</v>
      </c>
      <c r="F73" s="13">
        <v>4</v>
      </c>
      <c r="G73" s="13">
        <v>4.0999999999999996</v>
      </c>
      <c r="H73" s="14"/>
      <c r="I73" s="14" t="s">
        <v>339</v>
      </c>
      <c r="J73" s="14" t="b">
        <v>1</v>
      </c>
      <c r="K73" s="14" t="e">
        <f>#VALUE!</f>
        <v>#VALUE!</v>
      </c>
      <c r="L73" s="14" t="e">
        <v>#N/A</v>
      </c>
      <c r="M73" s="15" t="e">
        <v>#DIV/0!</v>
      </c>
      <c r="N73" s="15" t="e">
        <v>#NAME?</v>
      </c>
      <c r="O73" s="15" t="e">
        <v>#NULL!</v>
      </c>
      <c r="P73" s="15" t="e">
        <v>#NUM!</v>
      </c>
      <c r="Q73" s="15" t="e">
        <v>#REF!</v>
      </c>
      <c r="R73" s="6" t="e">
        <f>MATCH(C73,{TRUE,FALSE,"a","c bau c"})</f>
        <v>#N/A</v>
      </c>
      <c r="S73" s="6" t="e">
        <f>MATCH(D73,{TRUE,FALSE,"a","c bau c"})</f>
        <v>#N/A</v>
      </c>
      <c r="T73" s="6" t="e">
        <f>MATCH(E73,{TRUE,FALSE,"a","c bau c"})</f>
        <v>#N/A</v>
      </c>
      <c r="U73" s="6" t="e">
        <f>MATCH(F73,{TRUE,FALSE,"a","c bau c"})</f>
        <v>#N/A</v>
      </c>
      <c r="V73" s="6" t="e">
        <f>MATCH(G73,{TRUE,FALSE,"a","c bau c"})</f>
        <v>#N/A</v>
      </c>
      <c r="W73" s="6" t="e">
        <f>MATCH(H73,{TRUE,FALSE,"a","c bau c"})</f>
        <v>#N/A</v>
      </c>
      <c r="X73" s="6" t="e">
        <f>MATCH(I73,{TRUE,FALSE,"a","c bau c"})</f>
        <v>#N/A</v>
      </c>
      <c r="Y73" s="6">
        <f>MATCH(J73,{TRUE,FALSE,"a","c bau c"})</f>
        <v>2</v>
      </c>
      <c r="Z73" s="6" t="e">
        <f>MATCH(K73,{TRUE,FALSE,"a","c bau c"})</f>
        <v>#VALUE!</v>
      </c>
      <c r="AA73" s="6" t="e">
        <f>MATCH(L73,{TRUE,FALSE,"a","c bau c"})</f>
        <v>#N/A</v>
      </c>
      <c r="AB73" s="6" t="e">
        <f>MATCH(M73,{TRUE,FALSE,"a","c bau c"})</f>
        <v>#DIV/0!</v>
      </c>
      <c r="AC73" s="6" t="e">
        <f>MATCH(N73,{TRUE,FALSE,"a","c bau c"})</f>
        <v>#NAME?</v>
      </c>
      <c r="AD73" s="6" t="e">
        <f>MATCH(O73,{TRUE,FALSE,"a","c bau c"})</f>
        <v>#NULL!</v>
      </c>
      <c r="AE73" s="6" t="e">
        <f>MATCH(P73,{TRUE,FALSE,"a","c bau c"})</f>
        <v>#NUM!</v>
      </c>
      <c r="AF73" s="6" t="e">
        <f>MATCH(Q73,{TRUE,FALSE,"a","c bau c"})</f>
        <v>#REF!</v>
      </c>
      <c r="AG73" s="6"/>
      <c r="AH73" s="6"/>
    </row>
    <row r="74" spans="1:48" x14ac:dyDescent="0.15">
      <c r="A74" s="99"/>
      <c r="B74" s="100"/>
      <c r="C74" s="13">
        <v>-2</v>
      </c>
      <c r="D74" s="13">
        <v>1.1000000000000001</v>
      </c>
      <c r="E74" s="13">
        <v>3</v>
      </c>
      <c r="F74" s="13">
        <v>4</v>
      </c>
      <c r="G74" s="13">
        <v>4.0999999999999996</v>
      </c>
      <c r="H74" s="14"/>
      <c r="I74" s="14" t="s">
        <v>339</v>
      </c>
      <c r="J74" s="14" t="b">
        <v>1</v>
      </c>
      <c r="K74" s="14" t="e">
        <f>#VALUE!</f>
        <v>#VALUE!</v>
      </c>
      <c r="L74" s="14" t="e">
        <v>#N/A</v>
      </c>
      <c r="M74" s="15" t="e">
        <v>#DIV/0!</v>
      </c>
      <c r="N74" s="15" t="e">
        <v>#NAME?</v>
      </c>
      <c r="O74" s="15" t="e">
        <v>#NULL!</v>
      </c>
      <c r="P74" s="15" t="e">
        <v>#NUM!</v>
      </c>
      <c r="Q74" s="15" t="e">
        <v>#REF!</v>
      </c>
      <c r="R74" s="6" t="e">
        <f>MATCH(C74,{-1.1,2.1,3.1,4.1},0)</f>
        <v>#N/A</v>
      </c>
      <c r="S74" s="6" t="e">
        <f>MATCH(D74,{-1.1,2.1,3.1,4.1},0)</f>
        <v>#N/A</v>
      </c>
      <c r="T74" s="6" t="e">
        <f>MATCH(E74,{-1.1,2.1,3.1,4.1},0)</f>
        <v>#N/A</v>
      </c>
      <c r="U74" s="6" t="e">
        <f>MATCH(F74,{-1.1,2.1,3.1,4.1},0)</f>
        <v>#N/A</v>
      </c>
      <c r="V74" s="6">
        <f>MATCH(G74,{-1.1,2.1,3.1,4.1},0)</f>
        <v>4</v>
      </c>
      <c r="W74" s="6" t="e">
        <f>MATCH(H74,{-1.1,2.1,3.1,4.1},0)</f>
        <v>#N/A</v>
      </c>
      <c r="X74" s="6" t="e">
        <f>MATCH(I74,{-1.1,2.1,3.1,4.1},0)</f>
        <v>#N/A</v>
      </c>
      <c r="Y74" s="6" t="e">
        <f>MATCH(J74,{-1.1,2.1,3.1,4.1},0)</f>
        <v>#N/A</v>
      </c>
      <c r="Z74" s="6" t="e">
        <f>MATCH(K74,{-1.1,2.1,3.1,4.1},0)</f>
        <v>#VALUE!</v>
      </c>
      <c r="AA74" s="6" t="e">
        <f>MATCH(L74,{-1.1,2.1,3.1,4.1},0)</f>
        <v>#N/A</v>
      </c>
      <c r="AB74" s="6" t="e">
        <f>MATCH(M74,{-1.1,2.1,3.1,4.1},0)</f>
        <v>#DIV/0!</v>
      </c>
      <c r="AC74" s="6" t="e">
        <f>MATCH(N74,{-1.1,2.1,3.1,4.1},0)</f>
        <v>#NAME?</v>
      </c>
      <c r="AD74" s="6" t="e">
        <f>MATCH(O74,{-1.1,2.1,3.1,4.1},0)</f>
        <v>#NULL!</v>
      </c>
      <c r="AE74" s="6" t="e">
        <f>MATCH(P74,{-1.1,2.1,3.1,4.1},0)</f>
        <v>#NUM!</v>
      </c>
      <c r="AF74" s="6" t="e">
        <f>MATCH(Q74,{-1.1,2.1,3.1,4.1},0)</f>
        <v>#REF!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15">
      <c r="A75" s="99"/>
      <c r="B75" s="100"/>
      <c r="C75" s="13">
        <v>-2</v>
      </c>
      <c r="D75" s="13">
        <v>1.1000000000000001</v>
      </c>
      <c r="E75" s="13">
        <v>3</v>
      </c>
      <c r="F75" s="13">
        <v>4</v>
      </c>
      <c r="G75" s="13">
        <v>4.0999999999999996</v>
      </c>
      <c r="H75" s="14"/>
      <c r="I75" s="14" t="s">
        <v>339</v>
      </c>
      <c r="J75" s="14" t="b">
        <v>1</v>
      </c>
      <c r="K75" s="14" t="e">
        <f>#VALUE!</f>
        <v>#VALUE!</v>
      </c>
      <c r="L75" s="14" t="e">
        <v>#N/A</v>
      </c>
      <c r="M75" s="15" t="e">
        <v>#DIV/0!</v>
      </c>
      <c r="N75" s="15" t="e">
        <v>#NAME?</v>
      </c>
      <c r="O75" s="15" t="e">
        <v>#NULL!</v>
      </c>
      <c r="P75" s="15" t="e">
        <v>#NUM!</v>
      </c>
      <c r="Q75" s="15" t="e">
        <v>#REF!</v>
      </c>
      <c r="R75" s="6" t="e">
        <f>MATCH(C75,{"a",2.1,"c bau c",4.1},0)</f>
        <v>#N/A</v>
      </c>
      <c r="S75" s="6" t="e">
        <f>MATCH(D75,{"a",2.1,"c bau c",4.1},0)</f>
        <v>#N/A</v>
      </c>
      <c r="T75" s="6" t="e">
        <f>MATCH(E75,{"a",2.1,"c bau c",4.1},0)</f>
        <v>#N/A</v>
      </c>
      <c r="U75" s="6" t="e">
        <f>MATCH(F75,{"a",2.1,"c bau c",4.1},0)</f>
        <v>#N/A</v>
      </c>
      <c r="V75" s="6">
        <f>MATCH(G75,{"a",2.1,"c bau c",4.1},0)</f>
        <v>4</v>
      </c>
      <c r="W75" s="6" t="e">
        <f>MATCH(H75,{"a",2.1,"c bau c",4.1},0)</f>
        <v>#N/A</v>
      </c>
      <c r="X75" s="6">
        <f>MATCH(I75,{"a",2.1,"c bau c",4.1},0)</f>
        <v>3</v>
      </c>
      <c r="Y75" s="6" t="e">
        <f>MATCH(J75,{"a",2.1,"c bau c",4.1},0)</f>
        <v>#N/A</v>
      </c>
      <c r="Z75" s="6" t="e">
        <f>MATCH(K75,{"a",2.1,"c bau c",4.1},0)</f>
        <v>#VALUE!</v>
      </c>
      <c r="AA75" s="6" t="e">
        <f>MATCH(L75,{"a",2.1,"c bau c",4.1},0)</f>
        <v>#N/A</v>
      </c>
      <c r="AB75" s="6" t="e">
        <f>MATCH(M75,{"a",2.1,"c bau c",4.1},0)</f>
        <v>#DIV/0!</v>
      </c>
      <c r="AC75" s="6" t="e">
        <f>MATCH(N75,{"a",2.1,"c bau c",4.1},0)</f>
        <v>#NAME?</v>
      </c>
      <c r="AD75" s="6" t="e">
        <f>MATCH(O75,{"a",2.1,"c bau c",4.1},0)</f>
        <v>#NULL!</v>
      </c>
      <c r="AE75" s="6" t="e">
        <f>MATCH(P75,{"a",2.1,"c bau c",4.1},0)</f>
        <v>#NUM!</v>
      </c>
      <c r="AF75" s="6" t="e">
        <f>MATCH(Q75,{"a",2.1,"c bau c",4.1},0)</f>
        <v>#REF!</v>
      </c>
      <c r="AG75" s="6"/>
      <c r="AH75" s="6"/>
    </row>
    <row r="76" spans="1:48" x14ac:dyDescent="0.15">
      <c r="A76" s="99"/>
      <c r="B76" s="100"/>
      <c r="C76" s="13">
        <v>-2</v>
      </c>
      <c r="D76" s="13">
        <v>1.1000000000000001</v>
      </c>
      <c r="E76" s="13">
        <v>3</v>
      </c>
      <c r="F76" s="13">
        <v>4</v>
      </c>
      <c r="G76" s="13">
        <v>4.0999999999999996</v>
      </c>
      <c r="H76" s="14"/>
      <c r="I76" s="14" t="s">
        <v>339</v>
      </c>
      <c r="J76" s="14" t="b">
        <v>1</v>
      </c>
      <c r="K76" s="14" t="e">
        <f>#VALUE!</f>
        <v>#VALUE!</v>
      </c>
      <c r="L76" s="14" t="e">
        <v>#N/A</v>
      </c>
      <c r="M76" s="15" t="e">
        <v>#DIV/0!</v>
      </c>
      <c r="N76" s="15" t="e">
        <v>#NAME?</v>
      </c>
      <c r="O76" s="15" t="e">
        <v>#NULL!</v>
      </c>
      <c r="P76" s="15" t="e">
        <v>#NUM!</v>
      </c>
      <c r="Q76" s="15" t="e">
        <v>#REF!</v>
      </c>
      <c r="R76" s="6" t="e">
        <f>MATCH(C76,{FALSE,2.1,TRUE,4.1},0)</f>
        <v>#N/A</v>
      </c>
      <c r="S76" s="6" t="e">
        <f>MATCH(D76,{FALSE,2.1,TRUE,4.1},0)</f>
        <v>#N/A</v>
      </c>
      <c r="T76" s="6" t="e">
        <f>MATCH(E76,{FALSE,2.1,TRUE,4.1},0)</f>
        <v>#N/A</v>
      </c>
      <c r="U76" s="6" t="e">
        <f>MATCH(F76,{FALSE,2.1,TRUE,4.1},0)</f>
        <v>#N/A</v>
      </c>
      <c r="V76" s="6">
        <f>MATCH(G76,{FALSE,2.1,TRUE,4.1},0)</f>
        <v>4</v>
      </c>
      <c r="W76" s="6" t="e">
        <f>MATCH(H76,{FALSE,2.1,TRUE,4.1},0)</f>
        <v>#N/A</v>
      </c>
      <c r="X76" s="6" t="e">
        <f>MATCH(I76,{FALSE,2.1,TRUE,4.1},0)</f>
        <v>#N/A</v>
      </c>
      <c r="Y76" s="6">
        <f>MATCH(J76,{FALSE,2.1,TRUE,4.1},0)</f>
        <v>3</v>
      </c>
      <c r="Z76" s="6" t="e">
        <f>MATCH(K76,{FALSE,2.1,TRUE,4.1},0)</f>
        <v>#VALUE!</v>
      </c>
      <c r="AA76" s="6" t="e">
        <f>MATCH(L76,{FALSE,2.1,TRUE,4.1},0)</f>
        <v>#N/A</v>
      </c>
      <c r="AB76" s="6" t="e">
        <f>MATCH(M76,{FALSE,2.1,TRUE,4.1},0)</f>
        <v>#DIV/0!</v>
      </c>
      <c r="AC76" s="6" t="e">
        <f>MATCH(N76,{FALSE,2.1,TRUE,4.1},0)</f>
        <v>#NAME?</v>
      </c>
      <c r="AD76" s="6" t="e">
        <f>MATCH(O76,{FALSE,2.1,TRUE,4.1},0)</f>
        <v>#NULL!</v>
      </c>
      <c r="AE76" s="6" t="e">
        <f>MATCH(P76,{FALSE,2.1,TRUE,4.1},0)</f>
        <v>#NUM!</v>
      </c>
      <c r="AF76" s="6" t="e">
        <f>MATCH(Q76,{FALSE,2.1,TRUE,4.1},0)</f>
        <v>#REF!</v>
      </c>
      <c r="AG76" s="6"/>
      <c r="AH76" s="6"/>
    </row>
    <row r="77" spans="1:48" x14ac:dyDescent="0.15">
      <c r="A77" s="99"/>
      <c r="B77" s="100"/>
      <c r="C77" s="13">
        <v>-2</v>
      </c>
      <c r="D77" s="13">
        <v>1.1000000000000001</v>
      </c>
      <c r="E77" s="13">
        <v>3</v>
      </c>
      <c r="F77" s="13">
        <v>4</v>
      </c>
      <c r="G77" s="13">
        <v>4.0999999999999996</v>
      </c>
      <c r="H77" s="14"/>
      <c r="I77" s="14" t="s">
        <v>339</v>
      </c>
      <c r="J77" s="14" t="b">
        <v>1</v>
      </c>
      <c r="K77" s="14" t="e">
        <f>#VALUE!</f>
        <v>#VALUE!</v>
      </c>
      <c r="L77" s="14" t="e">
        <v>#N/A</v>
      </c>
      <c r="M77" s="15" t="e">
        <v>#DIV/0!</v>
      </c>
      <c r="N77" s="15" t="e">
        <v>#NAME?</v>
      </c>
      <c r="O77" s="15" t="e">
        <v>#NULL!</v>
      </c>
      <c r="P77" s="15" t="e">
        <v>#NUM!</v>
      </c>
      <c r="Q77" s="15" t="e">
        <v>#REF!</v>
      </c>
      <c r="R77" s="6" t="e">
        <f>MATCH(C77,{4.1,3.1,2.1,1.1},0)</f>
        <v>#N/A</v>
      </c>
      <c r="S77" s="6">
        <f>MATCH(D77,{4.1,3.1,2.1,1.1},0)</f>
        <v>4</v>
      </c>
      <c r="T77" s="6" t="e">
        <f>MATCH(E77,{4.1,3.1,2.1,1.1},0)</f>
        <v>#N/A</v>
      </c>
      <c r="U77" s="6" t="e">
        <f>MATCH(F77,{4.1,3.1,2.1,1.1},0)</f>
        <v>#N/A</v>
      </c>
      <c r="V77" s="6">
        <f>MATCH(G77,{4.1,3.1,2.1,1.1},0)</f>
        <v>1</v>
      </c>
      <c r="W77" s="6" t="e">
        <f>MATCH(H77,{4.1,3.1,2.1,1.1},0)</f>
        <v>#N/A</v>
      </c>
      <c r="X77" s="6" t="e">
        <f>MATCH(I77,{4.1,3.1,2.1,1.1},0)</f>
        <v>#N/A</v>
      </c>
      <c r="Y77" s="6" t="e">
        <f>MATCH(J77,{4.1,3.1,2.1,1.1},0)</f>
        <v>#N/A</v>
      </c>
      <c r="Z77" s="6" t="e">
        <f>MATCH(K77,{4.1,3.1,2.1,1.1},0)</f>
        <v>#VALUE!</v>
      </c>
      <c r="AA77" s="6" t="e">
        <f>MATCH(L77,{4.1,3.1,2.1,1.1},0)</f>
        <v>#N/A</v>
      </c>
      <c r="AB77" s="6" t="e">
        <f>MATCH(M77,{4.1,3.1,2.1,1.1},0)</f>
        <v>#DIV/0!</v>
      </c>
      <c r="AC77" s="6" t="e">
        <f>MATCH(N77,{4.1,3.1,2.1,1.1},0)</f>
        <v>#NAME?</v>
      </c>
      <c r="AD77" s="6" t="e">
        <f>MATCH(O77,{4.1,3.1,2.1,1.1},0)</f>
        <v>#NULL!</v>
      </c>
      <c r="AE77" s="6" t="e">
        <f>MATCH(P77,{4.1,3.1,2.1,1.1},0)</f>
        <v>#NUM!</v>
      </c>
      <c r="AF77" s="6" t="e">
        <f>MATCH(Q77,{4.1,3.1,2.1,1.1},0)</f>
        <v>#REF!</v>
      </c>
      <c r="AG77" s="6"/>
      <c r="AH77" s="6"/>
    </row>
    <row r="78" spans="1:48" x14ac:dyDescent="0.15">
      <c r="A78" s="99"/>
      <c r="B78" s="100"/>
      <c r="C78" s="13">
        <v>-2</v>
      </c>
      <c r="D78" s="13">
        <v>1.1000000000000001</v>
      </c>
      <c r="E78" s="13">
        <v>3</v>
      </c>
      <c r="F78" s="13">
        <v>4</v>
      </c>
      <c r="G78" s="13">
        <v>4.0999999999999996</v>
      </c>
      <c r="H78" s="14"/>
      <c r="I78" s="14" t="s">
        <v>339</v>
      </c>
      <c r="J78" s="14" t="b">
        <v>1</v>
      </c>
      <c r="K78" s="14" t="e">
        <f>#VALUE!</f>
        <v>#VALUE!</v>
      </c>
      <c r="L78" s="14" t="e">
        <v>#N/A</v>
      </c>
      <c r="M78" s="15" t="e">
        <v>#DIV/0!</v>
      </c>
      <c r="N78" s="15" t="e">
        <v>#NAME?</v>
      </c>
      <c r="O78" s="15" t="e">
        <v>#NULL!</v>
      </c>
      <c r="P78" s="15" t="e">
        <v>#NUM!</v>
      </c>
      <c r="Q78" s="15" t="e">
        <v>#REF!</v>
      </c>
      <c r="R78" s="6" t="e">
        <f>MATCH(C78,{"c bau c",4.1,"a",1.1},0)</f>
        <v>#N/A</v>
      </c>
      <c r="S78" s="6">
        <f>MATCH(D78,{"c bau c",4.1,"a",1.1},0)</f>
        <v>4</v>
      </c>
      <c r="T78" s="6" t="e">
        <f>MATCH(E78,{"c bau c",4.1,"a",1.1},0)</f>
        <v>#N/A</v>
      </c>
      <c r="U78" s="6" t="e">
        <f>MATCH(F78,{"c bau c",4.1,"a",1.1},0)</f>
        <v>#N/A</v>
      </c>
      <c r="V78" s="6">
        <f>MATCH(G78,{"c bau c",4.1,"a",1.1},0)</f>
        <v>2</v>
      </c>
      <c r="W78" s="6" t="e">
        <f>MATCH(H78,{"c bau c",4.1,"a",1.1},0)</f>
        <v>#N/A</v>
      </c>
      <c r="X78" s="6">
        <f>MATCH(I78,{"c bau c",4.1,"a",1.1},0)</f>
        <v>1</v>
      </c>
      <c r="Y78" s="6" t="e">
        <f>MATCH(J78,{"c bau c",4.1,"a",1.1},0)</f>
        <v>#N/A</v>
      </c>
      <c r="Z78" s="6" t="e">
        <f>MATCH(K78,{"c bau c",4.1,"a",1.1},0)</f>
        <v>#VALUE!</v>
      </c>
      <c r="AA78" s="6" t="e">
        <f>MATCH(L78,{"c bau c",4.1,"a",1.1},0)</f>
        <v>#N/A</v>
      </c>
      <c r="AB78" s="6" t="e">
        <f>MATCH(M78,{"c bau c",4.1,"a",1.1},0)</f>
        <v>#DIV/0!</v>
      </c>
      <c r="AC78" s="6" t="e">
        <f>MATCH(N78,{"c bau c",4.1,"a",1.1},0)</f>
        <v>#NAME?</v>
      </c>
      <c r="AD78" s="6" t="e">
        <f>MATCH(O78,{"c bau c",4.1,"a",1.1},0)</f>
        <v>#NULL!</v>
      </c>
      <c r="AE78" s="6" t="e">
        <f>MATCH(P78,{"c bau c",4.1,"a",1.1},0)</f>
        <v>#NUM!</v>
      </c>
      <c r="AF78" s="6" t="e">
        <f>MATCH(Q78,{"c bau c",4.1,"a",1.1},0)</f>
        <v>#REF!</v>
      </c>
      <c r="AG78" s="6"/>
      <c r="AH78" s="6"/>
    </row>
    <row r="79" spans="1:48" x14ac:dyDescent="0.15">
      <c r="A79" s="99"/>
      <c r="B79" s="100"/>
      <c r="C79" s="13">
        <v>-2</v>
      </c>
      <c r="D79" s="13">
        <v>1.1000000000000001</v>
      </c>
      <c r="E79" s="13">
        <v>3</v>
      </c>
      <c r="F79" s="13">
        <v>4</v>
      </c>
      <c r="G79" s="13">
        <v>4.0999999999999996</v>
      </c>
      <c r="H79" s="14"/>
      <c r="I79" s="14" t="s">
        <v>339</v>
      </c>
      <c r="J79" s="14" t="b">
        <v>1</v>
      </c>
      <c r="K79" s="14" t="e">
        <f>#VALUE!</f>
        <v>#VALUE!</v>
      </c>
      <c r="L79" s="14" t="e">
        <v>#N/A</v>
      </c>
      <c r="M79" s="15" t="e">
        <v>#DIV/0!</v>
      </c>
      <c r="N79" s="15" t="e">
        <v>#NAME?</v>
      </c>
      <c r="O79" s="15" t="e">
        <v>#NULL!</v>
      </c>
      <c r="P79" s="15" t="e">
        <v>#NUM!</v>
      </c>
      <c r="Q79" s="15" t="e">
        <v>#REF!</v>
      </c>
      <c r="R79" s="6" t="e">
        <f>MATCH(C79,{"",4.1,"a",1.1},0)</f>
        <v>#N/A</v>
      </c>
      <c r="S79" s="6">
        <f>MATCH(D79,{"",4.1,"a",1.1},0)</f>
        <v>4</v>
      </c>
      <c r="T79" s="6" t="e">
        <f>MATCH(E79,{"",4.1,"a",1.1},0)</f>
        <v>#N/A</v>
      </c>
      <c r="U79" s="6" t="e">
        <f>MATCH(F79,{"",4.1,"a",1.1},0)</f>
        <v>#N/A</v>
      </c>
      <c r="V79" s="6">
        <f>MATCH(G79,{"",4.1,"a",1.1},0)</f>
        <v>2</v>
      </c>
      <c r="W79" s="6" t="e">
        <f>MATCH(H79,{"",4.1,"a",1.1},0)</f>
        <v>#N/A</v>
      </c>
      <c r="X79" s="6" t="e">
        <f>MATCH(I79,{"",4.1,"a",1.1},0)</f>
        <v>#N/A</v>
      </c>
      <c r="Y79" s="6" t="e">
        <f>MATCH(J79,{"",4.1,"a",1.1},0)</f>
        <v>#N/A</v>
      </c>
      <c r="Z79" s="6" t="e">
        <f>MATCH(K79,{"",4.1,"a",1.1},0)</f>
        <v>#VALUE!</v>
      </c>
      <c r="AA79" s="6" t="e">
        <f>MATCH(L79,{"",4.1,"a",1.1},0)</f>
        <v>#N/A</v>
      </c>
      <c r="AB79" s="6" t="e">
        <f>MATCH(M79,{"",4.1,"a",1.1},0)</f>
        <v>#DIV/0!</v>
      </c>
      <c r="AC79" s="6" t="e">
        <f>MATCH(N79,{"",4.1,"a",1.1},0)</f>
        <v>#NAME?</v>
      </c>
      <c r="AD79" s="6" t="e">
        <f>MATCH(O79,{"",4.1,"a",1.1},0)</f>
        <v>#NULL!</v>
      </c>
      <c r="AE79" s="6" t="e">
        <f>MATCH(P79,{"",4.1,"a",1.1},0)</f>
        <v>#NUM!</v>
      </c>
      <c r="AF79" s="6" t="e">
        <f>MATCH(Q79,{"",4.1,"a",1.1},0)</f>
        <v>#REF!</v>
      </c>
      <c r="AG79" s="6"/>
      <c r="AH79" s="6"/>
    </row>
    <row r="80" spans="1:48" x14ac:dyDescent="0.15">
      <c r="A80" s="99"/>
      <c r="B80" s="100"/>
      <c r="C80" s="13">
        <v>-2</v>
      </c>
      <c r="D80" s="13">
        <v>1.1000000000000001</v>
      </c>
      <c r="E80" s="13">
        <v>3</v>
      </c>
      <c r="F80" s="13">
        <v>4</v>
      </c>
      <c r="G80" s="13">
        <v>4.0999999999999996</v>
      </c>
      <c r="H80" s="14"/>
      <c r="I80" s="14" t="s">
        <v>339</v>
      </c>
      <c r="J80" s="14" t="b">
        <v>1</v>
      </c>
      <c r="K80" s="14" t="e">
        <f>#VALUE!</f>
        <v>#VALUE!</v>
      </c>
      <c r="L80" s="14" t="e">
        <v>#N/A</v>
      </c>
      <c r="M80" s="15" t="e">
        <v>#DIV/0!</v>
      </c>
      <c r="N80" s="15" t="e">
        <v>#NAME?</v>
      </c>
      <c r="O80" s="15" t="e">
        <v>#NULL!</v>
      </c>
      <c r="P80" s="15" t="e">
        <v>#NUM!</v>
      </c>
      <c r="Q80" s="15" t="e">
        <v>#REF!</v>
      </c>
      <c r="R80" s="6" t="e">
        <f>MATCH(C80,{TRUE,4.1,FALSE,1.1},0)</f>
        <v>#N/A</v>
      </c>
      <c r="S80" s="6">
        <f>MATCH(D80,{TRUE,4.1,FALSE,1.1},0)</f>
        <v>4</v>
      </c>
      <c r="T80" s="6" t="e">
        <f>MATCH(E80,{TRUE,4.1,FALSE,1.1},0)</f>
        <v>#N/A</v>
      </c>
      <c r="U80" s="6" t="e">
        <f>MATCH(F80,{TRUE,4.1,FALSE,1.1},0)</f>
        <v>#N/A</v>
      </c>
      <c r="V80" s="6">
        <f>MATCH(G80,{TRUE,4.1,FALSE,1.1},0)</f>
        <v>2</v>
      </c>
      <c r="W80" s="6" t="e">
        <f>MATCH(H80,{TRUE,4.1,FALSE,1.1},0)</f>
        <v>#N/A</v>
      </c>
      <c r="X80" s="6" t="e">
        <f>MATCH(I80,{TRUE,4.1,FALSE,1.1},0)</f>
        <v>#N/A</v>
      </c>
      <c r="Y80" s="6">
        <f>MATCH(J80,{TRUE,4.1,FALSE,1.1},0)</f>
        <v>1</v>
      </c>
      <c r="Z80" s="6" t="e">
        <f>MATCH(K80,{TRUE,4.1,FALSE,1.1},0)</f>
        <v>#VALUE!</v>
      </c>
      <c r="AA80" s="6" t="e">
        <f>MATCH(L80,{TRUE,4.1,FALSE,1.1},0)</f>
        <v>#N/A</v>
      </c>
      <c r="AB80" s="6" t="e">
        <f>MATCH(M80,{TRUE,4.1,FALSE,1.1},0)</f>
        <v>#DIV/0!</v>
      </c>
      <c r="AC80" s="6" t="e">
        <f>MATCH(N80,{TRUE,4.1,FALSE,1.1},0)</f>
        <v>#NAME?</v>
      </c>
      <c r="AD80" s="6" t="e">
        <f>MATCH(O80,{TRUE,4.1,FALSE,1.1},0)</f>
        <v>#NULL!</v>
      </c>
      <c r="AE80" s="6" t="e">
        <f>MATCH(P80,{TRUE,4.1,FALSE,1.1},0)</f>
        <v>#NUM!</v>
      </c>
      <c r="AF80" s="6" t="e">
        <f>MATCH(Q80,{TRUE,4.1,FALSE,1.1},0)</f>
        <v>#REF!</v>
      </c>
      <c r="AG80" s="6"/>
      <c r="AH80" s="6"/>
    </row>
    <row r="81" spans="1:49" x14ac:dyDescent="0.15">
      <c r="A81" s="99"/>
      <c r="B81" s="100"/>
      <c r="C81" s="13">
        <v>-2</v>
      </c>
      <c r="D81" s="13">
        <v>1.1000000000000001</v>
      </c>
      <c r="E81" s="13">
        <v>3</v>
      </c>
      <c r="F81" s="13">
        <v>4</v>
      </c>
      <c r="G81" s="13">
        <v>4.0999999999999996</v>
      </c>
      <c r="H81" s="14"/>
      <c r="I81" s="14" t="s">
        <v>339</v>
      </c>
      <c r="J81" s="14" t="b">
        <v>1</v>
      </c>
      <c r="K81" s="14" t="e">
        <f>#VALUE!</f>
        <v>#VALUE!</v>
      </c>
      <c r="L81" s="14" t="e">
        <v>#N/A</v>
      </c>
      <c r="M81" s="15" t="e">
        <v>#DIV/0!</v>
      </c>
      <c r="N81" s="15" t="e">
        <v>#NAME?</v>
      </c>
      <c r="O81" s="15" t="e">
        <v>#NULL!</v>
      </c>
      <c r="P81" s="15" t="e">
        <v>#NUM!</v>
      </c>
      <c r="Q81" s="15" t="e">
        <v>#REF!</v>
      </c>
      <c r="R81" s="6" t="e">
        <f>MATCH(C81,{TRUE,4.1,FALSE,"c bau c"},0)</f>
        <v>#N/A</v>
      </c>
      <c r="S81" s="6" t="e">
        <f>MATCH(D81,{TRUE,4.1,FALSE,"c bau c"},0)</f>
        <v>#N/A</v>
      </c>
      <c r="T81" s="6" t="e">
        <f>MATCH(E81,{TRUE,4.1,FALSE,"c bau c"},0)</f>
        <v>#N/A</v>
      </c>
      <c r="U81" s="6" t="e">
        <f>MATCH(F81,{TRUE,4.1,FALSE,"c bau c"},0)</f>
        <v>#N/A</v>
      </c>
      <c r="V81" s="6">
        <f>MATCH(G81,{TRUE,4.1,FALSE,"c bau c"},0)</f>
        <v>2</v>
      </c>
      <c r="W81" s="6" t="e">
        <f>MATCH(H81,{TRUE,4.1,FALSE,"c bau c"},0)</f>
        <v>#N/A</v>
      </c>
      <c r="X81" s="6">
        <f>MATCH(I81,{TRUE,4.1,FALSE,"c bau c"},0)</f>
        <v>4</v>
      </c>
      <c r="Y81" s="6">
        <f>MATCH(J81,{TRUE,4.1,FALSE,"c bau c"},0)</f>
        <v>1</v>
      </c>
      <c r="Z81" s="6" t="e">
        <f>MATCH(K81,{TRUE,4.1,FALSE,"c bau c"},0)</f>
        <v>#VALUE!</v>
      </c>
      <c r="AA81" s="6" t="e">
        <f>MATCH(L81,{TRUE,4.1,FALSE,"c bau c"},0)</f>
        <v>#N/A</v>
      </c>
      <c r="AB81" s="6" t="e">
        <f>MATCH(M81,{TRUE,4.1,FALSE,"c bau c"},0)</f>
        <v>#DIV/0!</v>
      </c>
      <c r="AC81" s="6" t="e">
        <f>MATCH(N81,{TRUE,4.1,FALSE,"c bau c"},0)</f>
        <v>#NAME?</v>
      </c>
      <c r="AD81" s="6" t="e">
        <f>MATCH(O81,{TRUE,4.1,FALSE,"c bau c"},0)</f>
        <v>#NULL!</v>
      </c>
      <c r="AE81" s="6" t="e">
        <f>MATCH(P81,{TRUE,4.1,FALSE,"c bau c"},0)</f>
        <v>#NUM!</v>
      </c>
      <c r="AF81" s="6" t="e">
        <f>MATCH(Q81,{TRUE,4.1,FALSE,"c bau c"},0)</f>
        <v>#REF!</v>
      </c>
      <c r="AG81" s="6"/>
      <c r="AH81" s="6"/>
    </row>
    <row r="82" spans="1:49" x14ac:dyDescent="0.15">
      <c r="A82" s="99"/>
      <c r="B82" s="100"/>
      <c r="C82" s="13">
        <v>-2</v>
      </c>
      <c r="D82" s="13">
        <v>1.1000000000000001</v>
      </c>
      <c r="E82" s="13">
        <v>3</v>
      </c>
      <c r="F82" s="13">
        <v>4</v>
      </c>
      <c r="G82" s="13">
        <v>4.0999999999999996</v>
      </c>
      <c r="H82" s="14"/>
      <c r="I82" s="14" t="s">
        <v>339</v>
      </c>
      <c r="J82" s="14" t="b">
        <v>1</v>
      </c>
      <c r="K82" s="14" t="e">
        <f>#VALUE!</f>
        <v>#VALUE!</v>
      </c>
      <c r="L82" s="14" t="e">
        <v>#N/A</v>
      </c>
      <c r="M82" s="15" t="e">
        <v>#DIV/0!</v>
      </c>
      <c r="N82" s="15" t="e">
        <v>#NAME?</v>
      </c>
      <c r="O82" s="15" t="e">
        <v>#NULL!</v>
      </c>
      <c r="P82" s="15" t="e">
        <v>#NUM!</v>
      </c>
      <c r="Q82" s="15" t="e">
        <v>#REF!</v>
      </c>
      <c r="R82" s="6" t="e">
        <f>MATCH(C82,{TRUE,FALSE,"a","c bau c"},0)</f>
        <v>#N/A</v>
      </c>
      <c r="S82" s="6" t="e">
        <f>MATCH(D82,{TRUE,FALSE,"a","c bau c"},0)</f>
        <v>#N/A</v>
      </c>
      <c r="T82" s="6" t="e">
        <f>MATCH(E82,{TRUE,FALSE,"a","c bau c"},0)</f>
        <v>#N/A</v>
      </c>
      <c r="U82" s="6" t="e">
        <f>MATCH(F82,{TRUE,FALSE,"a","c bau c"},0)</f>
        <v>#N/A</v>
      </c>
      <c r="V82" s="6" t="e">
        <f>MATCH(G82,{TRUE,FALSE,"a","c bau c"},0)</f>
        <v>#N/A</v>
      </c>
      <c r="W82" s="6" t="e">
        <f>MATCH(H82,{TRUE,FALSE,"a","c bau c"},0)</f>
        <v>#N/A</v>
      </c>
      <c r="X82" s="6">
        <f>MATCH(I82,{TRUE,FALSE,"a","c bau c"},0)</f>
        <v>4</v>
      </c>
      <c r="Y82" s="6">
        <f>MATCH(J82,{TRUE,FALSE,"a","c bau c"},0)</f>
        <v>1</v>
      </c>
      <c r="Z82" s="6" t="e">
        <f>MATCH(K82,{TRUE,FALSE,"a","c bau c"},0)</f>
        <v>#VALUE!</v>
      </c>
      <c r="AA82" s="6" t="e">
        <f>MATCH(L82,{TRUE,FALSE,"a","c bau c"},0)</f>
        <v>#N/A</v>
      </c>
      <c r="AB82" s="6" t="e">
        <f>MATCH(M82,{TRUE,FALSE,"a","c bau c"},0)</f>
        <v>#DIV/0!</v>
      </c>
      <c r="AC82" s="6" t="e">
        <f>MATCH(N82,{TRUE,FALSE,"a","c bau c"},0)</f>
        <v>#NAME?</v>
      </c>
      <c r="AD82" s="6" t="e">
        <f>MATCH(O82,{TRUE,FALSE,"a","c bau c"},0)</f>
        <v>#NULL!</v>
      </c>
      <c r="AE82" s="6" t="e">
        <f>MATCH(P82,{TRUE,FALSE,"a","c bau c"},0)</f>
        <v>#NUM!</v>
      </c>
      <c r="AF82" s="6" t="e">
        <f>MATCH(Q82,{TRUE,FALSE,"a","c bau c"},0)</f>
        <v>#REF!</v>
      </c>
      <c r="AG82" s="6"/>
      <c r="AH82" s="6"/>
    </row>
    <row r="83" spans="1:49" x14ac:dyDescent="0.15">
      <c r="A83" s="99"/>
      <c r="B83" s="100"/>
      <c r="C83" s="13">
        <v>-2</v>
      </c>
      <c r="D83" s="13">
        <v>1.1000000000000001</v>
      </c>
      <c r="E83" s="13">
        <v>3</v>
      </c>
      <c r="F83" s="13">
        <v>4</v>
      </c>
      <c r="G83" s="13">
        <v>4.0999999999999996</v>
      </c>
      <c r="H83" s="14"/>
      <c r="I83" s="14" t="s">
        <v>339</v>
      </c>
      <c r="J83" s="14" t="b">
        <v>1</v>
      </c>
      <c r="K83" s="14" t="e">
        <f>#VALUE!</f>
        <v>#VALUE!</v>
      </c>
      <c r="L83" s="14" t="e">
        <v>#N/A</v>
      </c>
      <c r="M83" s="15" t="e">
        <v>#DIV/0!</v>
      </c>
      <c r="N83" s="15" t="e">
        <v>#NAME?</v>
      </c>
      <c r="O83" s="15" t="e">
        <v>#NULL!</v>
      </c>
      <c r="P83" s="15" t="e">
        <v>#NUM!</v>
      </c>
      <c r="Q83" s="15" t="e">
        <v>#REF!</v>
      </c>
      <c r="R83" s="6">
        <f>MATCH(C83,{-1.1,2.1,3.1,4.1},-1)</f>
        <v>4</v>
      </c>
      <c r="S83" s="6" t="e">
        <f>MATCH(D83,{-1.1,2.1,3.1,4.1},-1)</f>
        <v>#N/A</v>
      </c>
      <c r="T83" s="6" t="e">
        <f>MATCH(E83,{-1.1,2.1,3.1,4.1},-1)</f>
        <v>#N/A</v>
      </c>
      <c r="U83" s="6" t="e">
        <f>MATCH(F83,{-1.1,2.1,3.1,4.1},-1)</f>
        <v>#N/A</v>
      </c>
      <c r="V83" s="6" t="e">
        <f>MATCH(G83,{-1.1,2.1,3.1,4.1},-1)</f>
        <v>#N/A</v>
      </c>
      <c r="W83" s="6" t="e">
        <f>MATCH(H83,{-1.1,2.1,3.1,4.1},-1)</f>
        <v>#N/A</v>
      </c>
      <c r="X83" s="6" t="e">
        <f>MATCH(I83,{-1.1,2.1,3.1,4.1},-1)</f>
        <v>#N/A</v>
      </c>
      <c r="Y83" s="6" t="e">
        <f>MATCH(J83,{-1.1,2.1,3.1,4.1},-1)</f>
        <v>#N/A</v>
      </c>
      <c r="Z83" s="6" t="e">
        <f>MATCH(K83,{-1.1,2.1,3.1,4.1},-1)</f>
        <v>#VALUE!</v>
      </c>
      <c r="AA83" s="6" t="e">
        <f>MATCH(L83,{-1.1,2.1,3.1,4.1},-1)</f>
        <v>#N/A</v>
      </c>
      <c r="AB83" s="6" t="e">
        <f>MATCH(M83,{-1.1,2.1,3.1,4.1},-1)</f>
        <v>#DIV/0!</v>
      </c>
      <c r="AC83" s="6" t="e">
        <f>MATCH(N83,{-1.1,2.1,3.1,4.1},-1)</f>
        <v>#NAME?</v>
      </c>
      <c r="AD83" s="6" t="e">
        <f>MATCH(O83,{-1.1,2.1,3.1,4.1},-1)</f>
        <v>#NULL!</v>
      </c>
      <c r="AE83" s="6" t="e">
        <f>MATCH(P83,{-1.1,2.1,3.1,4.1},-1)</f>
        <v>#NUM!</v>
      </c>
      <c r="AF83" s="6" t="e">
        <f>MATCH(Q83,{-1.1,2.1,3.1,4.1},-1)</f>
        <v>#REF!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9" x14ac:dyDescent="0.15">
      <c r="A84" s="99"/>
      <c r="B84" s="100"/>
      <c r="C84" s="13">
        <v>-2</v>
      </c>
      <c r="D84" s="13">
        <v>1.1000000000000001</v>
      </c>
      <c r="E84" s="13">
        <v>3</v>
      </c>
      <c r="F84" s="13">
        <v>4</v>
      </c>
      <c r="G84" s="13">
        <v>4.0999999999999996</v>
      </c>
      <c r="H84" s="14"/>
      <c r="I84" s="14" t="s">
        <v>339</v>
      </c>
      <c r="J84" s="14" t="b">
        <v>1</v>
      </c>
      <c r="K84" s="14" t="e">
        <f>#VALUE!</f>
        <v>#VALUE!</v>
      </c>
      <c r="L84" s="14" t="e">
        <v>#N/A</v>
      </c>
      <c r="M84" s="15" t="e">
        <v>#DIV/0!</v>
      </c>
      <c r="N84" s="15" t="e">
        <v>#NAME?</v>
      </c>
      <c r="O84" s="15" t="e">
        <v>#NULL!</v>
      </c>
      <c r="P84" s="15" t="e">
        <v>#NUM!</v>
      </c>
      <c r="Q84" s="15" t="e">
        <v>#REF!</v>
      </c>
      <c r="R84" s="6">
        <f>MATCH(C84,{"a",2.1,"c bau c",4.1},-1)</f>
        <v>4</v>
      </c>
      <c r="S84" s="6">
        <f>MATCH(D84,{"a",2.1,"c bau c",4.1},-1)</f>
        <v>4</v>
      </c>
      <c r="T84" s="6" t="e">
        <f>MATCH(E84,{"a",2.1,"c bau c",4.1},-1)</f>
        <v>#N/A</v>
      </c>
      <c r="U84" s="6" t="e">
        <f>MATCH(F84,{"a",2.1,"c bau c",4.1},-1)</f>
        <v>#N/A</v>
      </c>
      <c r="V84" s="6" t="e">
        <f>MATCH(G84,{"a",2.1,"c bau c",4.1},-1)</f>
        <v>#N/A</v>
      </c>
      <c r="W84" s="6">
        <f>MATCH(H84,{"a",2.1,"c bau c",4.1},-1)</f>
        <v>4</v>
      </c>
      <c r="X84" s="6">
        <f>MATCH(I84,{"a",2.1,"c bau c",4.1},-1)</f>
        <v>3</v>
      </c>
      <c r="Y84" s="6" t="e">
        <f>MATCH(J84,{"a",2.1,"c bau c",4.1},-1)</f>
        <v>#N/A</v>
      </c>
      <c r="Z84" s="6" t="e">
        <f>MATCH(K84,{"a",2.1,"c bau c",4.1},-1)</f>
        <v>#VALUE!</v>
      </c>
      <c r="AA84" s="6" t="e">
        <f>MATCH(L84,{"a",2.1,"c bau c",4.1},-1)</f>
        <v>#N/A</v>
      </c>
      <c r="AB84" s="6" t="e">
        <f>MATCH(M84,{"a",2.1,"c bau c",4.1},-1)</f>
        <v>#DIV/0!</v>
      </c>
      <c r="AC84" s="6" t="e">
        <f>MATCH(N84,{"a",2.1,"c bau c",4.1},-1)</f>
        <v>#NAME?</v>
      </c>
      <c r="AD84" s="6" t="e">
        <f>MATCH(O84,{"a",2.1,"c bau c",4.1},-1)</f>
        <v>#NULL!</v>
      </c>
      <c r="AE84" s="6" t="e">
        <f>MATCH(P84,{"a",2.1,"c bau c",4.1},-1)</f>
        <v>#NUM!</v>
      </c>
      <c r="AF84" s="6" t="e">
        <f>MATCH(Q84,{"a",2.1,"c bau c",4.1},-1)</f>
        <v>#REF!</v>
      </c>
      <c r="AG84" s="6"/>
      <c r="AH84" s="6"/>
    </row>
    <row r="85" spans="1:49" x14ac:dyDescent="0.15">
      <c r="A85" s="99"/>
      <c r="B85" s="100"/>
      <c r="C85" s="13">
        <v>-2</v>
      </c>
      <c r="D85" s="13">
        <v>1.1000000000000001</v>
      </c>
      <c r="E85" s="13">
        <v>3</v>
      </c>
      <c r="F85" s="13">
        <v>4</v>
      </c>
      <c r="G85" s="13">
        <v>4.0999999999999996</v>
      </c>
      <c r="H85" s="14"/>
      <c r="I85" s="14" t="s">
        <v>339</v>
      </c>
      <c r="J85" s="14" t="b">
        <v>1</v>
      </c>
      <c r="K85" s="14" t="e">
        <f>#VALUE!</f>
        <v>#VALUE!</v>
      </c>
      <c r="L85" s="14" t="e">
        <v>#N/A</v>
      </c>
      <c r="M85" s="15" t="e">
        <v>#DIV/0!</v>
      </c>
      <c r="N85" s="15" t="e">
        <v>#NAME?</v>
      </c>
      <c r="O85" s="15" t="e">
        <v>#NULL!</v>
      </c>
      <c r="P85" s="15" t="e">
        <v>#NUM!</v>
      </c>
      <c r="Q85" s="15" t="e">
        <v>#REF!</v>
      </c>
      <c r="R85" s="6">
        <f>MATCH(C85,{FALSE,2.1,TRUE,4.1},-1)</f>
        <v>4</v>
      </c>
      <c r="S85" s="6">
        <f>MATCH(D85,{FALSE,2.1,TRUE,4.1},-1)</f>
        <v>4</v>
      </c>
      <c r="T85" s="6" t="e">
        <f>MATCH(E85,{FALSE,2.1,TRUE,4.1},-1)</f>
        <v>#N/A</v>
      </c>
      <c r="U85" s="6" t="e">
        <f>MATCH(F85,{FALSE,2.1,TRUE,4.1},-1)</f>
        <v>#N/A</v>
      </c>
      <c r="V85" s="6" t="e">
        <f>MATCH(G85,{FALSE,2.1,TRUE,4.1},-1)</f>
        <v>#N/A</v>
      </c>
      <c r="W85" s="6">
        <f>MATCH(H85,{FALSE,2.1,TRUE,4.1},-1)</f>
        <v>4</v>
      </c>
      <c r="X85" s="6" t="e">
        <f>MATCH(I85,{FALSE,2.1,TRUE,4.1},-1)</f>
        <v>#N/A</v>
      </c>
      <c r="Y85" s="6" t="e">
        <f>MATCH(J85,{FALSE,2.1,TRUE,4.1},-1)</f>
        <v>#N/A</v>
      </c>
      <c r="Z85" s="6" t="e">
        <f>MATCH(K85,{FALSE,2.1,TRUE,4.1},-1)</f>
        <v>#VALUE!</v>
      </c>
      <c r="AA85" s="6" t="e">
        <f>MATCH(L85,{FALSE,2.1,TRUE,4.1},-1)</f>
        <v>#N/A</v>
      </c>
      <c r="AB85" s="6" t="e">
        <f>MATCH(M85,{FALSE,2.1,TRUE,4.1},-1)</f>
        <v>#DIV/0!</v>
      </c>
      <c r="AC85" s="6" t="e">
        <f>MATCH(N85,{FALSE,2.1,TRUE,4.1},-1)</f>
        <v>#NAME?</v>
      </c>
      <c r="AD85" s="6" t="e">
        <f>MATCH(O85,{FALSE,2.1,TRUE,4.1},-1)</f>
        <v>#NULL!</v>
      </c>
      <c r="AE85" s="6" t="e">
        <f>MATCH(P85,{FALSE,2.1,TRUE,4.1},-1)</f>
        <v>#NUM!</v>
      </c>
      <c r="AF85" s="6" t="e">
        <f>MATCH(Q85,{FALSE,2.1,TRUE,4.1},-1)</f>
        <v>#REF!</v>
      </c>
      <c r="AG85" s="6"/>
      <c r="AH85" s="6"/>
    </row>
    <row r="86" spans="1:49" x14ac:dyDescent="0.15">
      <c r="A86" s="99"/>
      <c r="B86" s="100"/>
      <c r="C86" s="13">
        <v>-2</v>
      </c>
      <c r="D86" s="13">
        <v>1.1000000000000001</v>
      </c>
      <c r="E86" s="13">
        <v>3</v>
      </c>
      <c r="F86" s="13">
        <v>4</v>
      </c>
      <c r="G86" s="13">
        <v>4.0999999999999996</v>
      </c>
      <c r="H86" s="14"/>
      <c r="I86" s="14" t="s">
        <v>339</v>
      </c>
      <c r="J86" s="14" t="b">
        <v>1</v>
      </c>
      <c r="K86" s="14" t="e">
        <f>#VALUE!</f>
        <v>#VALUE!</v>
      </c>
      <c r="L86" s="14" t="e">
        <v>#N/A</v>
      </c>
      <c r="M86" s="15" t="e">
        <v>#DIV/0!</v>
      </c>
      <c r="N86" s="15" t="e">
        <v>#NAME?</v>
      </c>
      <c r="O86" s="15" t="e">
        <v>#NULL!</v>
      </c>
      <c r="P86" s="15" t="e">
        <v>#NUM!</v>
      </c>
      <c r="Q86" s="15" t="e">
        <v>#REF!</v>
      </c>
      <c r="R86" s="6">
        <f>MATCH(C86,{4.1,3.1,2.1,1.1},-1)</f>
        <v>4</v>
      </c>
      <c r="S86" s="6">
        <f>MATCH(D86,{4.1,3.1,2.1,1.1},-1)</f>
        <v>4</v>
      </c>
      <c r="T86" s="6">
        <f>MATCH(E86,{4.1,3.1,2.1,1.1},-1)</f>
        <v>2</v>
      </c>
      <c r="U86" s="6">
        <f>MATCH(F86,{4.1,3.1,2.1,1.1},-1)</f>
        <v>1</v>
      </c>
      <c r="V86" s="6">
        <f>MATCH(G86,{4.1,3.1,2.1,1.1},-1)</f>
        <v>1</v>
      </c>
      <c r="W86" s="6">
        <f>MATCH(H86,{4.1,3.1,2.1,1.1},-1)</f>
        <v>4</v>
      </c>
      <c r="X86" s="6" t="e">
        <f>MATCH(I86,{4.1,3.1,2.1,1.1},-1)</f>
        <v>#N/A</v>
      </c>
      <c r="Y86" s="6" t="e">
        <f>MATCH(J86,{4.1,3.1,2.1,1.1},-1)</f>
        <v>#N/A</v>
      </c>
      <c r="Z86" s="6" t="e">
        <f>MATCH(K86,{4.1,3.1,2.1,1.1},-1)</f>
        <v>#VALUE!</v>
      </c>
      <c r="AA86" s="6" t="e">
        <f>MATCH(L86,{4.1,3.1,2.1,1.1},-1)</f>
        <v>#N/A</v>
      </c>
      <c r="AB86" s="6" t="e">
        <f>MATCH(M86,{4.1,3.1,2.1,1.1},-1)</f>
        <v>#DIV/0!</v>
      </c>
      <c r="AC86" s="6" t="e">
        <f>MATCH(N86,{4.1,3.1,2.1,1.1},-1)</f>
        <v>#NAME?</v>
      </c>
      <c r="AD86" s="6" t="e">
        <f>MATCH(O86,{4.1,3.1,2.1,1.1},-1)</f>
        <v>#NULL!</v>
      </c>
      <c r="AE86" s="6" t="e">
        <f>MATCH(P86,{4.1,3.1,2.1,1.1},-1)</f>
        <v>#NUM!</v>
      </c>
      <c r="AF86" s="6" t="e">
        <f>MATCH(Q86,{4.1,3.1,2.1,1.1},-1)</f>
        <v>#REF!</v>
      </c>
      <c r="AG86" s="6"/>
      <c r="AH86" s="6"/>
    </row>
    <row r="87" spans="1:49" x14ac:dyDescent="0.15">
      <c r="A87" s="99"/>
      <c r="B87" s="100"/>
      <c r="C87" s="13">
        <v>-2</v>
      </c>
      <c r="D87" s="13">
        <v>1.1000000000000001</v>
      </c>
      <c r="E87" s="13">
        <v>3</v>
      </c>
      <c r="F87" s="13">
        <v>4</v>
      </c>
      <c r="G87" s="13">
        <v>4.0999999999999996</v>
      </c>
      <c r="H87" s="14"/>
      <c r="I87" s="14" t="s">
        <v>339</v>
      </c>
      <c r="J87" s="14" t="b">
        <v>1</v>
      </c>
      <c r="K87" s="14" t="e">
        <f>#VALUE!</f>
        <v>#VALUE!</v>
      </c>
      <c r="L87" s="14" t="e">
        <v>#N/A</v>
      </c>
      <c r="M87" s="15" t="e">
        <v>#DIV/0!</v>
      </c>
      <c r="N87" s="15" t="e">
        <v>#NAME?</v>
      </c>
      <c r="O87" s="15" t="e">
        <v>#NULL!</v>
      </c>
      <c r="P87" s="15" t="e">
        <v>#NUM!</v>
      </c>
      <c r="Q87" s="15" t="e">
        <v>#REF!</v>
      </c>
      <c r="R87" s="6">
        <f>MATCH(C87,{"c bau c",4.1,"a",1.1},-1)</f>
        <v>4</v>
      </c>
      <c r="S87" s="6">
        <f>MATCH(D87,{"c bau c",4.1,"a",1.1},-1)</f>
        <v>4</v>
      </c>
      <c r="T87" s="6">
        <f>MATCH(E87,{"c bau c",4.1,"a",1.1},-1)</f>
        <v>2</v>
      </c>
      <c r="U87" s="6">
        <f>MATCH(F87,{"c bau c",4.1,"a",1.1},-1)</f>
        <v>2</v>
      </c>
      <c r="V87" s="6">
        <f>MATCH(G87,{"c bau c",4.1,"a",1.1},-1)</f>
        <v>2</v>
      </c>
      <c r="W87" s="6">
        <f>MATCH(H87,{"c bau c",4.1,"a",1.1},-1)</f>
        <v>4</v>
      </c>
      <c r="X87" s="6">
        <f>MATCH(I87,{"c bau c",4.1,"a",1.1},-1)</f>
        <v>3</v>
      </c>
      <c r="Y87" s="6" t="e">
        <f>MATCH(J87,{"c bau c",4.1,"a",1.1},-1)</f>
        <v>#N/A</v>
      </c>
      <c r="Z87" s="6" t="e">
        <f>MATCH(K87,{"c bau c",4.1,"a",1.1},-1)</f>
        <v>#VALUE!</v>
      </c>
      <c r="AA87" s="6" t="e">
        <f>MATCH(L87,{"c bau c",4.1,"a",1.1},-1)</f>
        <v>#N/A</v>
      </c>
      <c r="AB87" s="6" t="e">
        <f>MATCH(M87,{"c bau c",4.1,"a",1.1},-1)</f>
        <v>#DIV/0!</v>
      </c>
      <c r="AC87" s="6" t="e">
        <f>MATCH(N87,{"c bau c",4.1,"a",1.1},-1)</f>
        <v>#NAME?</v>
      </c>
      <c r="AD87" s="6" t="e">
        <f>MATCH(O87,{"c bau c",4.1,"a",1.1},-1)</f>
        <v>#NULL!</v>
      </c>
      <c r="AE87" s="6" t="e">
        <f>MATCH(P87,{"c bau c",4.1,"a",1.1},-1)</f>
        <v>#NUM!</v>
      </c>
      <c r="AF87" s="6" t="e">
        <f>MATCH(Q87,{"c bau c",4.1,"a",1.1},-1)</f>
        <v>#REF!</v>
      </c>
      <c r="AG87" s="6"/>
      <c r="AH87" s="6"/>
    </row>
    <row r="88" spans="1:49" x14ac:dyDescent="0.15">
      <c r="A88" s="99"/>
      <c r="B88" s="100"/>
      <c r="C88" s="13">
        <v>-2</v>
      </c>
      <c r="D88" s="13">
        <v>1.1000000000000001</v>
      </c>
      <c r="E88" s="13">
        <v>3</v>
      </c>
      <c r="F88" s="13">
        <v>4</v>
      </c>
      <c r="G88" s="13">
        <v>4.0999999999999996</v>
      </c>
      <c r="H88" s="14"/>
      <c r="I88" s="14" t="s">
        <v>339</v>
      </c>
      <c r="J88" s="14" t="b">
        <v>1</v>
      </c>
      <c r="K88" s="14" t="e">
        <f>#VALUE!</f>
        <v>#VALUE!</v>
      </c>
      <c r="L88" s="14" t="e">
        <v>#N/A</v>
      </c>
      <c r="M88" s="15" t="e">
        <v>#DIV/0!</v>
      </c>
      <c r="N88" s="15" t="e">
        <v>#NAME?</v>
      </c>
      <c r="O88" s="15" t="e">
        <v>#NULL!</v>
      </c>
      <c r="P88" s="15" t="e">
        <v>#NUM!</v>
      </c>
      <c r="Q88" s="15" t="e">
        <v>#REF!</v>
      </c>
      <c r="R88" s="6">
        <f>MATCH(C88,{"",4.1,"a",1.1},-1)</f>
        <v>4</v>
      </c>
      <c r="S88" s="6">
        <f>MATCH(D88,{"",4.1,"a",1.1},-1)</f>
        <v>4</v>
      </c>
      <c r="T88" s="6">
        <f>MATCH(E88,{"",4.1,"a",1.1},-1)</f>
        <v>2</v>
      </c>
      <c r="U88" s="6">
        <f>MATCH(F88,{"",4.1,"a",1.1},-1)</f>
        <v>2</v>
      </c>
      <c r="V88" s="6">
        <f>MATCH(G88,{"",4.1,"a",1.1},-1)</f>
        <v>2</v>
      </c>
      <c r="W88" s="6">
        <f>MATCH(H88,{"",4.1,"a",1.1},-1)</f>
        <v>4</v>
      </c>
      <c r="X88" s="6" t="e">
        <f>MATCH(I88,{"",4.1,"a",1.1},-1)</f>
        <v>#N/A</v>
      </c>
      <c r="Y88" s="6" t="e">
        <f>MATCH(J88,{"",4.1,"a",1.1},-1)</f>
        <v>#N/A</v>
      </c>
      <c r="Z88" s="6" t="e">
        <f>MATCH(K88,{"",4.1,"a",1.1},-1)</f>
        <v>#VALUE!</v>
      </c>
      <c r="AA88" s="6" t="e">
        <f>MATCH(L88,{"",4.1,"a",1.1},-1)</f>
        <v>#N/A</v>
      </c>
      <c r="AB88" s="6" t="e">
        <f>MATCH(M88,{"",4.1,"a",1.1},-1)</f>
        <v>#DIV/0!</v>
      </c>
      <c r="AC88" s="6" t="e">
        <f>MATCH(N88,{"",4.1,"a",1.1},-1)</f>
        <v>#NAME?</v>
      </c>
      <c r="AD88" s="6" t="e">
        <f>MATCH(O88,{"",4.1,"a",1.1},-1)</f>
        <v>#NULL!</v>
      </c>
      <c r="AE88" s="6" t="e">
        <f>MATCH(P88,{"",4.1,"a",1.1},-1)</f>
        <v>#NUM!</v>
      </c>
      <c r="AF88" s="6" t="e">
        <f>MATCH(Q88,{"",4.1,"a",1.1},-1)</f>
        <v>#REF!</v>
      </c>
      <c r="AG88" s="6"/>
      <c r="AH88" s="6"/>
    </row>
    <row r="89" spans="1:49" x14ac:dyDescent="0.15">
      <c r="A89" s="99"/>
      <c r="B89" s="100"/>
      <c r="C89" s="13">
        <v>-2</v>
      </c>
      <c r="D89" s="13">
        <v>1.1000000000000001</v>
      </c>
      <c r="E89" s="13">
        <v>3</v>
      </c>
      <c r="F89" s="13">
        <v>4</v>
      </c>
      <c r="G89" s="13">
        <v>4.0999999999999996</v>
      </c>
      <c r="H89" s="14"/>
      <c r="I89" s="14" t="s">
        <v>339</v>
      </c>
      <c r="J89" s="14" t="b">
        <v>1</v>
      </c>
      <c r="K89" s="14" t="e">
        <f>#VALUE!</f>
        <v>#VALUE!</v>
      </c>
      <c r="L89" s="14" t="e">
        <v>#N/A</v>
      </c>
      <c r="M89" s="15" t="e">
        <v>#DIV/0!</v>
      </c>
      <c r="N89" s="15" t="e">
        <v>#NAME?</v>
      </c>
      <c r="O89" s="15" t="e">
        <v>#NULL!</v>
      </c>
      <c r="P89" s="15" t="e">
        <v>#NUM!</v>
      </c>
      <c r="Q89" s="15" t="e">
        <v>#REF!</v>
      </c>
      <c r="R89" s="6">
        <f>MATCH(C89,{TRUE,4.1,FALSE,1.1},-1)</f>
        <v>4</v>
      </c>
      <c r="S89" s="6">
        <f>MATCH(D89,{TRUE,4.1,FALSE,1.1},-1)</f>
        <v>4</v>
      </c>
      <c r="T89" s="6">
        <f>MATCH(E89,{TRUE,4.1,FALSE,1.1},-1)</f>
        <v>2</v>
      </c>
      <c r="U89" s="6">
        <f>MATCH(F89,{TRUE,4.1,FALSE,1.1},-1)</f>
        <v>2</v>
      </c>
      <c r="V89" s="6">
        <f>MATCH(G89,{TRUE,4.1,FALSE,1.1},-1)</f>
        <v>2</v>
      </c>
      <c r="W89" s="6">
        <f>MATCH(H89,{TRUE,4.1,FALSE,1.1},-1)</f>
        <v>4</v>
      </c>
      <c r="X89" s="6" t="e">
        <f>MATCH(I89,{TRUE,4.1,FALSE,1.1},-1)</f>
        <v>#N/A</v>
      </c>
      <c r="Y89" s="6">
        <f>MATCH(J89,{TRUE,4.1,FALSE,1.1},-1)</f>
        <v>1</v>
      </c>
      <c r="Z89" s="6" t="e">
        <f>MATCH(K89,{TRUE,4.1,FALSE,1.1},-1)</f>
        <v>#VALUE!</v>
      </c>
      <c r="AA89" s="6" t="e">
        <f>MATCH(L89,{TRUE,4.1,FALSE,1.1},-1)</f>
        <v>#N/A</v>
      </c>
      <c r="AB89" s="6" t="e">
        <f>MATCH(M89,{TRUE,4.1,FALSE,1.1},-1)</f>
        <v>#DIV/0!</v>
      </c>
      <c r="AC89" s="6" t="e">
        <f>MATCH(N89,{TRUE,4.1,FALSE,1.1},-1)</f>
        <v>#NAME?</v>
      </c>
      <c r="AD89" s="6" t="e">
        <f>MATCH(O89,{TRUE,4.1,FALSE,1.1},-1)</f>
        <v>#NULL!</v>
      </c>
      <c r="AE89" s="6" t="e">
        <f>MATCH(P89,{TRUE,4.1,FALSE,1.1},-1)</f>
        <v>#NUM!</v>
      </c>
      <c r="AF89" s="6" t="e">
        <f>MATCH(Q89,{TRUE,4.1,FALSE,1.1},-1)</f>
        <v>#REF!</v>
      </c>
      <c r="AG89" s="6"/>
      <c r="AH89" s="6"/>
    </row>
    <row r="90" spans="1:49" x14ac:dyDescent="0.15">
      <c r="A90" s="99"/>
      <c r="B90" s="100"/>
      <c r="C90" s="13">
        <v>-2</v>
      </c>
      <c r="D90" s="13">
        <v>1.1000000000000001</v>
      </c>
      <c r="E90" s="13">
        <v>3</v>
      </c>
      <c r="F90" s="13">
        <v>4</v>
      </c>
      <c r="G90" s="13">
        <v>4.0999999999999996</v>
      </c>
      <c r="H90" s="14"/>
      <c r="I90" s="14" t="s">
        <v>339</v>
      </c>
      <c r="J90" s="14" t="b">
        <v>1</v>
      </c>
      <c r="K90" s="14" t="e">
        <f>#VALUE!</f>
        <v>#VALUE!</v>
      </c>
      <c r="L90" s="14" t="e">
        <v>#N/A</v>
      </c>
      <c r="M90" s="15" t="e">
        <v>#DIV/0!</v>
      </c>
      <c r="N90" s="15" t="e">
        <v>#NAME?</v>
      </c>
      <c r="O90" s="15" t="e">
        <v>#NULL!</v>
      </c>
      <c r="P90" s="15" t="e">
        <v>#NUM!</v>
      </c>
      <c r="Q90" s="15" t="e">
        <v>#REF!</v>
      </c>
      <c r="R90" s="6">
        <f>MATCH(C90,{TRUE,4.1,FALSE,"c bau c"},-1)</f>
        <v>2</v>
      </c>
      <c r="S90" s="6">
        <f>MATCH(D90,{TRUE,4.1,FALSE,"c bau c"},-1)</f>
        <v>2</v>
      </c>
      <c r="T90" s="6">
        <f>MATCH(E90,{TRUE,4.1,FALSE,"c bau c"},-1)</f>
        <v>2</v>
      </c>
      <c r="U90" s="6">
        <f>MATCH(F90,{TRUE,4.1,FALSE,"c bau c"},-1)</f>
        <v>2</v>
      </c>
      <c r="V90" s="6">
        <f>MATCH(G90,{TRUE,4.1,FALSE,"c bau c"},-1)</f>
        <v>2</v>
      </c>
      <c r="W90" s="6">
        <f>MATCH(H90,{TRUE,4.1,FALSE,"c bau c"},-1)</f>
        <v>2</v>
      </c>
      <c r="X90" s="6">
        <f>MATCH(I90,{TRUE,4.1,FALSE,"c bau c"},-1)</f>
        <v>4</v>
      </c>
      <c r="Y90" s="6">
        <f>MATCH(J90,{TRUE,4.1,FALSE,"c bau c"},-1)</f>
        <v>1</v>
      </c>
      <c r="Z90" s="6" t="e">
        <f>MATCH(K90,{TRUE,4.1,FALSE,"c bau c"},-1)</f>
        <v>#VALUE!</v>
      </c>
      <c r="AA90" s="6" t="e">
        <f>MATCH(L90,{TRUE,4.1,FALSE,"c bau c"},-1)</f>
        <v>#N/A</v>
      </c>
      <c r="AB90" s="6" t="e">
        <f>MATCH(M90,{TRUE,4.1,FALSE,"c bau c"},-1)</f>
        <v>#DIV/0!</v>
      </c>
      <c r="AC90" s="6" t="e">
        <f>MATCH(N90,{TRUE,4.1,FALSE,"c bau c"},-1)</f>
        <v>#NAME?</v>
      </c>
      <c r="AD90" s="6" t="e">
        <f>MATCH(O90,{TRUE,4.1,FALSE,"c bau c"},-1)</f>
        <v>#NULL!</v>
      </c>
      <c r="AE90" s="6" t="e">
        <f>MATCH(P90,{TRUE,4.1,FALSE,"c bau c"},-1)</f>
        <v>#NUM!</v>
      </c>
      <c r="AF90" s="6" t="e">
        <f>MATCH(Q90,{TRUE,4.1,FALSE,"c bau c"},-1)</f>
        <v>#REF!</v>
      </c>
      <c r="AG90" s="6"/>
      <c r="AH90" s="6"/>
    </row>
    <row r="91" spans="1:49" x14ac:dyDescent="0.15">
      <c r="A91" s="99"/>
      <c r="B91" s="100"/>
      <c r="C91" s="13">
        <v>-2</v>
      </c>
      <c r="D91" s="13">
        <v>1.1000000000000001</v>
      </c>
      <c r="E91" s="13">
        <v>3</v>
      </c>
      <c r="F91" s="13">
        <v>4</v>
      </c>
      <c r="G91" s="13">
        <v>4.0999999999999996</v>
      </c>
      <c r="H91" s="14"/>
      <c r="I91" s="14" t="s">
        <v>339</v>
      </c>
      <c r="J91" s="14" t="b">
        <v>1</v>
      </c>
      <c r="K91" s="14" t="e">
        <f>#VALUE!</f>
        <v>#VALUE!</v>
      </c>
      <c r="L91" s="14" t="e">
        <v>#N/A</v>
      </c>
      <c r="M91" s="15" t="e">
        <v>#DIV/0!</v>
      </c>
      <c r="N91" s="15" t="e">
        <v>#NAME?</v>
      </c>
      <c r="O91" s="15" t="e">
        <v>#NULL!</v>
      </c>
      <c r="P91" s="15" t="e">
        <v>#NUM!</v>
      </c>
      <c r="Q91" s="15" t="e">
        <v>#REF!</v>
      </c>
      <c r="R91" s="6" t="e">
        <f>MATCH(C91,{TRUE,FALSE,"a","c bau c"},-1)</f>
        <v>#N/A</v>
      </c>
      <c r="S91" s="6" t="e">
        <f>MATCH(D91,{TRUE,FALSE,"a","c bau c"},-1)</f>
        <v>#N/A</v>
      </c>
      <c r="T91" s="6" t="e">
        <f>MATCH(E91,{TRUE,FALSE,"a","c bau c"},-1)</f>
        <v>#N/A</v>
      </c>
      <c r="U91" s="6" t="e">
        <f>MATCH(F91,{TRUE,FALSE,"a","c bau c"},-1)</f>
        <v>#N/A</v>
      </c>
      <c r="V91" s="6" t="e">
        <f>MATCH(G91,{TRUE,FALSE,"a","c bau c"},-1)</f>
        <v>#N/A</v>
      </c>
      <c r="W91" s="6" t="e">
        <f>MATCH(H91,{TRUE,FALSE,"a","c bau c"},-1)</f>
        <v>#N/A</v>
      </c>
      <c r="X91" s="6">
        <f>MATCH(I91,{TRUE,FALSE,"a","c bau c"},-1)</f>
        <v>4</v>
      </c>
      <c r="Y91" s="6">
        <f>MATCH(J91,{TRUE,FALSE,"a","c bau c"},-1)</f>
        <v>1</v>
      </c>
      <c r="Z91" s="6" t="e">
        <f>MATCH(K91,{TRUE,FALSE,"a","c bau c"},-1)</f>
        <v>#VALUE!</v>
      </c>
      <c r="AA91" s="6" t="e">
        <f>MATCH(L91,{TRUE,FALSE,"a","c bau c"},-1)</f>
        <v>#N/A</v>
      </c>
      <c r="AB91" s="6" t="e">
        <f>MATCH(M91,{TRUE,FALSE,"a","c bau c"},-1)</f>
        <v>#DIV/0!</v>
      </c>
      <c r="AC91" s="6" t="e">
        <f>MATCH(N91,{TRUE,FALSE,"a","c bau c"},-1)</f>
        <v>#NAME?</v>
      </c>
      <c r="AD91" s="6" t="e">
        <f>MATCH(O91,{TRUE,FALSE,"a","c bau c"},-1)</f>
        <v>#NULL!</v>
      </c>
      <c r="AE91" s="6" t="e">
        <f>MATCH(P91,{TRUE,FALSE,"a","c bau c"},-1)</f>
        <v>#NUM!</v>
      </c>
      <c r="AF91" s="6" t="e">
        <f>MATCH(Q91,{TRUE,FALSE,"a","c bau c"},-1)</f>
        <v>#REF!</v>
      </c>
      <c r="AG91" s="6"/>
      <c r="AH91" s="6"/>
    </row>
    <row r="92" spans="1:49" x14ac:dyDescent="0.15">
      <c r="A92" s="40" t="s">
        <v>332</v>
      </c>
      <c r="H92" s="14"/>
      <c r="I92" s="14"/>
      <c r="J92" s="14"/>
      <c r="K92" s="14"/>
      <c r="L92" s="14"/>
      <c r="M92" s="15"/>
      <c r="N92" s="15"/>
      <c r="O92" s="15"/>
      <c r="P92" s="15"/>
      <c r="Q92" s="15"/>
      <c r="W92" s="6"/>
      <c r="X92" s="6"/>
      <c r="Y92" s="6"/>
      <c r="Z92" s="6"/>
      <c r="AA92" s="6"/>
      <c r="AB92" s="6"/>
      <c r="AC92" s="6"/>
      <c r="AD92" s="6"/>
      <c r="AE92" s="6"/>
      <c r="AF92" s="6"/>
      <c r="AJ92" s="4" t="str" cm="1">
        <f t="array" ref="AJ92:AM95">_xlfn.PIVOTBY(LOOKUP!C93:C111,LOOKUP!F93:F111,LOOKUP!I93:I111,_xleta.SUM,1,-1,2,-1,2,LOOKUP!K93:K111)</f>
        <v/>
      </c>
      <c r="AK92" s="4" t="str">
        <v>Total</v>
      </c>
      <c r="AL92" s="4" t="str">
        <v>b</v>
      </c>
      <c r="AM92" s="4" t="str">
        <v>a</v>
      </c>
    </row>
    <row r="93" spans="1:49" x14ac:dyDescent="0.15">
      <c r="A93" s="99" t="s">
        <v>559</v>
      </c>
      <c r="B93" s="100" t="s">
        <v>541</v>
      </c>
      <c r="C93" s="13" t="s">
        <v>790</v>
      </c>
      <c r="D93" s="13" t="s">
        <v>789</v>
      </c>
      <c r="E93" s="13" t="s">
        <v>791</v>
      </c>
      <c r="F93" s="13" t="s">
        <v>792</v>
      </c>
      <c r="G93" s="13" t="s">
        <v>793</v>
      </c>
      <c r="H93" s="13" t="s">
        <v>808</v>
      </c>
      <c r="I93" s="4" t="s">
        <v>806</v>
      </c>
      <c r="J93" s="4" t="s">
        <v>807</v>
      </c>
      <c r="K93" s="4" t="s">
        <v>809</v>
      </c>
      <c r="N93" s="4" t="str" cm="1">
        <f t="array" ref="N93:AB103">_xlfn.PIVOTBY(C93:E111,F93:H111,I93:J111,_xleta.SUM,1,1,1,0,3,K93:L111)</f>
        <v/>
      </c>
      <c r="O93" s="4" t="str">
        <v/>
      </c>
      <c r="P93" s="4" t="str">
        <v/>
      </c>
      <c r="Q93" s="15" t="str">
        <v>a</v>
      </c>
      <c r="R93" s="4" t="str">
        <v>a</v>
      </c>
      <c r="S93" s="4" t="str">
        <v>a</v>
      </c>
      <c r="T93" s="4" t="str">
        <v>a</v>
      </c>
      <c r="U93" s="4" t="str">
        <v>a</v>
      </c>
      <c r="V93" s="4" t="str">
        <v>a</v>
      </c>
      <c r="W93" s="6" t="str">
        <v>b</v>
      </c>
      <c r="X93" s="6" t="str">
        <v>b</v>
      </c>
      <c r="Y93" s="6" t="str">
        <v>b</v>
      </c>
      <c r="Z93" s="6" t="str">
        <v>b</v>
      </c>
      <c r="AA93" s="6" t="str">
        <v>b</v>
      </c>
      <c r="AB93" s="6" t="str">
        <v>b</v>
      </c>
      <c r="AD93" s="6"/>
      <c r="AE93" s="6"/>
      <c r="AF93" s="6"/>
      <c r="AJ93" s="4" t="str">
        <v>Total</v>
      </c>
      <c r="AK93" s="4">
        <v>53</v>
      </c>
      <c r="AL93" s="4">
        <v>16</v>
      </c>
      <c r="AM93" s="4">
        <v>37</v>
      </c>
    </row>
    <row r="94" spans="1:49" x14ac:dyDescent="0.15">
      <c r="A94" s="99"/>
      <c r="B94" s="100"/>
      <c r="C94" s="13" t="s">
        <v>794</v>
      </c>
      <c r="D94" s="4" t="s">
        <v>795</v>
      </c>
      <c r="E94" s="4" t="s">
        <v>796</v>
      </c>
      <c r="F94" s="13" t="s">
        <v>338</v>
      </c>
      <c r="G94" s="4" t="s">
        <v>612</v>
      </c>
      <c r="H94" s="4" t="s">
        <v>810</v>
      </c>
      <c r="I94" s="13">
        <v>1</v>
      </c>
      <c r="J94" s="13">
        <v>5</v>
      </c>
      <c r="K94" s="4">
        <v>1</v>
      </c>
      <c r="L94" s="4">
        <v>1</v>
      </c>
      <c r="N94" s="4" t="str">
        <v/>
      </c>
      <c r="O94" s="4" t="str">
        <v/>
      </c>
      <c r="P94" s="4" t="str">
        <v/>
      </c>
      <c r="Q94" s="15" t="str">
        <v>e</v>
      </c>
      <c r="R94" s="4" t="str">
        <v>e</v>
      </c>
      <c r="S94" s="4" t="str">
        <v>e</v>
      </c>
      <c r="T94" s="4" t="str">
        <v>e</v>
      </c>
      <c r="U94" s="4" t="str">
        <v>g</v>
      </c>
      <c r="V94" s="4" t="str">
        <v>g</v>
      </c>
      <c r="W94" s="6" t="str">
        <v>d</v>
      </c>
      <c r="X94" s="6" t="str">
        <v>d</v>
      </c>
      <c r="Y94" s="6" t="str">
        <v>d</v>
      </c>
      <c r="Z94" s="6" t="str">
        <v>d</v>
      </c>
      <c r="AA94" s="6" t="str">
        <v>f</v>
      </c>
      <c r="AB94" s="6" t="str">
        <v>f</v>
      </c>
      <c r="AC94" s="6"/>
      <c r="AD94" s="6"/>
      <c r="AE94" s="6"/>
      <c r="AF94" s="6"/>
      <c r="AJ94" s="4" t="str">
        <v>r3</v>
      </c>
      <c r="AK94" s="4">
        <v>24</v>
      </c>
      <c r="AL94" s="4">
        <v>9</v>
      </c>
      <c r="AM94" s="4">
        <v>15</v>
      </c>
    </row>
    <row r="95" spans="1:49" x14ac:dyDescent="0.15">
      <c r="A95" s="99"/>
      <c r="B95" s="100"/>
      <c r="C95" s="13" t="s">
        <v>794</v>
      </c>
      <c r="D95" s="4" t="s">
        <v>797</v>
      </c>
      <c r="E95" s="4" t="s">
        <v>798</v>
      </c>
      <c r="F95" s="13" t="s">
        <v>338</v>
      </c>
      <c r="G95" s="4" t="s">
        <v>498</v>
      </c>
      <c r="H95" s="4" t="s">
        <v>811</v>
      </c>
      <c r="I95" s="13">
        <v>6</v>
      </c>
      <c r="J95" s="13">
        <v>9</v>
      </c>
      <c r="K95" s="4">
        <v>0</v>
      </c>
      <c r="L95" s="4">
        <v>1</v>
      </c>
      <c r="N95" s="4" t="str">
        <v/>
      </c>
      <c r="O95" s="4" t="str">
        <v/>
      </c>
      <c r="P95" s="4" t="str">
        <v/>
      </c>
      <c r="Q95" s="15" t="str">
        <v>c2-1-1</v>
      </c>
      <c r="R95" s="4" t="str">
        <v>c2-1-1</v>
      </c>
      <c r="S95" s="4" t="str">
        <v>c2-1-2</v>
      </c>
      <c r="T95" s="4" t="str">
        <v>c2-1-2</v>
      </c>
      <c r="U95" s="4" t="str">
        <v>c2-2-2</v>
      </c>
      <c r="V95" s="4" t="str">
        <v>c2-2-2</v>
      </c>
      <c r="W95" s="6" t="str">
        <v>c1-2-1</v>
      </c>
      <c r="X95" s="6" t="str">
        <v>c1-2-1</v>
      </c>
      <c r="Y95" s="6" t="str">
        <v>c1-2-2</v>
      </c>
      <c r="Z95" s="6" t="str">
        <v>c1-2-2</v>
      </c>
      <c r="AA95" s="6" t="str">
        <v>c1-1-1</v>
      </c>
      <c r="AB95" s="6" t="str">
        <v>c1-1-1</v>
      </c>
      <c r="AC95" s="6"/>
      <c r="AD95" s="6"/>
      <c r="AE95" s="6"/>
      <c r="AF95" s="6"/>
      <c r="AJ95" s="4" t="str">
        <v>r2</v>
      </c>
      <c r="AK95" s="4">
        <v>29</v>
      </c>
      <c r="AL95" s="4">
        <v>7</v>
      </c>
      <c r="AM95" s="4">
        <v>22</v>
      </c>
    </row>
    <row r="96" spans="1:49" ht="15" x14ac:dyDescent="0.2">
      <c r="A96" s="99"/>
      <c r="B96" s="100"/>
      <c r="C96" s="13" t="s">
        <v>818</v>
      </c>
      <c r="D96" s="4" t="s">
        <v>799</v>
      </c>
      <c r="E96" s="4" t="s">
        <v>800</v>
      </c>
      <c r="F96" s="13" t="s">
        <v>338</v>
      </c>
      <c r="G96" s="4" t="s">
        <v>612</v>
      </c>
      <c r="H96" s="4" t="s">
        <v>812</v>
      </c>
      <c r="I96" s="13">
        <v>-9</v>
      </c>
      <c r="J96" s="13">
        <v>8</v>
      </c>
      <c r="K96" s="4">
        <v>0</v>
      </c>
      <c r="L96" s="4" t="e">
        <v>#VALUE!</v>
      </c>
      <c r="N96" s="4" t="str">
        <v>r2</v>
      </c>
      <c r="O96" s="4" t="str">
        <v>r2-1</v>
      </c>
      <c r="P96" s="4" t="str">
        <v>r2-1-1</v>
      </c>
      <c r="Q96" s="15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6">
        <v>1</v>
      </c>
      <c r="X96" s="6">
        <v>5</v>
      </c>
      <c r="Y96" s="6" t="str">
        <v/>
      </c>
      <c r="Z96" s="6" t="str">
        <v/>
      </c>
      <c r="AA96" s="6" t="str">
        <v/>
      </c>
      <c r="AB96" s="6" t="str">
        <v/>
      </c>
      <c r="AC96" s="6"/>
      <c r="AD96" s="6"/>
      <c r="AE96" s="6" t="str" cm="1">
        <f t="array" ref="AE96:AH99">_xlfn.PIVOTBY(LOOKUP!C93:C111,LOOKUP!F93:F111,LOOKUP!I93:I111,_xleta.PERCENTOF,1,1,1,1,1,LOOKUP!K93:K111,0)</f>
        <v/>
      </c>
      <c r="AF96" s="6" t="str">
        <v>a</v>
      </c>
      <c r="AG96" s="4" t="str">
        <v>b</v>
      </c>
      <c r="AH96" s="4" t="str">
        <v>Total</v>
      </c>
      <c r="AJ96" s="4" t="str" cm="1">
        <f t="array" ref="AJ96:AM99">_xlfn.PIVOTBY(LOOKUP!C93:C111,LOOKUP!F93:F111,LOOKUP!I93:I111,_xleta.SUM,1,1,2,1,2,LOOKUP!K93:K111)</f>
        <v/>
      </c>
      <c r="AK96" s="4" t="str">
        <v>b</v>
      </c>
      <c r="AL96" s="4" t="str">
        <v>a</v>
      </c>
      <c r="AM96" s="4" t="str">
        <v>Total</v>
      </c>
      <c r="AR96" s="72" t="str" cm="1">
        <f t="array" ref="AR96:AW99">_xlfn.PIVOTBY(C93:C111,F93:G111,I93:I111,_xleta.SUM,1,0,2,1,3,K93:K111)</f>
        <v/>
      </c>
      <c r="AS96" s="4" t="str">
        <v>a</v>
      </c>
      <c r="AT96" s="4" t="str">
        <v>a</v>
      </c>
      <c r="AU96" s="4" t="str">
        <v>b</v>
      </c>
      <c r="AV96" s="4" t="str">
        <v>b</v>
      </c>
      <c r="AW96" s="4" t="str">
        <v>Total</v>
      </c>
    </row>
    <row r="97" spans="1:49" x14ac:dyDescent="0.15">
      <c r="A97" s="99"/>
      <c r="B97" s="100"/>
      <c r="C97" s="13" t="s">
        <v>794</v>
      </c>
      <c r="D97" s="4" t="s">
        <v>797</v>
      </c>
      <c r="E97" s="4" t="s">
        <v>801</v>
      </c>
      <c r="F97" s="13" t="s">
        <v>338</v>
      </c>
      <c r="G97" s="4" t="s">
        <v>612</v>
      </c>
      <c r="H97" s="4" t="s">
        <v>812</v>
      </c>
      <c r="I97" s="13">
        <v>-1</v>
      </c>
      <c r="J97" s="13">
        <v>7</v>
      </c>
      <c r="K97" s="4">
        <v>1</v>
      </c>
      <c r="L97" s="4">
        <v>1</v>
      </c>
      <c r="N97" s="4" t="str">
        <v>r2</v>
      </c>
      <c r="O97" s="4" t="str">
        <v>r2-1</v>
      </c>
      <c r="P97" s="4" t="str">
        <v>r2-1-2</v>
      </c>
      <c r="Q97" s="15">
        <v>8</v>
      </c>
      <c r="R97" s="4">
        <v>-7</v>
      </c>
      <c r="S97" s="4" t="str">
        <v/>
      </c>
      <c r="T97" s="4" t="str">
        <v/>
      </c>
      <c r="U97" s="4" t="str">
        <v/>
      </c>
      <c r="V97" s="4" t="str">
        <v/>
      </c>
      <c r="W97" s="6" t="str">
        <v/>
      </c>
      <c r="X97" s="6" t="str">
        <v/>
      </c>
      <c r="Y97" s="6" t="str">
        <v/>
      </c>
      <c r="Z97" s="6" t="str">
        <v/>
      </c>
      <c r="AA97" s="6" t="str">
        <v/>
      </c>
      <c r="AB97" s="6" t="str">
        <v/>
      </c>
      <c r="AC97" s="6"/>
      <c r="AD97" s="6"/>
      <c r="AE97" s="6" t="str">
        <v>r2</v>
      </c>
      <c r="AF97" s="18">
        <v>0.59459459459459463</v>
      </c>
      <c r="AG97" s="4">
        <v>0.4375</v>
      </c>
      <c r="AH97" s="4">
        <v>0.54716981132075471</v>
      </c>
      <c r="AJ97" s="4" t="str">
        <v>r3</v>
      </c>
      <c r="AK97" s="4">
        <v>9</v>
      </c>
      <c r="AL97" s="4">
        <v>15</v>
      </c>
      <c r="AM97" s="4">
        <v>24</v>
      </c>
      <c r="AR97" s="4" t="str">
        <v/>
      </c>
      <c r="AS97" s="4" t="str">
        <v>g</v>
      </c>
      <c r="AT97" s="4" t="str">
        <v>e</v>
      </c>
      <c r="AU97" s="4" t="str">
        <v>d</v>
      </c>
      <c r="AV97" s="4" t="str">
        <v>f</v>
      </c>
      <c r="AW97" s="4" t="str">
        <v/>
      </c>
    </row>
    <row r="98" spans="1:49" x14ac:dyDescent="0.15">
      <c r="A98" s="99"/>
      <c r="B98" s="100"/>
      <c r="C98" s="13" t="s">
        <v>818</v>
      </c>
      <c r="D98" s="4" t="s">
        <v>802</v>
      </c>
      <c r="E98" s="4" t="s">
        <v>803</v>
      </c>
      <c r="F98" s="13" t="s">
        <v>338</v>
      </c>
      <c r="G98" s="4" t="s">
        <v>612</v>
      </c>
      <c r="H98" s="4" t="s">
        <v>810</v>
      </c>
      <c r="I98" s="13" t="e">
        <v>#VALUE!</v>
      </c>
      <c r="J98" s="13">
        <v>3</v>
      </c>
      <c r="K98" s="4">
        <v>0</v>
      </c>
      <c r="L98" s="4">
        <v>0</v>
      </c>
      <c r="N98" s="4" t="str">
        <v>r2</v>
      </c>
      <c r="O98" s="4" t="str">
        <v>r2-2</v>
      </c>
      <c r="P98" s="4" t="str">
        <v>r2-2-1</v>
      </c>
      <c r="Q98" s="15" t="str">
        <v/>
      </c>
      <c r="R98" s="4" t="str">
        <v/>
      </c>
      <c r="S98" s="4" t="str">
        <v/>
      </c>
      <c r="T98" s="4" t="str">
        <v/>
      </c>
      <c r="U98" s="4">
        <v>14</v>
      </c>
      <c r="V98" s="4">
        <v>-2</v>
      </c>
      <c r="W98" s="6" t="str">
        <v/>
      </c>
      <c r="X98" s="6" t="str">
        <v/>
      </c>
      <c r="Y98" s="6">
        <v>-1</v>
      </c>
      <c r="Z98" s="6">
        <v>7</v>
      </c>
      <c r="AA98" s="6" t="str">
        <v/>
      </c>
      <c r="AB98" s="6" t="str">
        <v/>
      </c>
      <c r="AC98" s="6"/>
      <c r="AD98" s="6"/>
      <c r="AE98" s="6" t="str">
        <v>r3</v>
      </c>
      <c r="AF98" s="6">
        <v>0.40540540540540543</v>
      </c>
      <c r="AG98" s="4">
        <v>0.5625</v>
      </c>
      <c r="AH98" s="4">
        <v>0.45283018867924529</v>
      </c>
      <c r="AJ98" s="4" t="str">
        <v>r2</v>
      </c>
      <c r="AK98" s="4">
        <v>7</v>
      </c>
      <c r="AL98" s="4">
        <v>22</v>
      </c>
      <c r="AM98" s="4">
        <v>29</v>
      </c>
      <c r="AR98" s="4" t="str">
        <v>r3</v>
      </c>
      <c r="AS98" s="4" t="str">
        <v/>
      </c>
      <c r="AT98" s="4">
        <v>15</v>
      </c>
      <c r="AU98" s="4" t="str">
        <v/>
      </c>
      <c r="AV98" s="4">
        <v>9</v>
      </c>
      <c r="AW98" s="4">
        <v>24</v>
      </c>
    </row>
    <row r="99" spans="1:49" x14ac:dyDescent="0.15">
      <c r="A99" s="99"/>
      <c r="B99" s="100"/>
      <c r="C99" s="13" t="s">
        <v>794</v>
      </c>
      <c r="D99" s="4" t="s">
        <v>795</v>
      </c>
      <c r="E99" s="4" t="s">
        <v>804</v>
      </c>
      <c r="F99" s="13" t="s">
        <v>338</v>
      </c>
      <c r="G99" s="4" t="s">
        <v>612</v>
      </c>
      <c r="H99" s="4" t="s">
        <v>810</v>
      </c>
      <c r="I99" s="13">
        <v>3</v>
      </c>
      <c r="J99" s="13">
        <v>-7</v>
      </c>
      <c r="K99" s="4">
        <v>0</v>
      </c>
      <c r="L99" s="4">
        <v>0</v>
      </c>
      <c r="N99" s="4" t="str">
        <v>r2</v>
      </c>
      <c r="O99" s="4" t="str">
        <v>r2-2</v>
      </c>
      <c r="P99" s="4" t="str">
        <v>r2-2-2</v>
      </c>
      <c r="Q99" s="15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6">
        <v>7</v>
      </c>
      <c r="X99" s="6">
        <v>-1</v>
      </c>
      <c r="Y99" s="6" t="str">
        <v/>
      </c>
      <c r="Z99" s="6" t="str">
        <v/>
      </c>
      <c r="AA99" s="6" t="str">
        <v/>
      </c>
      <c r="AB99" s="6" t="str">
        <v/>
      </c>
      <c r="AC99" s="6"/>
      <c r="AD99" s="6"/>
      <c r="AE99" s="6" t="str">
        <v>Total</v>
      </c>
      <c r="AF99" s="6">
        <v>1</v>
      </c>
      <c r="AG99" s="4">
        <v>1</v>
      </c>
      <c r="AH99" s="4">
        <v>1</v>
      </c>
      <c r="AJ99" s="4" t="str">
        <v>Total</v>
      </c>
      <c r="AK99" s="4">
        <v>16</v>
      </c>
      <c r="AL99" s="4">
        <v>37</v>
      </c>
      <c r="AM99" s="4">
        <v>53</v>
      </c>
      <c r="AR99" s="4" t="str">
        <v>r2</v>
      </c>
      <c r="AS99" s="4">
        <v>14</v>
      </c>
      <c r="AT99" s="4">
        <v>8</v>
      </c>
      <c r="AU99" s="4">
        <v>7</v>
      </c>
      <c r="AV99" s="4" t="str">
        <v/>
      </c>
      <c r="AW99" s="4">
        <v>29</v>
      </c>
    </row>
    <row r="100" spans="1:49" x14ac:dyDescent="0.15">
      <c r="A100" s="99"/>
      <c r="B100" s="100"/>
      <c r="C100" s="13" t="s">
        <v>818</v>
      </c>
      <c r="D100" s="4" t="s">
        <v>802</v>
      </c>
      <c r="E100" s="4" t="s">
        <v>805</v>
      </c>
      <c r="F100" s="13" t="s">
        <v>411</v>
      </c>
      <c r="G100" s="4" t="s">
        <v>665</v>
      </c>
      <c r="H100" s="4" t="s">
        <v>813</v>
      </c>
      <c r="I100" s="13">
        <v>7</v>
      </c>
      <c r="J100" s="13">
        <v>-4</v>
      </c>
      <c r="K100" s="4">
        <v>1</v>
      </c>
      <c r="L100" s="4">
        <v>1</v>
      </c>
      <c r="N100" s="4" t="str">
        <v>r3</v>
      </c>
      <c r="O100" s="4" t="str">
        <v>r1-1</v>
      </c>
      <c r="P100" s="4" t="str">
        <v>r1-1-2</v>
      </c>
      <c r="Q100" s="15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6" t="str">
        <v/>
      </c>
      <c r="X100" s="6" t="str">
        <v/>
      </c>
      <c r="Y100" s="6" t="str">
        <v/>
      </c>
      <c r="Z100" s="6" t="str">
        <v/>
      </c>
      <c r="AA100" s="6">
        <v>9</v>
      </c>
      <c r="AB100" s="6">
        <v>3</v>
      </c>
      <c r="AC100" s="6"/>
      <c r="AD100" s="6"/>
      <c r="AE100" s="6" t="str" cm="1">
        <f t="array" ref="AE100:AH103">_xlfn.PIVOTBY(LOOKUP!C93:C111,LOOKUP!F93:F111,LOOKUP!I93:I111,_xleta.PERCENTOF,1,1,1,1,1,LOOKUP!K93:K111,1)</f>
        <v/>
      </c>
      <c r="AF100" s="6" t="str">
        <v>a</v>
      </c>
      <c r="AG100" s="4" t="str">
        <v>b</v>
      </c>
      <c r="AH100" s="4" t="str">
        <v>Total</v>
      </c>
    </row>
    <row r="101" spans="1:49" ht="15" x14ac:dyDescent="0.2">
      <c r="A101" s="99"/>
      <c r="B101" s="100"/>
      <c r="C101" s="13" t="s">
        <v>794</v>
      </c>
      <c r="D101" s="4" t="s">
        <v>797</v>
      </c>
      <c r="E101" s="4" t="s">
        <v>798</v>
      </c>
      <c r="F101" s="13" t="s">
        <v>411</v>
      </c>
      <c r="G101" s="4" t="s">
        <v>665</v>
      </c>
      <c r="H101" s="4" t="s">
        <v>813</v>
      </c>
      <c r="I101" s="13">
        <v>-4</v>
      </c>
      <c r="J101" s="13">
        <v>1</v>
      </c>
      <c r="K101" s="4">
        <v>0</v>
      </c>
      <c r="L101" s="4">
        <v>0</v>
      </c>
      <c r="N101" s="4" t="str">
        <v>r3</v>
      </c>
      <c r="O101" s="4" t="str">
        <v>r1-2</v>
      </c>
      <c r="P101" s="4" t="str">
        <v>r1-2-1</v>
      </c>
      <c r="Q101" s="15" t="str">
        <v/>
      </c>
      <c r="R101" s="4" t="str">
        <v/>
      </c>
      <c r="S101" s="4">
        <v>7</v>
      </c>
      <c r="T101" s="4">
        <v>-4</v>
      </c>
      <c r="U101" s="4" t="str">
        <v/>
      </c>
      <c r="V101" s="4" t="str">
        <v/>
      </c>
      <c r="W101" s="6" t="str">
        <v/>
      </c>
      <c r="X101" s="6" t="str">
        <v/>
      </c>
      <c r="Y101" s="6" t="str">
        <v/>
      </c>
      <c r="Z101" s="6" t="str">
        <v/>
      </c>
      <c r="AA101" s="6" t="str">
        <v/>
      </c>
      <c r="AB101" s="6" t="str">
        <v/>
      </c>
      <c r="AC101" s="6"/>
      <c r="AD101" s="6"/>
      <c r="AE101" s="6" t="str">
        <v>r2</v>
      </c>
      <c r="AF101" s="6">
        <v>0.75862068965517238</v>
      </c>
      <c r="AG101" s="4">
        <v>0.2413793103448276</v>
      </c>
      <c r="AH101" s="4">
        <v>1</v>
      </c>
      <c r="AJ101" s="4" t="str" cm="1">
        <f t="array" ref="AJ101:AO105">_xlfn.PIVOTBY(LOOKUP!C93:C111,LOOKUP!F93:G111,LOOKUP!I93:I111,_xleta.SUM,1,1,1,1,{1,-2},LOOKUP!K93:K111)</f>
        <v/>
      </c>
      <c r="AK101" s="4" t="str">
        <v>a</v>
      </c>
      <c r="AL101" s="4" t="str">
        <v>a</v>
      </c>
      <c r="AM101" s="4" t="str">
        <v>b</v>
      </c>
      <c r="AN101" s="4" t="str">
        <v>b</v>
      </c>
      <c r="AO101" s="4" t="str">
        <v>Total</v>
      </c>
      <c r="AP101" s="72" t="str" cm="1">
        <f t="array" ref="AP101:AU105">_xlfn.PIVOTBY(C93:C111,F93:G111,I93:I111,_xleta.SUM,1,1,2,1,3,K93:K111)</f>
        <v/>
      </c>
      <c r="AQ101" s="4" t="str">
        <v>a</v>
      </c>
      <c r="AR101" s="4" t="str">
        <v>a</v>
      </c>
      <c r="AS101" s="4" t="str">
        <v>b</v>
      </c>
      <c r="AT101" s="4" t="str">
        <v>b</v>
      </c>
      <c r="AU101" s="4" t="str">
        <v>Total</v>
      </c>
    </row>
    <row r="102" spans="1:49" x14ac:dyDescent="0.15">
      <c r="A102" s="99"/>
      <c r="B102" s="100"/>
      <c r="C102" s="13" t="s">
        <v>794</v>
      </c>
      <c r="D102" s="4" t="s">
        <v>795</v>
      </c>
      <c r="E102" s="4" t="s">
        <v>804</v>
      </c>
      <c r="F102" s="13" t="s">
        <v>411</v>
      </c>
      <c r="G102" s="4" t="s">
        <v>665</v>
      </c>
      <c r="H102" s="4" t="s">
        <v>813</v>
      </c>
      <c r="I102" s="13">
        <v>-7</v>
      </c>
      <c r="J102" s="13">
        <v>6</v>
      </c>
      <c r="K102" s="4">
        <v>0</v>
      </c>
      <c r="L102" s="4">
        <v>0</v>
      </c>
      <c r="N102" s="4" t="str">
        <v>r3</v>
      </c>
      <c r="O102" s="4" t="str">
        <v>r1-2</v>
      </c>
      <c r="P102" s="4" t="str">
        <v>r1-2-2</v>
      </c>
      <c r="Q102" s="15" t="str">
        <v/>
      </c>
      <c r="R102" s="4" t="str">
        <v/>
      </c>
      <c r="S102" s="4">
        <v>8</v>
      </c>
      <c r="T102" s="4">
        <v>-4</v>
      </c>
      <c r="U102" s="4" t="str">
        <v/>
      </c>
      <c r="V102" s="4" t="str">
        <v/>
      </c>
      <c r="W102" s="6" t="str">
        <v/>
      </c>
      <c r="X102" s="6" t="str">
        <v/>
      </c>
      <c r="Y102" s="6" t="str">
        <v/>
      </c>
      <c r="Z102" s="6" t="str">
        <v/>
      </c>
      <c r="AA102" s="6" t="str">
        <v/>
      </c>
      <c r="AB102" s="6" t="str">
        <v/>
      </c>
      <c r="AC102" s="6"/>
      <c r="AD102" s="6"/>
      <c r="AE102" s="6" t="str">
        <v>r3</v>
      </c>
      <c r="AF102" s="6">
        <v>0.625</v>
      </c>
      <c r="AG102" s="4">
        <v>0.375</v>
      </c>
      <c r="AH102" s="4">
        <v>1</v>
      </c>
      <c r="AJ102" s="4" t="str">
        <v/>
      </c>
      <c r="AK102" s="4" t="str">
        <v>g</v>
      </c>
      <c r="AL102" s="4" t="str">
        <v>e</v>
      </c>
      <c r="AM102" s="4" t="str">
        <v>f</v>
      </c>
      <c r="AN102" s="4" t="str">
        <v>d</v>
      </c>
      <c r="AO102" s="4" t="str">
        <v/>
      </c>
      <c r="AP102" s="4" t="str">
        <v/>
      </c>
      <c r="AQ102" s="4" t="str">
        <v>g</v>
      </c>
      <c r="AR102" s="4" t="str">
        <v>e</v>
      </c>
      <c r="AS102" s="4" t="str">
        <v>d</v>
      </c>
      <c r="AT102" s="4" t="str">
        <v>f</v>
      </c>
      <c r="AU102" s="4" t="str">
        <v/>
      </c>
    </row>
    <row r="103" spans="1:49" x14ac:dyDescent="0.15">
      <c r="A103" s="99"/>
      <c r="B103" s="100"/>
      <c r="C103" s="13" t="s">
        <v>794</v>
      </c>
      <c r="D103" s="4" t="s">
        <v>797</v>
      </c>
      <c r="E103" s="4" t="s">
        <v>801</v>
      </c>
      <c r="F103" s="13" t="s">
        <v>411</v>
      </c>
      <c r="G103" s="4" t="s">
        <v>616</v>
      </c>
      <c r="H103" s="4" t="s">
        <v>814</v>
      </c>
      <c r="I103" s="13">
        <v>9</v>
      </c>
      <c r="J103" s="13">
        <v>-9</v>
      </c>
      <c r="K103" s="4">
        <v>1</v>
      </c>
      <c r="L103" s="4">
        <v>1</v>
      </c>
      <c r="N103" s="4" t="str">
        <v>Total</v>
      </c>
      <c r="O103" s="4" t="str">
        <v/>
      </c>
      <c r="P103" s="4" t="str">
        <v/>
      </c>
      <c r="Q103" s="15">
        <v>8</v>
      </c>
      <c r="R103" s="4">
        <v>-7</v>
      </c>
      <c r="S103" s="4">
        <v>15</v>
      </c>
      <c r="T103" s="4">
        <v>-8</v>
      </c>
      <c r="U103" s="4">
        <v>14</v>
      </c>
      <c r="V103" s="4">
        <v>-2</v>
      </c>
      <c r="W103" s="6">
        <v>8</v>
      </c>
      <c r="X103" s="6">
        <v>4</v>
      </c>
      <c r="Y103" s="6">
        <v>-1</v>
      </c>
      <c r="Z103" s="6">
        <v>7</v>
      </c>
      <c r="AA103" s="6">
        <v>9</v>
      </c>
      <c r="AB103" s="6">
        <v>3</v>
      </c>
      <c r="AC103" s="6"/>
      <c r="AD103" s="6"/>
      <c r="AE103" s="6" t="str">
        <v>Total</v>
      </c>
      <c r="AF103" s="6">
        <v>0.69811320754716977</v>
      </c>
      <c r="AG103" s="4">
        <v>0.30188679245283018</v>
      </c>
      <c r="AH103" s="4">
        <v>1</v>
      </c>
      <c r="AJ103" s="4" t="str">
        <v>r2</v>
      </c>
      <c r="AK103" s="4">
        <v>14</v>
      </c>
      <c r="AL103" s="4">
        <v>8</v>
      </c>
      <c r="AM103" s="4" t="str">
        <v/>
      </c>
      <c r="AN103" s="4">
        <v>7</v>
      </c>
      <c r="AO103" s="4">
        <v>29</v>
      </c>
      <c r="AP103" s="4" t="str">
        <v>r3</v>
      </c>
      <c r="AQ103" s="4" t="str">
        <v/>
      </c>
      <c r="AR103" s="4">
        <v>15</v>
      </c>
      <c r="AS103" s="4" t="str">
        <v/>
      </c>
      <c r="AT103" s="4">
        <v>9</v>
      </c>
      <c r="AU103" s="4">
        <v>24</v>
      </c>
    </row>
    <row r="104" spans="1:49" x14ac:dyDescent="0.15">
      <c r="A104" s="99"/>
      <c r="B104" s="100"/>
      <c r="C104" s="13" t="s">
        <v>794</v>
      </c>
      <c r="D104" s="4" t="s">
        <v>797</v>
      </c>
      <c r="E104" s="4" t="s">
        <v>798</v>
      </c>
      <c r="F104" s="13" t="s">
        <v>338</v>
      </c>
      <c r="G104" s="4" t="s">
        <v>612</v>
      </c>
      <c r="H104" s="4" t="s">
        <v>810</v>
      </c>
      <c r="I104" s="13">
        <v>7</v>
      </c>
      <c r="J104" s="13">
        <v>-1</v>
      </c>
      <c r="K104" s="4">
        <v>1</v>
      </c>
      <c r="L104" s="4">
        <v>1</v>
      </c>
      <c r="Q104" s="15"/>
      <c r="W104" s="6"/>
      <c r="X104" s="6"/>
      <c r="Y104" s="6"/>
      <c r="Z104" s="6"/>
      <c r="AA104" s="6"/>
      <c r="AB104" s="6"/>
      <c r="AC104" s="6"/>
      <c r="AD104" s="6"/>
      <c r="AE104" s="6" t="str" cm="1">
        <f t="array" ref="AE104:AH107">_xlfn.PIVOTBY(LOOKUP!C93:C111,LOOKUP!F93:F111,LOOKUP!I93:I111,_xleta.PERCENTOF,1,1,1,1,1,LOOKUP!K93:K111,2)</f>
        <v/>
      </c>
      <c r="AF104" s="6" t="str">
        <v>a</v>
      </c>
      <c r="AG104" s="4" t="str">
        <v>b</v>
      </c>
      <c r="AH104" s="4" t="str">
        <v>Total</v>
      </c>
      <c r="AJ104" s="4" t="str">
        <v>r3</v>
      </c>
      <c r="AK104" s="4" t="str">
        <v/>
      </c>
      <c r="AL104" s="4">
        <v>15</v>
      </c>
      <c r="AM104" s="4">
        <v>9</v>
      </c>
      <c r="AN104" s="4" t="str">
        <v/>
      </c>
      <c r="AO104" s="4">
        <v>24</v>
      </c>
      <c r="AP104" s="4" t="str">
        <v>r2</v>
      </c>
      <c r="AQ104" s="4">
        <v>14</v>
      </c>
      <c r="AR104" s="4">
        <v>8</v>
      </c>
      <c r="AS104" s="4">
        <v>7</v>
      </c>
      <c r="AT104" s="4" t="str">
        <v/>
      </c>
      <c r="AU104" s="4">
        <v>29</v>
      </c>
    </row>
    <row r="105" spans="1:49" x14ac:dyDescent="0.15">
      <c r="A105" s="99"/>
      <c r="B105" s="100"/>
      <c r="C105" s="13" t="s">
        <v>794</v>
      </c>
      <c r="D105" s="4" t="s">
        <v>797</v>
      </c>
      <c r="E105" s="4" t="s">
        <v>801</v>
      </c>
      <c r="F105" s="13" t="s">
        <v>411</v>
      </c>
      <c r="G105" s="4" t="s">
        <v>616</v>
      </c>
      <c r="H105" s="4" t="s">
        <v>814</v>
      </c>
      <c r="I105" s="13">
        <v>5</v>
      </c>
      <c r="J105" s="13">
        <v>7</v>
      </c>
      <c r="K105" s="4">
        <v>1</v>
      </c>
      <c r="L105" s="4">
        <v>1</v>
      </c>
      <c r="N105" s="4" t="e" cm="1">
        <f t="array" ref="N105">_xlfn.PIVOTBY(C93:E111,F93:H111,I93:J111,_xleta.SUM,1,1,1,0,1,L93:L111)</f>
        <v>#VALUE!</v>
      </c>
      <c r="Q105" s="15"/>
      <c r="R105" s="4" t="str" cm="1">
        <f t="array" ref="R105:U108">_xlfn.PIVOTBY({"r2";"r2";"r3";"r2";"r2";"r2";"r3";"r2";"r3"},{"c1";"c1";"c2";"c2";"c1";"c2";"c1";"c2";"c2"},{1;-1;-7;-1;7;5;9;8;-8},_xleta.SUM,0,1,1,1,1,{1;1;1;1;1;1;1;1;1},3)</f>
        <v/>
      </c>
      <c r="S105" s="4" t="str">
        <v>c1</v>
      </c>
      <c r="T105" s="4" t="str">
        <v>c2</v>
      </c>
      <c r="U105" s="4" t="str">
        <v>Total</v>
      </c>
      <c r="W105" s="6"/>
      <c r="X105" s="6"/>
      <c r="Y105" s="6"/>
      <c r="Z105" s="6"/>
      <c r="AA105" s="6"/>
      <c r="AB105" s="6"/>
      <c r="AC105" s="6"/>
      <c r="AD105" s="6"/>
      <c r="AE105" s="6" t="str">
        <v>r2</v>
      </c>
      <c r="AF105" s="6">
        <v>0.41509433962264153</v>
      </c>
      <c r="AG105" s="4">
        <v>0.13207547169811321</v>
      </c>
      <c r="AH105" s="4">
        <v>0.54716981132075471</v>
      </c>
      <c r="AJ105" s="4" t="str">
        <v>Total</v>
      </c>
      <c r="AK105" s="4">
        <v>14</v>
      </c>
      <c r="AL105" s="4">
        <v>23</v>
      </c>
      <c r="AM105" s="4">
        <v>9</v>
      </c>
      <c r="AN105" s="4">
        <v>7</v>
      </c>
      <c r="AO105" s="4">
        <v>53</v>
      </c>
      <c r="AP105" s="4" t="str">
        <v>Total</v>
      </c>
      <c r="AQ105" s="4">
        <v>14</v>
      </c>
      <c r="AR105" s="4">
        <v>23</v>
      </c>
      <c r="AS105" s="4">
        <v>7</v>
      </c>
      <c r="AT105" s="4">
        <v>9</v>
      </c>
      <c r="AU105" s="4">
        <v>53</v>
      </c>
    </row>
    <row r="106" spans="1:49" x14ac:dyDescent="0.15">
      <c r="A106" s="99"/>
      <c r="B106" s="100"/>
      <c r="C106" s="13" t="s">
        <v>818</v>
      </c>
      <c r="D106" s="4" t="s">
        <v>799</v>
      </c>
      <c r="E106" s="4" t="s">
        <v>800</v>
      </c>
      <c r="F106" s="13" t="s">
        <v>338</v>
      </c>
      <c r="G106" s="4" t="s">
        <v>498</v>
      </c>
      <c r="H106" s="4" t="s">
        <v>815</v>
      </c>
      <c r="I106" s="13">
        <v>9</v>
      </c>
      <c r="J106" s="13">
        <v>3</v>
      </c>
      <c r="K106" s="4">
        <v>1</v>
      </c>
      <c r="L106" s="4">
        <v>1</v>
      </c>
      <c r="N106" s="4" t="str" cm="1">
        <f t="array" ref="N106:Q109">_xlfn.PIVOTBY({"r2";"r2";"r3";"r2";"r2";"r2";"r3";"r2";"r3"},{"c1";"c1";"c2";"c2";"c1";"c2";"c1";"c2";"c2"},{1;-1;-7;-1;7;5;9;8;-8},_xleta.PERCENTOF,0,1,1,1,1,{1;1;1;1;1;1;1;1;1},3)</f>
        <v/>
      </c>
      <c r="O106" s="4" t="str">
        <v>c1</v>
      </c>
      <c r="P106" s="4" t="str">
        <v>c2</v>
      </c>
      <c r="Q106" s="15" t="str">
        <v>Total</v>
      </c>
      <c r="R106" s="4" t="str">
        <v>r2</v>
      </c>
      <c r="S106" s="4">
        <v>7</v>
      </c>
      <c r="T106" s="4">
        <v>12</v>
      </c>
      <c r="U106" s="4">
        <v>19</v>
      </c>
      <c r="W106" s="6"/>
      <c r="X106" s="6"/>
      <c r="Y106" s="6"/>
      <c r="Z106" s="6"/>
      <c r="AA106" s="6"/>
      <c r="AB106" s="6"/>
      <c r="AC106" s="6"/>
      <c r="AD106" s="6"/>
      <c r="AE106" s="6" t="str">
        <v>r3</v>
      </c>
      <c r="AF106" s="6">
        <v>0.28301886792452829</v>
      </c>
      <c r="AG106" s="4">
        <v>0.16981132075471697</v>
      </c>
      <c r="AH106" s="4">
        <v>0.45283018867924529</v>
      </c>
    </row>
    <row r="107" spans="1:49" x14ac:dyDescent="0.15">
      <c r="A107" s="99"/>
      <c r="B107" s="100"/>
      <c r="C107" s="13" t="s">
        <v>794</v>
      </c>
      <c r="D107" s="4" t="s">
        <v>795</v>
      </c>
      <c r="E107" s="4" t="s">
        <v>804</v>
      </c>
      <c r="F107" s="13" t="s">
        <v>411</v>
      </c>
      <c r="G107" s="4" t="s">
        <v>665</v>
      </c>
      <c r="H107" s="4" t="s">
        <v>816</v>
      </c>
      <c r="I107" s="13">
        <v>8</v>
      </c>
      <c r="J107" s="13">
        <v>-7</v>
      </c>
      <c r="K107" s="4">
        <v>1</v>
      </c>
      <c r="L107" s="4">
        <v>1</v>
      </c>
      <c r="N107" s="4" t="str">
        <v>r2</v>
      </c>
      <c r="O107" s="71">
        <v>0.36842105263157893</v>
      </c>
      <c r="P107" s="4">
        <v>0.63157894736842102</v>
      </c>
      <c r="Q107" s="15">
        <v>1</v>
      </c>
      <c r="R107" s="4" t="str">
        <v>r3</v>
      </c>
      <c r="S107" s="4">
        <v>9</v>
      </c>
      <c r="T107" s="4">
        <v>-15</v>
      </c>
      <c r="U107" s="4">
        <v>-6</v>
      </c>
      <c r="W107" s="6"/>
      <c r="X107" s="6"/>
      <c r="Y107" s="6"/>
      <c r="Z107" s="6"/>
      <c r="AA107" s="6"/>
      <c r="AB107" s="6"/>
      <c r="AC107" s="6"/>
      <c r="AD107" s="6"/>
      <c r="AE107" s="6" t="str">
        <v>Total</v>
      </c>
      <c r="AF107" s="6">
        <v>0.69811320754716977</v>
      </c>
      <c r="AG107" s="4">
        <v>0.30188679245283018</v>
      </c>
      <c r="AH107" s="4">
        <v>1</v>
      </c>
    </row>
    <row r="108" spans="1:49" x14ac:dyDescent="0.15">
      <c r="A108" s="99"/>
      <c r="B108" s="100"/>
      <c r="C108" s="13" t="s">
        <v>818</v>
      </c>
      <c r="D108" s="4" t="s">
        <v>802</v>
      </c>
      <c r="E108" s="4" t="s">
        <v>803</v>
      </c>
      <c r="F108" s="13" t="s">
        <v>411</v>
      </c>
      <c r="G108" s="4" t="s">
        <v>665</v>
      </c>
      <c r="H108" s="4" t="s">
        <v>813</v>
      </c>
      <c r="I108" s="13">
        <v>8</v>
      </c>
      <c r="J108" s="13">
        <v>-4</v>
      </c>
      <c r="K108" s="4">
        <v>1</v>
      </c>
      <c r="L108" s="4">
        <v>0</v>
      </c>
      <c r="N108" s="4" t="str">
        <v>r3</v>
      </c>
      <c r="O108" s="15">
        <v>-1.5</v>
      </c>
      <c r="P108" s="15">
        <v>2.5</v>
      </c>
      <c r="Q108" s="15">
        <v>1</v>
      </c>
      <c r="R108" s="4" t="str">
        <v>Total</v>
      </c>
      <c r="S108" s="4">
        <v>16</v>
      </c>
      <c r="T108" s="4">
        <v>-3</v>
      </c>
      <c r="U108" s="4">
        <v>13</v>
      </c>
      <c r="W108" s="6"/>
      <c r="X108" s="6"/>
      <c r="Y108" s="6"/>
      <c r="Z108" s="6"/>
      <c r="AA108" s="6"/>
      <c r="AB108" s="6"/>
      <c r="AC108" s="6"/>
      <c r="AD108" s="6"/>
      <c r="AE108" s="6" t="str" cm="1">
        <f t="array" ref="AE108:AH111">_xlfn.PIVOTBY(LOOKUP!C93:C111,LOOKUP!F93:F111,LOOKUP!I93:I111,_xleta.PERCENTOF,1,1,1,1,1,LOOKUP!K93:K111,3)</f>
        <v/>
      </c>
      <c r="AF108" s="6" t="str">
        <v>a</v>
      </c>
      <c r="AG108" s="4" t="str">
        <v>b</v>
      </c>
      <c r="AH108" s="4" t="str">
        <v>Total</v>
      </c>
    </row>
    <row r="109" spans="1:49" x14ac:dyDescent="0.15">
      <c r="A109" s="99"/>
      <c r="B109" s="100"/>
      <c r="C109" s="13" t="s">
        <v>794</v>
      </c>
      <c r="D109" s="4" t="s">
        <v>797</v>
      </c>
      <c r="E109" s="4" t="s">
        <v>798</v>
      </c>
      <c r="F109" s="13" t="s">
        <v>411</v>
      </c>
      <c r="G109" s="4" t="s">
        <v>616</v>
      </c>
      <c r="H109" s="4" t="s">
        <v>817</v>
      </c>
      <c r="I109" s="13">
        <v>-6</v>
      </c>
      <c r="J109" s="13">
        <v>-7</v>
      </c>
      <c r="K109" s="4">
        <v>0</v>
      </c>
      <c r="L109" s="4">
        <v>0</v>
      </c>
      <c r="N109" s="4" t="str">
        <v>Total</v>
      </c>
      <c r="O109" s="15">
        <v>1.2307692307692308</v>
      </c>
      <c r="P109" s="83">
        <v>-0.23076923076923078</v>
      </c>
      <c r="Q109" s="15">
        <v>1</v>
      </c>
      <c r="S109" s="4">
        <f>S106/U106</f>
        <v>0.36842105263157893</v>
      </c>
      <c r="T109" s="4">
        <f>T106/U106</f>
        <v>0.63157894736842102</v>
      </c>
      <c r="W109" s="6"/>
      <c r="X109" s="6"/>
      <c r="Y109" s="6"/>
      <c r="Z109" s="6"/>
      <c r="AA109" s="6"/>
      <c r="AB109" s="6"/>
      <c r="AC109" s="6"/>
      <c r="AD109" s="6"/>
      <c r="AE109" s="6" t="str">
        <v>r2</v>
      </c>
      <c r="AF109" s="6">
        <v>0.75862068965517238</v>
      </c>
      <c r="AG109" s="4">
        <v>0.2413793103448276</v>
      </c>
      <c r="AH109" s="4">
        <v>1</v>
      </c>
    </row>
    <row r="110" spans="1:49" x14ac:dyDescent="0.15">
      <c r="A110" s="99"/>
      <c r="B110" s="100"/>
      <c r="C110" s="13" t="s">
        <v>818</v>
      </c>
      <c r="D110" s="4" t="s">
        <v>802</v>
      </c>
      <c r="E110" s="4" t="s">
        <v>803</v>
      </c>
      <c r="F110" s="13" t="s">
        <v>338</v>
      </c>
      <c r="G110" s="4" t="s">
        <v>612</v>
      </c>
      <c r="H110" s="4" t="s">
        <v>810</v>
      </c>
      <c r="I110" s="13">
        <v>1</v>
      </c>
      <c r="J110" s="13">
        <v>-1</v>
      </c>
      <c r="K110" s="4">
        <v>0</v>
      </c>
      <c r="L110" s="4">
        <v>0</v>
      </c>
      <c r="O110" s="15"/>
      <c r="P110" s="15"/>
      <c r="Q110" s="15"/>
      <c r="S110" s="4">
        <f>S107/U107</f>
        <v>-1.5</v>
      </c>
      <c r="T110" s="4">
        <f>T107/U107</f>
        <v>2.5</v>
      </c>
      <c r="W110" s="6"/>
      <c r="X110" s="6"/>
      <c r="Y110" s="6"/>
      <c r="Z110" s="6"/>
      <c r="AA110" s="6"/>
      <c r="AB110" s="6"/>
      <c r="AC110" s="6"/>
      <c r="AD110" s="6"/>
      <c r="AE110" s="6" t="str">
        <v>r3</v>
      </c>
      <c r="AF110" s="6">
        <v>0.625</v>
      </c>
      <c r="AG110" s="4">
        <v>0.375</v>
      </c>
      <c r="AH110" s="4">
        <v>1</v>
      </c>
    </row>
    <row r="111" spans="1:49" x14ac:dyDescent="0.15">
      <c r="A111" s="99"/>
      <c r="B111" s="100"/>
      <c r="C111" s="13" t="s">
        <v>818</v>
      </c>
      <c r="D111" s="4" t="s">
        <v>799</v>
      </c>
      <c r="E111" s="4" t="s">
        <v>800</v>
      </c>
      <c r="F111" s="13" t="s">
        <v>338</v>
      </c>
      <c r="G111" s="4" t="s">
        <v>612</v>
      </c>
      <c r="H111" s="4" t="s">
        <v>812</v>
      </c>
      <c r="I111" s="13">
        <v>-2</v>
      </c>
      <c r="J111" s="13">
        <v>-2</v>
      </c>
      <c r="K111" s="4">
        <v>0</v>
      </c>
      <c r="L111" s="4">
        <v>0</v>
      </c>
      <c r="O111" s="15"/>
      <c r="P111" s="15"/>
      <c r="Q111" s="15"/>
      <c r="S111" s="4">
        <f>S108/U108</f>
        <v>1.2307692307692308</v>
      </c>
      <c r="T111" s="4">
        <f>T108/U108</f>
        <v>-0.23076923076923078</v>
      </c>
      <c r="W111" s="6"/>
      <c r="X111" s="6"/>
      <c r="Y111" s="6"/>
      <c r="Z111" s="6"/>
      <c r="AA111" s="6"/>
      <c r="AB111" s="6"/>
      <c r="AC111" s="6"/>
      <c r="AD111" s="6"/>
      <c r="AE111" s="6" t="str">
        <v>Total</v>
      </c>
      <c r="AF111" s="6">
        <v>0.69811320754716977</v>
      </c>
      <c r="AG111" s="4">
        <v>0.30188679245283018</v>
      </c>
      <c r="AH111" s="4">
        <v>1</v>
      </c>
    </row>
    <row r="112" spans="1:49" x14ac:dyDescent="0.15">
      <c r="A112" s="99" t="s">
        <v>333</v>
      </c>
      <c r="B112" s="101" t="s">
        <v>541</v>
      </c>
      <c r="C112" s="13">
        <v>-2</v>
      </c>
      <c r="D112" s="13">
        <v>1.1000000000000001</v>
      </c>
      <c r="E112" s="13">
        <v>3</v>
      </c>
      <c r="F112" s="13">
        <v>4</v>
      </c>
      <c r="G112" s="4">
        <v>4.0999999999999996</v>
      </c>
      <c r="H112" s="14"/>
      <c r="I112" s="14" t="s">
        <v>339</v>
      </c>
      <c r="J112" s="14" t="b">
        <v>1</v>
      </c>
      <c r="K112" s="14" t="e">
        <f>#VALUE!</f>
        <v>#VALUE!</v>
      </c>
      <c r="L112" s="14" t="e">
        <v>#N/A</v>
      </c>
      <c r="M112" s="15" t="e">
        <v>#DIV/0!</v>
      </c>
      <c r="N112" s="15" t="e">
        <v>#NAME?</v>
      </c>
      <c r="O112" s="15" t="e">
        <v>#NULL!</v>
      </c>
      <c r="P112" s="15" t="e">
        <v>#NUM!</v>
      </c>
      <c r="Q112" s="15" t="e">
        <v>#REF!</v>
      </c>
      <c r="R112" s="6">
        <f>ROW(C112)</f>
        <v>112</v>
      </c>
      <c r="S112" s="6">
        <f t="shared" ref="S112:AF112" si="8">ROW(D112)</f>
        <v>112</v>
      </c>
      <c r="T112" s="6">
        <f t="shared" si="8"/>
        <v>112</v>
      </c>
      <c r="U112" s="6">
        <f t="shared" si="8"/>
        <v>112</v>
      </c>
      <c r="V112" s="6">
        <f t="shared" si="8"/>
        <v>112</v>
      </c>
      <c r="W112" s="6">
        <f>ROW()</f>
        <v>112</v>
      </c>
      <c r="X112" s="6">
        <f t="shared" si="8"/>
        <v>112</v>
      </c>
      <c r="Y112" s="6">
        <f>ROW(J112)</f>
        <v>112</v>
      </c>
      <c r="Z112" s="6">
        <f t="shared" si="8"/>
        <v>112</v>
      </c>
      <c r="AA112" s="6">
        <f t="shared" si="8"/>
        <v>112</v>
      </c>
      <c r="AB112" s="6">
        <f t="shared" si="8"/>
        <v>112</v>
      </c>
      <c r="AC112" s="6">
        <f t="shared" si="8"/>
        <v>112</v>
      </c>
      <c r="AD112" s="6">
        <f t="shared" si="8"/>
        <v>112</v>
      </c>
      <c r="AE112" s="6">
        <f t="shared" si="8"/>
        <v>112</v>
      </c>
      <c r="AF112" s="6">
        <f t="shared" si="8"/>
        <v>112</v>
      </c>
      <c r="AG112" s="4">
        <f t="array" ref="AG112">ROW(C114:E114:G113:I114 E113:F113)</f>
        <v>113</v>
      </c>
      <c r="AH112" s="4">
        <f t="array" ref="AH112:AJ114">ROW(AC112:AD112)</f>
        <v>112</v>
      </c>
      <c r="AI112" s="4">
        <v>112</v>
      </c>
      <c r="AJ112" s="4">
        <v>112</v>
      </c>
      <c r="AK112" s="4">
        <f t="array" ref="AK112:AM114">ROW(AC112:AC113)</f>
        <v>112</v>
      </c>
      <c r="AL112" s="4">
        <v>112</v>
      </c>
      <c r="AM112" s="4">
        <v>112</v>
      </c>
      <c r="AN112" s="4">
        <f t="array" ref="AN112:AP114">ROW(AC112:AD113)</f>
        <v>112</v>
      </c>
      <c r="AO112" s="4">
        <v>112</v>
      </c>
      <c r="AP112" s="4">
        <v>112</v>
      </c>
      <c r="AQ112" s="4">
        <f t="array" ref="AQ112:AS114">ROW(AC112:AE114 AD113:AF114)</f>
        <v>113</v>
      </c>
      <c r="AR112" s="4">
        <v>113</v>
      </c>
      <c r="AS112" s="4">
        <v>113</v>
      </c>
      <c r="AT112" s="4">
        <f t="array" ref="AT112:AW114">ROW(Z112:AA113:AF112:AF113 AB113:AD114)</f>
        <v>113</v>
      </c>
      <c r="AU112" s="4">
        <v>113</v>
      </c>
      <c r="AV112" s="4">
        <v>113</v>
      </c>
      <c r="AW112" s="4">
        <v>113</v>
      </c>
    </row>
    <row r="113" spans="1:49" x14ac:dyDescent="0.15">
      <c r="A113" s="99"/>
      <c r="B113" s="101"/>
      <c r="C113" s="13"/>
      <c r="D113" s="13"/>
      <c r="E113" s="13"/>
      <c r="F113" s="13"/>
      <c r="G113" s="13"/>
      <c r="H113" s="14"/>
      <c r="I113" s="14"/>
      <c r="J113" s="14"/>
      <c r="K113" s="14"/>
      <c r="L113" s="14"/>
      <c r="M113" s="15"/>
      <c r="N113" s="15"/>
      <c r="O113" s="15"/>
      <c r="P113" s="15"/>
      <c r="Q113" s="15"/>
      <c r="R113" s="6">
        <f>ROW(C113)</f>
        <v>113</v>
      </c>
      <c r="S113" s="6">
        <f t="shared" ref="S113:V114" si="9">ROW(D113)</f>
        <v>113</v>
      </c>
      <c r="T113" s="6">
        <f t="shared" si="9"/>
        <v>113</v>
      </c>
      <c r="U113" s="6">
        <f t="shared" si="9"/>
        <v>113</v>
      </c>
      <c r="V113" s="6">
        <f t="shared" si="9"/>
        <v>113</v>
      </c>
      <c r="W113" s="6">
        <f>ROW()</f>
        <v>113</v>
      </c>
      <c r="X113" s="6">
        <f t="shared" ref="X113:AF114" si="10">ROW(I113)</f>
        <v>113</v>
      </c>
      <c r="Y113" s="6">
        <f>ROW(J113)</f>
        <v>113</v>
      </c>
      <c r="Z113" s="6">
        <f t="shared" si="10"/>
        <v>113</v>
      </c>
      <c r="AA113" s="6">
        <f t="shared" si="10"/>
        <v>113</v>
      </c>
      <c r="AB113" s="6">
        <f t="shared" si="10"/>
        <v>113</v>
      </c>
      <c r="AC113" s="6">
        <f t="shared" si="10"/>
        <v>113</v>
      </c>
      <c r="AD113" s="6">
        <f t="shared" si="10"/>
        <v>113</v>
      </c>
      <c r="AE113" s="6">
        <f t="shared" si="10"/>
        <v>113</v>
      </c>
      <c r="AF113" s="6">
        <f t="shared" si="10"/>
        <v>113</v>
      </c>
      <c r="AG113" s="4" t="e">
        <f t="array" ref="AG113">ROW(C112:E113 F112:H113)</f>
        <v>#NULL!</v>
      </c>
      <c r="AH113" s="4">
        <v>112</v>
      </c>
      <c r="AI113" s="4">
        <v>112</v>
      </c>
      <c r="AJ113" s="4">
        <v>112</v>
      </c>
      <c r="AK113" s="4">
        <v>113</v>
      </c>
      <c r="AL113" s="4">
        <v>113</v>
      </c>
      <c r="AM113" s="4">
        <v>113</v>
      </c>
      <c r="AN113" s="4">
        <v>113</v>
      </c>
      <c r="AO113" s="4">
        <v>113</v>
      </c>
      <c r="AP113" s="4">
        <v>113</v>
      </c>
      <c r="AQ113" s="4">
        <v>114</v>
      </c>
      <c r="AR113" s="4">
        <v>114</v>
      </c>
      <c r="AS113" s="4">
        <v>114</v>
      </c>
      <c r="AT113" s="4">
        <v>113</v>
      </c>
      <c r="AU113" s="4">
        <v>113</v>
      </c>
      <c r="AV113" s="4">
        <v>113</v>
      </c>
      <c r="AW113" s="4">
        <v>113</v>
      </c>
    </row>
    <row r="114" spans="1:49" x14ac:dyDescent="0.15">
      <c r="A114" s="99"/>
      <c r="B114" s="101"/>
      <c r="C114" s="13"/>
      <c r="D114" s="13"/>
      <c r="E114" s="13"/>
      <c r="F114" s="13"/>
      <c r="G114" s="13"/>
      <c r="H114" s="14"/>
      <c r="I114" s="14"/>
      <c r="J114" s="14"/>
      <c r="K114" s="14"/>
      <c r="L114" s="14"/>
      <c r="M114" s="15"/>
      <c r="N114" s="15"/>
      <c r="O114" s="15"/>
      <c r="P114" s="15"/>
      <c r="Q114" s="15"/>
      <c r="R114" s="6">
        <f>ROW(C114)</f>
        <v>114</v>
      </c>
      <c r="S114" s="6">
        <f t="shared" si="9"/>
        <v>114</v>
      </c>
      <c r="T114" s="6">
        <f t="shared" si="9"/>
        <v>114</v>
      </c>
      <c r="U114" s="6">
        <f t="shared" si="9"/>
        <v>114</v>
      </c>
      <c r="V114" s="6">
        <f t="shared" si="9"/>
        <v>114</v>
      </c>
      <c r="W114" s="6">
        <f>ROW()</f>
        <v>114</v>
      </c>
      <c r="X114" s="6">
        <f t="shared" si="10"/>
        <v>114</v>
      </c>
      <c r="Y114" s="6">
        <f t="shared" si="10"/>
        <v>114</v>
      </c>
      <c r="Z114" s="6">
        <f t="shared" si="10"/>
        <v>114</v>
      </c>
      <c r="AA114" s="6">
        <f t="shared" si="10"/>
        <v>114</v>
      </c>
      <c r="AB114" s="6">
        <f t="shared" si="10"/>
        <v>114</v>
      </c>
      <c r="AC114" s="6">
        <f t="shared" si="10"/>
        <v>114</v>
      </c>
      <c r="AD114" s="6">
        <f t="shared" si="10"/>
        <v>114</v>
      </c>
      <c r="AE114" s="6">
        <f t="shared" si="10"/>
        <v>114</v>
      </c>
      <c r="AF114" s="6">
        <f t="shared" si="10"/>
        <v>114</v>
      </c>
      <c r="AG114" s="4">
        <f t="array" ref="AG114">ROW(C12:E13 D13:F13)</f>
        <v>13</v>
      </c>
      <c r="AH114" s="4">
        <v>112</v>
      </c>
      <c r="AI114" s="4">
        <v>112</v>
      </c>
      <c r="AJ114" s="4">
        <v>112</v>
      </c>
      <c r="AK114" s="4" t="e">
        <v>#N/A</v>
      </c>
      <c r="AL114" s="4" t="e">
        <v>#N/A</v>
      </c>
      <c r="AM114" s="4" t="e">
        <v>#N/A</v>
      </c>
      <c r="AN114" s="4" t="e">
        <v>#N/A</v>
      </c>
      <c r="AO114" s="4" t="e">
        <v>#N/A</v>
      </c>
      <c r="AP114" s="4" t="e">
        <v>#N/A</v>
      </c>
      <c r="AQ114" s="4" t="e">
        <v>#N/A</v>
      </c>
      <c r="AR114" s="4" t="e">
        <v>#N/A</v>
      </c>
      <c r="AS114" s="4" t="e">
        <v>#N/A</v>
      </c>
      <c r="AT114" s="4">
        <v>113</v>
      </c>
      <c r="AU114" s="4">
        <v>113</v>
      </c>
      <c r="AV114" s="4">
        <v>113</v>
      </c>
      <c r="AW114" s="4">
        <v>113</v>
      </c>
    </row>
    <row r="115" spans="1:49" x14ac:dyDescent="0.15">
      <c r="A115" s="35" t="s">
        <v>334</v>
      </c>
      <c r="B115" s="36" t="s">
        <v>541</v>
      </c>
      <c r="C115" s="13">
        <v>-2</v>
      </c>
      <c r="D115" s="13">
        <v>1.1000000000000001</v>
      </c>
      <c r="E115" s="13">
        <v>3</v>
      </c>
      <c r="F115" s="13">
        <v>4</v>
      </c>
      <c r="G115" s="13">
        <v>4.0999999999999996</v>
      </c>
      <c r="H115" s="14"/>
      <c r="I115" s="14" t="s">
        <v>339</v>
      </c>
      <c r="J115" s="14" t="b">
        <v>1</v>
      </c>
      <c r="K115" s="14" t="e">
        <f>#VALUE!</f>
        <v>#VALUE!</v>
      </c>
      <c r="L115" s="14" t="e">
        <v>#N/A</v>
      </c>
      <c r="M115" s="15" t="e">
        <v>#DIV/0!</v>
      </c>
      <c r="N115" s="15" t="e">
        <v>#NAME?</v>
      </c>
      <c r="O115" s="15" t="e">
        <v>#NULL!</v>
      </c>
      <c r="P115" s="15" t="e">
        <v>#NUM!</v>
      </c>
      <c r="Q115" s="15" t="e">
        <v>#REF!</v>
      </c>
      <c r="R115" s="4">
        <f>ROWS(C114:F115)</f>
        <v>2</v>
      </c>
      <c r="S115" s="4" t="e">
        <f>ROWS((D115:G115,I114:J115,K115:N115))</f>
        <v>#REF!</v>
      </c>
      <c r="T115" s="4" t="e">
        <f>ROWS((E115:H115 J115:K115 L115:O115))</f>
        <v>#NULL!</v>
      </c>
      <c r="U115" s="4">
        <f>ROWS(F115:I115)</f>
        <v>1</v>
      </c>
      <c r="V115" s="4" t="e">
        <f>ROWS(((F115:G115,G115:I115,F118:G118,G118:I118) G114:G134))</f>
        <v>#REF!</v>
      </c>
      <c r="W115" s="4">
        <f>ROWS(((G115:H116) H114:H123))</f>
        <v>2</v>
      </c>
      <c r="X115" s="4">
        <f>ROWS(I115)</f>
        <v>1</v>
      </c>
      <c r="Y115" s="4">
        <f>ROWS(J115)</f>
        <v>1</v>
      </c>
      <c r="Z115" s="4">
        <f t="shared" ref="Z115:AF115" si="11">ROWS(K115)</f>
        <v>1</v>
      </c>
      <c r="AA115" s="4">
        <f t="shared" si="11"/>
        <v>1</v>
      </c>
      <c r="AB115" s="4">
        <f t="shared" si="11"/>
        <v>1</v>
      </c>
      <c r="AC115" s="4">
        <f t="shared" si="11"/>
        <v>1</v>
      </c>
      <c r="AD115" s="4">
        <f t="shared" si="11"/>
        <v>1</v>
      </c>
      <c r="AE115" s="4">
        <f t="shared" si="11"/>
        <v>1</v>
      </c>
      <c r="AF115" s="4">
        <f t="shared" si="11"/>
        <v>1</v>
      </c>
      <c r="AG115" s="4">
        <f t="array" ref="AG115">ROWS(R115)</f>
        <v>1</v>
      </c>
      <c r="AH115" s="4">
        <f t="array" ref="AH115:AW115">ROWS(S115)</f>
        <v>1</v>
      </c>
      <c r="AI115" s="4">
        <v>1</v>
      </c>
      <c r="AJ115" s="4">
        <v>1</v>
      </c>
      <c r="AK115" s="4">
        <v>1</v>
      </c>
      <c r="AL115" s="4">
        <v>1</v>
      </c>
      <c r="AM115" s="4">
        <v>1</v>
      </c>
      <c r="AN115" s="4">
        <v>1</v>
      </c>
      <c r="AO115" s="4">
        <v>1</v>
      </c>
      <c r="AP115" s="4">
        <v>1</v>
      </c>
      <c r="AQ115" s="4">
        <v>1</v>
      </c>
      <c r="AR115" s="4">
        <v>1</v>
      </c>
      <c r="AS115" s="4">
        <v>1</v>
      </c>
      <c r="AT115" s="4">
        <v>1</v>
      </c>
      <c r="AU115" s="4">
        <v>1</v>
      </c>
      <c r="AV115" s="4">
        <v>1</v>
      </c>
      <c r="AW115" s="4">
        <v>1</v>
      </c>
    </row>
    <row r="116" spans="1:49" x14ac:dyDescent="0.15">
      <c r="A116" s="40" t="s">
        <v>335</v>
      </c>
      <c r="C116" s="13"/>
      <c r="D116" s="13"/>
      <c r="E116" s="13"/>
      <c r="F116" s="13"/>
      <c r="G116" s="13"/>
      <c r="H116" s="14"/>
      <c r="I116" s="14"/>
      <c r="J116" s="14"/>
      <c r="K116" s="14"/>
      <c r="L116" s="14"/>
      <c r="M116" s="15"/>
      <c r="N116" s="15"/>
      <c r="O116" s="15"/>
      <c r="P116" s="15"/>
      <c r="Q116" s="15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49" x14ac:dyDescent="0.15">
      <c r="A117" s="99" t="s">
        <v>508</v>
      </c>
      <c r="B117" s="100" t="s">
        <v>541</v>
      </c>
      <c r="C117" s="13">
        <v>1</v>
      </c>
      <c r="D117" s="13">
        <v>3</v>
      </c>
      <c r="E117" s="13">
        <v>2</v>
      </c>
      <c r="F117" s="13">
        <v>2</v>
      </c>
      <c r="G117" s="13">
        <v>1</v>
      </c>
      <c r="H117" s="14"/>
      <c r="I117" s="14" t="s">
        <v>338</v>
      </c>
      <c r="J117" s="14" t="b">
        <v>1</v>
      </c>
      <c r="K117" s="14" t="e">
        <f>#VALUE!</f>
        <v>#VALUE!</v>
      </c>
      <c r="L117" s="14" t="e">
        <v>#N/A</v>
      </c>
      <c r="M117" s="15" t="e">
        <v>#DIV/0!</v>
      </c>
      <c r="N117" s="15" t="e">
        <v>#NAME?</v>
      </c>
      <c r="O117" s="15" t="e">
        <v>#NULL!</v>
      </c>
      <c r="P117" s="15" t="e">
        <v>#NUM!</v>
      </c>
      <c r="Q117" s="15" t="e">
        <v>#REF!</v>
      </c>
      <c r="R117" s="6" cm="1">
        <f t="array" ref="R117:S119">_xlfn._xlws.SORT(C117:D119,1,-1,1)</f>
        <v>3</v>
      </c>
      <c r="S117" s="6">
        <v>1</v>
      </c>
      <c r="T117" s="6" t="e" cm="1">
        <f t="array" ref="T117">_xlfn._xlws.SORT(F117:Q117,-1,1)</f>
        <v>#VALUE!</v>
      </c>
      <c r="U117" s="6" cm="1">
        <f t="array" ref="U117:AF117">_xlfn._xlws.SORT(F117:Q117,1,1)</f>
        <v>2</v>
      </c>
      <c r="V117" s="6">
        <v>1</v>
      </c>
      <c r="W117" s="6">
        <v>0</v>
      </c>
      <c r="X117" s="6" t="str">
        <v>b</v>
      </c>
      <c r="Y117" s="6" t="b">
        <v>1</v>
      </c>
      <c r="Z117" s="6" t="e">
        <v>#VALUE!</v>
      </c>
      <c r="AA117" s="6" t="e">
        <v>#N/A</v>
      </c>
      <c r="AB117" s="6" t="e">
        <v>#DIV/0!</v>
      </c>
      <c r="AC117" s="6" t="e">
        <v>#NAME?</v>
      </c>
      <c r="AD117" s="6" t="e">
        <v>#NULL!</v>
      </c>
      <c r="AE117" s="6" t="e">
        <v>#NUM!</v>
      </c>
      <c r="AF117" s="6" t="e">
        <v>#REF!</v>
      </c>
      <c r="AG117" s="4">
        <f t="array" ref="AG117">_xlfn._xlws.SORT(C117:Q117,1,1,1)</f>
        <v>1</v>
      </c>
      <c r="AJ117" s="4" cm="1">
        <f t="array" ref="AJ117:AM119">_xlfn._xlws.SORT(D117:G119,2)</f>
        <v>3</v>
      </c>
      <c r="AK117" s="4">
        <v>2</v>
      </c>
      <c r="AL117" s="4">
        <v>2</v>
      </c>
      <c r="AM117" s="4">
        <v>1</v>
      </c>
      <c r="AN117" s="4" cm="1">
        <f t="array" ref="AN117:AQ119">_xlfn.UNIQUE(D117:G119,-1)</f>
        <v>3</v>
      </c>
      <c r="AO117" s="4">
        <v>2</v>
      </c>
      <c r="AP117" s="4">
        <v>2</v>
      </c>
      <c r="AQ117" s="4">
        <v>1</v>
      </c>
      <c r="AR117" s="4" t="e" cm="1">
        <f t="array" ref="AR117">_xlfn._xlws.SORT(F117:G117,-1)</f>
        <v>#VALUE!</v>
      </c>
      <c r="AS117" s="4" t="e" cm="1">
        <f t="array" ref="AS117">_xlfn._xlws.SORT(D117:G119,H117:K118)</f>
        <v>#VALUE!</v>
      </c>
      <c r="AT117" s="4" t="e" cm="1">
        <f t="array" ref="AT117">_xlfn._xlws.SORT(D117:G119,H117)</f>
        <v>#VALUE!</v>
      </c>
    </row>
    <row r="118" spans="1:49" ht="15" x14ac:dyDescent="0.2">
      <c r="A118" s="99"/>
      <c r="B118" s="100"/>
      <c r="C118" s="13">
        <v>2</v>
      </c>
      <c r="D118" s="13">
        <v>2</v>
      </c>
      <c r="E118" s="13"/>
      <c r="F118" s="13">
        <v>0</v>
      </c>
      <c r="G118" s="14"/>
      <c r="I118" s="14"/>
      <c r="J118" s="14"/>
      <c r="K118" s="14"/>
      <c r="L118" s="14"/>
      <c r="M118" s="72"/>
      <c r="N118" s="15"/>
      <c r="O118" s="15"/>
      <c r="P118" s="15"/>
      <c r="Q118" s="15"/>
      <c r="R118" s="6">
        <v>2</v>
      </c>
      <c r="S118" s="6">
        <v>2</v>
      </c>
      <c r="T118" s="6"/>
      <c r="U118" s="6" cm="1">
        <f t="array" ref="U118:AI118">_xlfn._xlws.SORT(C117:Q117,1,1,1)</f>
        <v>1</v>
      </c>
      <c r="V118" s="6">
        <v>1</v>
      </c>
      <c r="W118" s="6">
        <v>2</v>
      </c>
      <c r="X118" s="6">
        <v>2</v>
      </c>
      <c r="Y118" s="6">
        <v>3</v>
      </c>
      <c r="Z118" s="6" t="str">
        <v>b</v>
      </c>
      <c r="AA118" s="6" t="b">
        <v>1</v>
      </c>
      <c r="AB118" s="6" t="e">
        <v>#NULL!</v>
      </c>
      <c r="AC118" s="6" t="e">
        <v>#DIV/0!</v>
      </c>
      <c r="AD118" s="6" t="e">
        <v>#VALUE!</v>
      </c>
      <c r="AE118" s="6" t="e">
        <v>#REF!</v>
      </c>
      <c r="AF118" s="6" t="e">
        <v>#NAME?</v>
      </c>
      <c r="AG118" s="4" t="e">
        <v>#NUM!</v>
      </c>
      <c r="AH118" s="4" t="e">
        <v>#N/A</v>
      </c>
      <c r="AI118" s="4">
        <v>0</v>
      </c>
      <c r="AJ118" s="4">
        <v>2</v>
      </c>
      <c r="AK118" s="4">
        <v>0</v>
      </c>
      <c r="AL118" s="4">
        <v>0</v>
      </c>
      <c r="AM118" s="4">
        <v>0</v>
      </c>
      <c r="AN118" s="4">
        <v>2</v>
      </c>
      <c r="AO118" s="4">
        <v>0</v>
      </c>
      <c r="AP118" s="4">
        <v>0</v>
      </c>
      <c r="AQ118" s="4">
        <v>0</v>
      </c>
      <c r="AR118" s="4" t="e" cm="1">
        <f t="array" ref="AR118">_xlfn._xlws.SORT({2,1,2,1},1,{1;-1})</f>
        <v>#VALUE!</v>
      </c>
    </row>
    <row r="119" spans="1:49" x14ac:dyDescent="0.15">
      <c r="A119" s="99"/>
      <c r="B119" s="100"/>
      <c r="C119" s="13">
        <v>3</v>
      </c>
      <c r="D119" s="13">
        <v>1</v>
      </c>
      <c r="E119" s="13"/>
      <c r="F119" s="13">
        <v>0</v>
      </c>
      <c r="G119" s="13"/>
      <c r="H119" s="14"/>
      <c r="I119" s="14"/>
      <c r="J119" s="14"/>
      <c r="K119" s="14"/>
      <c r="L119" s="14"/>
      <c r="M119" s="15"/>
      <c r="N119" s="15"/>
      <c r="O119" s="15"/>
      <c r="P119" s="15"/>
      <c r="Q119" s="15"/>
      <c r="R119" s="6">
        <v>1</v>
      </c>
      <c r="S119" s="6">
        <v>3</v>
      </c>
      <c r="T119" s="6"/>
      <c r="U119" s="6" cm="1">
        <f t="array" ref="U119:AH119">_xlfn._xlws.SORT({#VALUE!,1,3,2,2,"b",#DIV/0!,#N/A,#NAME?,#REF!,#NULL!,TRUE,FALSE,#NUM!},1,1,1)</f>
        <v>1</v>
      </c>
      <c r="V119" s="4">
        <v>2</v>
      </c>
      <c r="W119" s="6">
        <v>2</v>
      </c>
      <c r="X119" s="6">
        <v>3</v>
      </c>
      <c r="Y119" s="6" t="str">
        <v>b</v>
      </c>
      <c r="Z119" s="6" t="b">
        <v>0</v>
      </c>
      <c r="AA119" s="6" t="b">
        <v>1</v>
      </c>
      <c r="AB119" s="6" t="e">
        <v>#NULL!</v>
      </c>
      <c r="AC119" s="6" t="e">
        <v>#DIV/0!</v>
      </c>
      <c r="AD119" s="6" t="e">
        <v>#VALUE!</v>
      </c>
      <c r="AE119" s="6" t="e">
        <v>#REF!</v>
      </c>
      <c r="AF119" s="6" t="e">
        <v>#NAME?</v>
      </c>
      <c r="AG119" s="4" t="e">
        <v>#NUM!</v>
      </c>
      <c r="AH119" s="4" t="e">
        <v>#N/A</v>
      </c>
      <c r="AJ119" s="4">
        <v>1</v>
      </c>
      <c r="AK119" s="4">
        <v>0</v>
      </c>
      <c r="AL119" s="4">
        <v>0</v>
      </c>
      <c r="AM119" s="4">
        <v>0</v>
      </c>
      <c r="AN119" s="4">
        <v>1</v>
      </c>
      <c r="AO119" s="4">
        <v>0</v>
      </c>
      <c r="AP119" s="4">
        <v>0</v>
      </c>
      <c r="AQ119" s="4">
        <v>0</v>
      </c>
    </row>
    <row r="120" spans="1:49" x14ac:dyDescent="0.15">
      <c r="A120" s="99" t="s">
        <v>509</v>
      </c>
      <c r="B120" s="100" t="s">
        <v>541</v>
      </c>
      <c r="C120" s="13">
        <v>1</v>
      </c>
      <c r="D120" s="13">
        <v>3</v>
      </c>
      <c r="E120" s="13">
        <v>2</v>
      </c>
      <c r="F120" s="13">
        <v>2</v>
      </c>
      <c r="G120" s="13">
        <v>1</v>
      </c>
      <c r="H120" s="14"/>
      <c r="I120" s="14" t="s">
        <v>338</v>
      </c>
      <c r="J120" s="14" t="b">
        <v>1</v>
      </c>
      <c r="K120" s="14" t="e">
        <f>#VALUE!</f>
        <v>#VALUE!</v>
      </c>
      <c r="L120" s="14" t="e">
        <v>#N/A</v>
      </c>
      <c r="M120" s="15" t="e">
        <v>#DIV/0!</v>
      </c>
      <c r="N120" s="15" t="e">
        <v>#NAME?</v>
      </c>
      <c r="O120" s="15" t="e">
        <v>#NULL!</v>
      </c>
      <c r="P120" s="15" t="e">
        <v>#NUM!</v>
      </c>
      <c r="Q120" s="15" t="e">
        <v>#REF!</v>
      </c>
      <c r="R120" s="6" cm="1">
        <f t="array" ref="R120:S122">_xlfn.SORTBY(C120:D122,E120:E122,1)</f>
        <v>1</v>
      </c>
      <c r="S120" s="6">
        <v>3</v>
      </c>
      <c r="T120" s="6" cm="1">
        <f t="array" ref="T120:U122">_xlfn.SORTBY(C120:D122,E120:E122,1,D120:D122,1)</f>
        <v>1</v>
      </c>
      <c r="U120" s="6">
        <v>3</v>
      </c>
      <c r="V120" s="6" t="e" cm="1">
        <f t="array" ref="V120">_xlfn.SORTBY(C120:D122,E120:F120,1,D120:D122,1)</f>
        <v>#VALUE!</v>
      </c>
      <c r="W120" s="6" cm="1">
        <f t="array" ref="W120:X122">_xlfn.SORTBY(D120:E122,F120:G120,1,C120:D120,1)</f>
        <v>2</v>
      </c>
      <c r="X120" s="6">
        <v>3</v>
      </c>
      <c r="Y120" s="6" t="e" cm="1">
        <f t="array" ref="Y120">_xlfn.SORTBY(D120:E122,C120:D122,1)</f>
        <v>#VALUE!</v>
      </c>
      <c r="Z120" s="6"/>
      <c r="AA120" s="6"/>
      <c r="AB120" s="6"/>
      <c r="AC120" s="6"/>
      <c r="AD120" s="6"/>
      <c r="AE120" s="6"/>
      <c r="AF120" s="6"/>
      <c r="AG120" s="4">
        <f t="array" ref="AG120">_xlfn._xlws.SORT(C120:Q120,1,1,1)</f>
        <v>1</v>
      </c>
      <c r="AJ120" s="4" cm="1">
        <f t="array" ref="AJ120:AM122">_xlfn._xlws.SORT(D120:G122,2)</f>
        <v>3</v>
      </c>
      <c r="AK120" s="4">
        <v>2</v>
      </c>
      <c r="AL120" s="4">
        <v>2</v>
      </c>
      <c r="AM120" s="4">
        <v>1</v>
      </c>
      <c r="AN120" s="4" cm="1">
        <f t="array" ref="AN120:AQ122">_xlfn.UNIQUE(D120:G122,-1)</f>
        <v>3</v>
      </c>
      <c r="AO120" s="4">
        <v>2</v>
      </c>
      <c r="AP120" s="4">
        <v>2</v>
      </c>
      <c r="AQ120" s="4">
        <v>1</v>
      </c>
      <c r="AR120" s="4" t="e" cm="1">
        <f t="array" ref="AR120">_xlfn._xlws.SORT(F120:G120,-1)</f>
        <v>#VALUE!</v>
      </c>
      <c r="AS120" s="4" t="e" cm="1">
        <f t="array" ref="AS120">_xlfn._xlws.SORT(D120:G122,H120:K121)</f>
        <v>#VALUE!</v>
      </c>
      <c r="AT120" s="4" t="e" cm="1">
        <f t="array" ref="AT120">_xlfn._xlws.SORT(D120:G122,H120)</f>
        <v>#VALUE!</v>
      </c>
    </row>
    <row r="121" spans="1:49" ht="15" x14ac:dyDescent="0.2">
      <c r="A121" s="99"/>
      <c r="B121" s="100"/>
      <c r="C121" s="13">
        <v>2</v>
      </c>
      <c r="D121" s="13">
        <v>2</v>
      </c>
      <c r="E121" s="13"/>
      <c r="F121" s="13">
        <v>0</v>
      </c>
      <c r="G121" s="14"/>
      <c r="I121" s="14"/>
      <c r="J121" s="14"/>
      <c r="K121" s="14"/>
      <c r="L121" s="14"/>
      <c r="M121" s="72"/>
      <c r="N121" s="15"/>
      <c r="O121" s="15"/>
      <c r="P121" s="15"/>
      <c r="Q121" s="15"/>
      <c r="R121" s="6">
        <v>2</v>
      </c>
      <c r="S121" s="6">
        <v>2</v>
      </c>
      <c r="T121" s="6">
        <v>3</v>
      </c>
      <c r="U121" s="6">
        <v>1</v>
      </c>
      <c r="V121" s="6"/>
      <c r="W121" s="6">
        <v>0</v>
      </c>
      <c r="X121" s="6">
        <v>2</v>
      </c>
      <c r="Y121" s="6" cm="1">
        <f t="array" ref="Y121:AA122">_xlfn.SORTBY({1,2,3;4,5,6},{3,2,2},1,{5,1,4},-1)</f>
        <v>3</v>
      </c>
      <c r="Z121" s="6">
        <v>2</v>
      </c>
      <c r="AA121" s="6">
        <v>1</v>
      </c>
      <c r="AB121" s="6"/>
      <c r="AC121" s="6"/>
      <c r="AD121" s="6"/>
      <c r="AE121" s="6"/>
      <c r="AF121" s="6"/>
      <c r="AJ121" s="4">
        <v>2</v>
      </c>
      <c r="AK121" s="4">
        <v>0</v>
      </c>
      <c r="AL121" s="4">
        <v>0</v>
      </c>
      <c r="AM121" s="4">
        <v>0</v>
      </c>
      <c r="AN121" s="4">
        <v>2</v>
      </c>
      <c r="AO121" s="4">
        <v>0</v>
      </c>
      <c r="AP121" s="4">
        <v>0</v>
      </c>
      <c r="AQ121" s="4">
        <v>0</v>
      </c>
      <c r="AR121" s="4" t="e" cm="1">
        <f t="array" ref="AR121">_xlfn._xlws.SORT({2,1,2,1},1,{1;-1})</f>
        <v>#VALUE!</v>
      </c>
    </row>
    <row r="122" spans="1:49" x14ac:dyDescent="0.15">
      <c r="A122" s="99"/>
      <c r="B122" s="100"/>
      <c r="C122" s="13">
        <v>3</v>
      </c>
      <c r="D122" s="13">
        <v>1</v>
      </c>
      <c r="E122" s="13"/>
      <c r="F122" s="13">
        <v>0</v>
      </c>
      <c r="G122" s="13"/>
      <c r="H122" s="14"/>
      <c r="I122" s="14"/>
      <c r="J122" s="14"/>
      <c r="K122" s="14"/>
      <c r="L122" s="14"/>
      <c r="M122" s="15"/>
      <c r="N122" s="15"/>
      <c r="O122" s="15"/>
      <c r="P122" s="15"/>
      <c r="Q122" s="15"/>
      <c r="R122" s="6">
        <v>3</v>
      </c>
      <c r="S122" s="6">
        <v>1</v>
      </c>
      <c r="T122" s="6">
        <v>2</v>
      </c>
      <c r="U122" s="6">
        <v>2</v>
      </c>
      <c r="W122" s="6">
        <v>0</v>
      </c>
      <c r="X122" s="6">
        <v>1</v>
      </c>
      <c r="Y122" s="6">
        <v>6</v>
      </c>
      <c r="Z122" s="6">
        <v>5</v>
      </c>
      <c r="AA122" s="6">
        <v>4</v>
      </c>
      <c r="AB122" s="6"/>
      <c r="AC122" s="6"/>
      <c r="AD122" s="6"/>
      <c r="AE122" s="6"/>
      <c r="AF122" s="6"/>
      <c r="AJ122" s="4">
        <v>1</v>
      </c>
      <c r="AK122" s="4">
        <v>0</v>
      </c>
      <c r="AL122" s="4">
        <v>0</v>
      </c>
      <c r="AM122" s="4">
        <v>0</v>
      </c>
      <c r="AN122" s="4">
        <v>1</v>
      </c>
      <c r="AO122" s="4">
        <v>0</v>
      </c>
      <c r="AP122" s="4">
        <v>0</v>
      </c>
      <c r="AQ122" s="4">
        <v>0</v>
      </c>
    </row>
    <row r="123" spans="1:49" x14ac:dyDescent="0.15">
      <c r="A123" s="99" t="s">
        <v>528</v>
      </c>
      <c r="B123" s="100" t="s">
        <v>541</v>
      </c>
      <c r="C123" s="13">
        <v>-2</v>
      </c>
      <c r="D123" s="13">
        <v>1.1000000000000001</v>
      </c>
      <c r="E123" s="13">
        <v>3</v>
      </c>
      <c r="F123" s="13">
        <v>-4</v>
      </c>
      <c r="G123" s="13">
        <v>0</v>
      </c>
      <c r="H123" s="14"/>
      <c r="I123" s="81" t="s">
        <v>819</v>
      </c>
      <c r="J123" s="14" t="b">
        <v>1</v>
      </c>
      <c r="K123" s="14" t="e">
        <f>#VALUE!</f>
        <v>#VALUE!</v>
      </c>
      <c r="L123" s="14" t="e">
        <v>#N/A</v>
      </c>
      <c r="M123" s="15" t="e">
        <v>#DIV/0!</v>
      </c>
      <c r="N123" s="15" t="e">
        <v>#NAME?</v>
      </c>
      <c r="O123" s="15" t="e">
        <v>#NULL!</v>
      </c>
      <c r="P123" s="15" t="e">
        <v>#NUM!</v>
      </c>
      <c r="Q123" s="15" t="e">
        <v>#REF!</v>
      </c>
      <c r="R123" s="4" cm="1">
        <f t="array" ref="R123:T124">_xlfn.TAKE({1,2,3;4,5,6;7,8,9},C123)</f>
        <v>4</v>
      </c>
      <c r="S123" s="4">
        <v>5</v>
      </c>
      <c r="T123" s="4">
        <v>6</v>
      </c>
      <c r="U123" s="4" t="e" cm="1" vm="31">
        <f t="array" ref="U123">_xlfn.TAKE({1,2,3;4,5,6;7,8,9},G123)</f>
        <v>#VALUE!</v>
      </c>
      <c r="V123" s="4" cm="1">
        <f t="array" ref="V123:X125">_xlfn.TAKE({1,2,3;4,5,6;7,8,9},F123)</f>
        <v>1</v>
      </c>
      <c r="W123" s="4">
        <v>2</v>
      </c>
      <c r="X123" s="4">
        <v>3</v>
      </c>
      <c r="Y123" s="4" t="e" cm="1" vm="31">
        <f t="array" ref="Y123">_xlfn.TAKE({1,2,3;4,5,6;7,8,9},H123)</f>
        <v>#VALUE!</v>
      </c>
      <c r="AB123" s="4" t="e" cm="1">
        <f t="array" ref="AB123">_xlfn.TAKE({1,2,3;4,5,6;7,8,9},M123)</f>
        <v>#DIV/0!</v>
      </c>
      <c r="AC123" s="4" t="e" cm="1">
        <f t="array" ref="AC123">_xlfn.TAKE({1,2,3;4,5,6;7,8,9},N123)</f>
        <v>#NAME?</v>
      </c>
      <c r="AD123" s="4" t="e" cm="1">
        <f t="array" ref="AD123">_xlfn.TAKE({1,2,3;4,5,6;7,8,9},O123)</f>
        <v>#NULL!</v>
      </c>
      <c r="AE123" s="4" cm="1">
        <f t="array" ref="AE123:AE125">_xlfn.TAKE({1,2,3;4,5,6;7,8,9},I123,{1;2;1})</f>
        <v>1</v>
      </c>
      <c r="AF123" s="4">
        <f t="array" ref="AF123:AG125">_xlfn.TAKE({1,2,3;4,5,6;7,8,9},I123,{1;2;1})</f>
        <v>1</v>
      </c>
      <c r="AG123" s="4">
        <v>1</v>
      </c>
    </row>
    <row r="124" spans="1:49" x14ac:dyDescent="0.15">
      <c r="A124" s="99"/>
      <c r="B124" s="100"/>
      <c r="C124" s="13"/>
      <c r="D124" s="13"/>
      <c r="E124" s="13"/>
      <c r="F124" s="13"/>
      <c r="G124" s="13"/>
      <c r="H124" s="14"/>
      <c r="I124" s="14"/>
      <c r="J124" s="14"/>
      <c r="K124" s="14"/>
      <c r="L124" s="14"/>
      <c r="M124" s="15"/>
      <c r="N124" s="15"/>
      <c r="O124" s="15"/>
      <c r="P124" s="15"/>
      <c r="Q124" s="15"/>
      <c r="R124" s="4">
        <v>7</v>
      </c>
      <c r="S124" s="4">
        <v>8</v>
      </c>
      <c r="T124" s="4">
        <v>9</v>
      </c>
      <c r="U124" s="4" t="e" cm="1">
        <f t="array" ref="U124">_xlfn.TAKE({1,2,3;4,5,6;7,8,9},L123)</f>
        <v>#N/A</v>
      </c>
      <c r="V124" s="4">
        <v>4</v>
      </c>
      <c r="W124" s="4">
        <v>5</v>
      </c>
      <c r="X124" s="4">
        <v>6</v>
      </c>
      <c r="Y124" s="4" cm="1">
        <f t="array" ref="Y124:Z124">_xlfn.TAKE({1,2,3;4,5,6;7,8,9},I123,2)</f>
        <v>1</v>
      </c>
      <c r="Z124" s="4">
        <v>2</v>
      </c>
      <c r="AB124" s="4" cm="1">
        <f t="array" ref="AB124">_xlfn.TAKE({1,2,3;4,5,6;7,8,9},J123,1)</f>
        <v>1</v>
      </c>
      <c r="AE124" s="4">
        <v>1</v>
      </c>
      <c r="AF124" s="4">
        <v>1</v>
      </c>
      <c r="AG124" s="4">
        <v>1</v>
      </c>
    </row>
    <row r="125" spans="1:49" x14ac:dyDescent="0.15">
      <c r="A125" s="99"/>
      <c r="B125" s="100"/>
      <c r="C125" s="13"/>
      <c r="D125" s="13"/>
      <c r="E125" s="13"/>
      <c r="F125" s="13"/>
      <c r="G125" s="13"/>
      <c r="H125" s="14"/>
      <c r="I125" s="14"/>
      <c r="J125" s="14"/>
      <c r="K125" s="14"/>
      <c r="L125" s="14"/>
      <c r="M125" s="15"/>
      <c r="N125" s="15"/>
      <c r="O125" s="15"/>
      <c r="P125" s="15"/>
      <c r="Q125" s="15"/>
      <c r="R125" s="4" t="e" cm="1">
        <f t="array" ref="R125">_xlfn.TAKE({1,2,3;4,5,6;7,8,9},K123)</f>
        <v>#VALUE!</v>
      </c>
      <c r="S125" s="4" cm="1">
        <f t="array" ref="S125:U125">_xlfn.TAKE({1,2,3;4,5,6;7,8,9},D123)</f>
        <v>1</v>
      </c>
      <c r="T125" s="4">
        <v>2</v>
      </c>
      <c r="U125" s="4">
        <v>3</v>
      </c>
      <c r="V125" s="4">
        <v>7</v>
      </c>
      <c r="W125" s="4">
        <v>8</v>
      </c>
      <c r="X125" s="4">
        <v>9</v>
      </c>
      <c r="AE125" s="4">
        <v>1</v>
      </c>
      <c r="AF125" s="4">
        <v>1</v>
      </c>
      <c r="AG125" s="4">
        <v>1</v>
      </c>
    </row>
    <row r="126" spans="1:49" x14ac:dyDescent="0.15">
      <c r="A126" s="99" t="s">
        <v>532</v>
      </c>
      <c r="B126" s="100" t="s">
        <v>541</v>
      </c>
      <c r="C126" s="13">
        <v>-3.9</v>
      </c>
      <c r="D126" s="13">
        <v>1.1000000000000001</v>
      </c>
      <c r="E126" s="13">
        <v>2.9</v>
      </c>
      <c r="F126" s="13">
        <v>4</v>
      </c>
      <c r="G126" s="13">
        <v>0</v>
      </c>
      <c r="H126" s="14"/>
      <c r="I126" s="81" t="s">
        <v>447</v>
      </c>
      <c r="J126" s="14" t="b">
        <v>1</v>
      </c>
      <c r="K126" s="14" t="e">
        <f>#VALUE!</f>
        <v>#VALUE!</v>
      </c>
      <c r="L126" s="14" t="e">
        <v>#N/A</v>
      </c>
      <c r="M126" s="15" t="e">
        <v>#DIV/0!</v>
      </c>
      <c r="N126" s="15" t="e">
        <v>#NAME?</v>
      </c>
      <c r="O126" s="15" t="e">
        <v>#NULL!</v>
      </c>
      <c r="P126" s="15" t="e">
        <v>#NUM!</v>
      </c>
      <c r="Q126" s="15" t="e">
        <v>#REF!</v>
      </c>
      <c r="R126" s="40" t="e" cm="1">
        <f t="array" ref="R126">_xlfn.TOCOL({1,2;3,4},C126)</f>
        <v>#VALUE!</v>
      </c>
      <c r="S126" s="40" cm="1">
        <f t="array" ref="S126:S128">_xlfn.TOCOL($C$127:$D$128,D126)</f>
        <v>1</v>
      </c>
      <c r="T126" s="40" cm="1">
        <f t="array" ref="T126:T128">_xlfn.TOCOL($C$127:$D$128,E126,1)</f>
        <v>1</v>
      </c>
      <c r="U126" s="40" t="e" cm="1">
        <f t="array" ref="U126">_xlfn.TOCOL($C$127:$D$128,F126)</f>
        <v>#VALUE!</v>
      </c>
      <c r="V126" s="40" cm="1">
        <f t="array" ref="V126:V129">_xlfn.TOCOL($C$127:$D$128,G126)</f>
        <v>1</v>
      </c>
      <c r="W126" s="40" cm="1">
        <f t="array" ref="W126:W129">_xlfn.TOCOL($C$127:$D$128,H126)</f>
        <v>1</v>
      </c>
      <c r="X126" s="40" cm="1">
        <f t="array" ref="X126:X128">_xlfn.TOCOL($C$127:$D$128,I126)</f>
        <v>1</v>
      </c>
      <c r="Y126" s="40" cm="1">
        <f t="array" ref="Y126:Y128">_xlfn.TOCOL($C$127:$D$128,J126)</f>
        <v>1</v>
      </c>
      <c r="Z126" s="40" t="e" cm="1">
        <f t="array" ref="Z126">_xlfn.TOCOL($C$127:$D$128,K126)</f>
        <v>#VALUE!</v>
      </c>
      <c r="AA126" s="40" t="e" cm="1">
        <f t="array" ref="AA126">_xlfn.TOCOL($C$127:$D$128,L126)</f>
        <v>#N/A</v>
      </c>
      <c r="AB126" s="40" t="e" cm="1">
        <f t="array" ref="AB126">_xlfn.TOCOL($C$127:$D$128,M126)</f>
        <v>#DIV/0!</v>
      </c>
      <c r="AC126" s="40" t="e" cm="1">
        <f t="array" ref="AC126">_xlfn.TOCOL($C$127:$D$128,N126)</f>
        <v>#NAME?</v>
      </c>
      <c r="AD126" s="40" t="e" cm="1">
        <f t="array" ref="AD126">_xlfn.TOCOL($C$127:$D$128,O126)</f>
        <v>#NULL!</v>
      </c>
      <c r="AE126" s="40" t="e" cm="1">
        <f t="array" ref="AE126">_xlfn.TOCOL($C$127:$D$128,P126)</f>
        <v>#NUM!</v>
      </c>
      <c r="AF126" s="40" t="e" cm="1">
        <f t="array" ref="AF126">_xlfn.TOCOL($C$127:$D$128,Q126)</f>
        <v>#REF!</v>
      </c>
      <c r="AG126" s="40">
        <f t="array" ref="AG126">_xlfn.TOCOL($C$127:$D$128,D126:E126)</f>
        <v>1</v>
      </c>
      <c r="AH126" s="40" t="e">
        <f t="array" ref="AH126:AW126">_xlfn.TOCOL($C$127:$D$128,C126:Q126)</f>
        <v>#VALUE!</v>
      </c>
      <c r="AI126" s="40">
        <v>1</v>
      </c>
      <c r="AJ126" s="40">
        <v>1</v>
      </c>
      <c r="AK126" s="40" t="e">
        <v>#VALUE!</v>
      </c>
      <c r="AL126" s="40">
        <v>1</v>
      </c>
      <c r="AM126" s="40">
        <v>1</v>
      </c>
      <c r="AN126" s="40">
        <v>1</v>
      </c>
      <c r="AO126" s="40">
        <v>1</v>
      </c>
      <c r="AP126" s="40" t="e">
        <v>#VALUE!</v>
      </c>
      <c r="AQ126" s="40" t="e">
        <v>#N/A</v>
      </c>
      <c r="AR126" s="40" t="e">
        <v>#DIV/0!</v>
      </c>
      <c r="AS126" s="40" t="e">
        <v>#NAME?</v>
      </c>
      <c r="AT126" s="4" t="e">
        <v>#NULL!</v>
      </c>
      <c r="AU126" s="4" t="e">
        <v>#NUM!</v>
      </c>
      <c r="AV126" s="4" t="e">
        <v>#REF!</v>
      </c>
      <c r="AW126" s="4" t="e">
        <v>#N/A</v>
      </c>
    </row>
    <row r="127" spans="1:49" x14ac:dyDescent="0.15">
      <c r="A127" s="99"/>
      <c r="B127" s="100"/>
      <c r="C127" s="13">
        <v>1</v>
      </c>
      <c r="D127" s="13">
        <v>2</v>
      </c>
      <c r="E127" s="13"/>
      <c r="G127" s="13"/>
      <c r="H127" s="14"/>
      <c r="I127" s="14"/>
      <c r="J127" s="14"/>
      <c r="K127" s="14"/>
      <c r="L127" s="14"/>
      <c r="M127" s="15"/>
      <c r="N127" s="15"/>
      <c r="O127" s="15"/>
      <c r="P127" s="15"/>
      <c r="Q127" s="15"/>
      <c r="R127" s="6"/>
      <c r="S127" s="6">
        <v>2</v>
      </c>
      <c r="T127" s="6">
        <v>2</v>
      </c>
      <c r="U127" s="6"/>
      <c r="V127" s="6">
        <v>2</v>
      </c>
      <c r="W127" s="6">
        <v>2</v>
      </c>
      <c r="X127" s="6">
        <v>2</v>
      </c>
      <c r="Y127" s="6">
        <v>2</v>
      </c>
      <c r="Z127" s="6"/>
      <c r="AA127" s="6"/>
      <c r="AB127" s="6"/>
      <c r="AC127" s="6"/>
      <c r="AD127" s="6"/>
      <c r="AE127" s="6"/>
      <c r="AF127" s="6"/>
    </row>
    <row r="128" spans="1:49" x14ac:dyDescent="0.15">
      <c r="A128" s="99"/>
      <c r="B128" s="100"/>
      <c r="C128" s="13" t="e">
        <v>#VALUE!</v>
      </c>
      <c r="E128" s="13"/>
      <c r="G128" s="13"/>
      <c r="H128" s="14"/>
      <c r="I128" s="14"/>
      <c r="J128" s="14"/>
      <c r="K128" s="14"/>
      <c r="L128" s="14"/>
      <c r="M128" s="15"/>
      <c r="N128" s="15"/>
      <c r="O128" s="15"/>
      <c r="P128" s="15"/>
      <c r="Q128" s="15"/>
      <c r="R128" s="6"/>
      <c r="S128" s="6" t="e">
        <v>#VALUE!</v>
      </c>
      <c r="T128" s="6">
        <v>0</v>
      </c>
      <c r="U128" s="6"/>
      <c r="V128" s="6" t="e">
        <v>#VALUE!</v>
      </c>
      <c r="W128" s="6" t="e">
        <v>#VALUE!</v>
      </c>
      <c r="X128" s="6" t="e">
        <v>#VALUE!</v>
      </c>
      <c r="Y128" s="6" t="e">
        <v>#VALUE!</v>
      </c>
      <c r="Z128" s="6"/>
      <c r="AA128" s="6"/>
      <c r="AB128" s="6"/>
      <c r="AC128" s="6"/>
      <c r="AD128" s="6"/>
      <c r="AE128" s="6"/>
      <c r="AF128" s="6"/>
    </row>
    <row r="129" spans="1:49" x14ac:dyDescent="0.15">
      <c r="A129" s="99"/>
      <c r="B129" s="100"/>
      <c r="C129" s="13"/>
      <c r="D129" s="13"/>
      <c r="E129" s="13"/>
      <c r="G129" s="13"/>
      <c r="H129" s="14"/>
      <c r="I129" s="14"/>
      <c r="J129" s="14"/>
      <c r="K129" s="14"/>
      <c r="L129" s="14"/>
      <c r="M129" s="15"/>
      <c r="N129" s="15"/>
      <c r="O129" s="15"/>
      <c r="P129" s="15"/>
      <c r="Q129" s="15"/>
      <c r="R129" s="6"/>
      <c r="S129" s="6"/>
      <c r="T129" s="6"/>
      <c r="U129" s="6"/>
      <c r="V129" s="6">
        <v>0</v>
      </c>
      <c r="W129" s="6">
        <v>0</v>
      </c>
      <c r="X129" s="6"/>
      <c r="Y129" s="6"/>
      <c r="Z129" s="6"/>
      <c r="AA129" s="6"/>
      <c r="AB129" s="6"/>
      <c r="AC129" s="6"/>
      <c r="AD129" s="6"/>
      <c r="AE129" s="6"/>
      <c r="AF129" s="6"/>
    </row>
    <row r="130" spans="1:49" x14ac:dyDescent="0.15">
      <c r="A130" s="99" t="s">
        <v>533</v>
      </c>
      <c r="B130" s="100" t="s">
        <v>541</v>
      </c>
      <c r="C130" s="13">
        <v>-3.9</v>
      </c>
      <c r="D130" s="13">
        <v>1.1000000000000001</v>
      </c>
      <c r="E130" s="13">
        <v>2.9</v>
      </c>
      <c r="F130" s="13">
        <v>4</v>
      </c>
      <c r="G130" s="13">
        <v>0</v>
      </c>
      <c r="H130" s="14"/>
      <c r="I130" s="81" t="s">
        <v>447</v>
      </c>
      <c r="J130" s="14" t="b">
        <v>1</v>
      </c>
      <c r="K130" s="14" t="e">
        <f>#VALUE!</f>
        <v>#VALUE!</v>
      </c>
      <c r="L130" s="14" t="e">
        <v>#N/A</v>
      </c>
      <c r="M130" s="15" t="e">
        <v>#DIV/0!</v>
      </c>
      <c r="N130" s="15" t="e">
        <v>#NAME?</v>
      </c>
      <c r="O130" s="15" t="e">
        <v>#NULL!</v>
      </c>
      <c r="P130" s="15" t="e">
        <v>#NUM!</v>
      </c>
      <c r="Q130" s="15" t="e">
        <v>#REF!</v>
      </c>
      <c r="R130" s="40" t="e" cm="1">
        <f t="array" ref="R130">_xlfn.TOROW({1,2;3,4},C130)</f>
        <v>#VALUE!</v>
      </c>
      <c r="S130" s="40" cm="1">
        <f t="array" ref="S130:U130">_xlfn.TOROW($C$127:$D$128,D130)</f>
        <v>1</v>
      </c>
      <c r="T130" s="4">
        <v>2</v>
      </c>
      <c r="U130" s="4" t="e">
        <v>#VALUE!</v>
      </c>
      <c r="W130" s="40" cm="1">
        <f t="array" ref="W130:Y130">_xlfn.TOROW($C$127:$D$128,I130,1)</f>
        <v>1</v>
      </c>
      <c r="X130" s="4" t="e">
        <v>#VALUE!</v>
      </c>
      <c r="Y130" s="4">
        <v>2</v>
      </c>
      <c r="Z130" s="40" t="e" cm="1">
        <f t="array" ref="Z130">_xlfn.TOROW($C$127:$D$128,K130)</f>
        <v>#VALUE!</v>
      </c>
      <c r="AA130" s="40" t="e" cm="1">
        <f t="array" ref="AA130">_xlfn.TOROW($C$127:$D$128,L130)</f>
        <v>#N/A</v>
      </c>
      <c r="AB130" s="40" t="e" cm="1">
        <f t="array" ref="AB130">_xlfn.TOROW($C$127:$D$128,M130)</f>
        <v>#DIV/0!</v>
      </c>
      <c r="AC130" s="40" t="e" cm="1">
        <f t="array" ref="AC130">_xlfn.TOROW($C$127:$D$128,N130)</f>
        <v>#NAME?</v>
      </c>
      <c r="AD130" s="40" t="e" cm="1">
        <f t="array" ref="AD130">_xlfn.TOROW($C$127:$D$128,O130)</f>
        <v>#NULL!</v>
      </c>
      <c r="AE130" s="40" t="e" cm="1">
        <f t="array" ref="AE130">_xlfn.TOROW($C$127:$D$128,P130)</f>
        <v>#NUM!</v>
      </c>
      <c r="AF130" s="40" t="e" cm="1">
        <f t="array" ref="AF130">_xlfn.TOROW($C$127:$D$128,Q130)</f>
        <v>#REF!</v>
      </c>
      <c r="AG130" s="40">
        <f t="array" ref="AG130">_xlfn.TOROW($C$127:$D$128,D130:E130)</f>
        <v>1</v>
      </c>
      <c r="AH130" s="40" cm="1">
        <f t="array" ref="AH130:AI132">_xlfn.TOROW($C$127:$D$128,D130:E132)</f>
        <v>1</v>
      </c>
      <c r="AI130" s="40">
        <v>1</v>
      </c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</row>
    <row r="131" spans="1:49" x14ac:dyDescent="0.15">
      <c r="A131" s="99"/>
      <c r="B131" s="100"/>
      <c r="C131" s="13">
        <v>1</v>
      </c>
      <c r="D131" s="13"/>
      <c r="E131" s="13">
        <v>5</v>
      </c>
      <c r="G131" s="13"/>
      <c r="H131" s="14"/>
      <c r="I131" s="14"/>
      <c r="J131" s="14"/>
      <c r="K131" s="14"/>
      <c r="L131" s="14"/>
      <c r="M131" s="15"/>
      <c r="N131" s="15"/>
      <c r="O131" s="15"/>
      <c r="P131" s="15"/>
      <c r="Q131" s="15"/>
      <c r="R131" s="6"/>
      <c r="S131" s="6"/>
      <c r="T131" s="40" cm="1">
        <f t="array" ref="T131:V131">_xlfn.TOROW($C$127:$D$128,E130,1)</f>
        <v>1</v>
      </c>
      <c r="U131" s="6">
        <v>2</v>
      </c>
      <c r="V131" s="6">
        <v>0</v>
      </c>
      <c r="W131" s="40" cm="1">
        <f t="array" ref="W131:Z131">_xlfn.TOROW($C$127:$D$128,H130)</f>
        <v>1</v>
      </c>
      <c r="X131" s="6">
        <v>2</v>
      </c>
      <c r="Y131" s="6" t="e">
        <v>#VALUE!</v>
      </c>
      <c r="Z131" s="6">
        <v>0</v>
      </c>
      <c r="AA131" s="6"/>
      <c r="AB131" s="6"/>
      <c r="AC131" s="6"/>
      <c r="AD131" s="6"/>
      <c r="AE131" s="6"/>
      <c r="AF131" s="6"/>
      <c r="AH131" s="4">
        <v>1</v>
      </c>
      <c r="AI131" s="4" t="e">
        <v>#VALUE!</v>
      </c>
    </row>
    <row r="132" spans="1:49" x14ac:dyDescent="0.15">
      <c r="A132" s="99"/>
      <c r="B132" s="100"/>
      <c r="C132" s="13">
        <v>2</v>
      </c>
      <c r="D132" s="13" t="e">
        <v>#VALUE!</v>
      </c>
      <c r="E132" s="13"/>
      <c r="G132" s="13"/>
      <c r="H132" s="14"/>
      <c r="I132" s="14"/>
      <c r="J132" s="14"/>
      <c r="K132" s="14"/>
      <c r="L132" s="14"/>
      <c r="M132" s="15"/>
      <c r="N132" s="15"/>
      <c r="O132" s="15"/>
      <c r="P132" s="15"/>
      <c r="Q132" s="15"/>
      <c r="R132" s="6"/>
      <c r="S132" s="6"/>
      <c r="T132" s="6"/>
      <c r="U132" s="40" t="e" cm="1">
        <f t="array" ref="U132">_xlfn.TOROW($C$127:$D$128,F130)</f>
        <v>#VALUE!</v>
      </c>
      <c r="V132" s="40" cm="1">
        <f t="array" ref="V132:Y132">_xlfn.TOROW($C$127:$D$128,G130)</f>
        <v>1</v>
      </c>
      <c r="W132" s="6">
        <v>2</v>
      </c>
      <c r="X132" s="6" t="e">
        <v>#VALUE!</v>
      </c>
      <c r="Y132" s="6">
        <v>0</v>
      </c>
      <c r="Z132" s="40" cm="1">
        <f t="array" ref="Z132:AB132">_xlfn.TOROW($C$127:$D$128,J130)</f>
        <v>1</v>
      </c>
      <c r="AA132" s="6">
        <v>2</v>
      </c>
      <c r="AB132" s="6" t="e">
        <v>#VALUE!</v>
      </c>
      <c r="AC132" s="6"/>
      <c r="AD132" s="6"/>
      <c r="AE132" s="6"/>
      <c r="AF132" s="6"/>
      <c r="AH132" s="4" t="e">
        <v>#VALUE!</v>
      </c>
      <c r="AI132" s="4">
        <v>1</v>
      </c>
    </row>
    <row r="133" spans="1:49" x14ac:dyDescent="0.15">
      <c r="A133" s="99"/>
      <c r="B133" s="100"/>
      <c r="C133" s="13"/>
      <c r="D133" s="13"/>
      <c r="E133" s="13"/>
      <c r="F133" s="13"/>
      <c r="G133" s="13"/>
      <c r="H133" s="14"/>
      <c r="I133" s="14"/>
      <c r="J133" s="14"/>
      <c r="K133" s="14"/>
      <c r="L133" s="14"/>
      <c r="M133" s="15"/>
      <c r="N133" s="15"/>
      <c r="O133" s="15"/>
      <c r="P133" s="15"/>
      <c r="Q133" s="15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49" x14ac:dyDescent="0.15">
      <c r="A134" s="35" t="s">
        <v>336</v>
      </c>
      <c r="B134" s="38" t="s">
        <v>541</v>
      </c>
      <c r="C134" s="13">
        <v>-1.1000000000000001</v>
      </c>
      <c r="D134" s="13">
        <v>2.1</v>
      </c>
      <c r="E134" s="13">
        <v>3</v>
      </c>
      <c r="F134" s="13">
        <v>4</v>
      </c>
      <c r="G134" s="13">
        <v>4.0999999999999996</v>
      </c>
      <c r="H134" s="14"/>
      <c r="I134" s="14" t="s">
        <v>338</v>
      </c>
      <c r="J134" s="14" t="b">
        <v>1</v>
      </c>
      <c r="K134" s="14" t="e">
        <f>#VALUE!</f>
        <v>#VALUE!</v>
      </c>
      <c r="L134" s="14" t="e">
        <v>#N/A</v>
      </c>
      <c r="M134" s="15" t="e">
        <v>#DIV/0!</v>
      </c>
      <c r="N134" s="15" t="e">
        <v>#NAME?</v>
      </c>
      <c r="O134" s="15" t="e">
        <v>#NULL!</v>
      </c>
      <c r="P134" s="15" t="e">
        <v>#NUM!</v>
      </c>
      <c r="Q134" s="15" t="e">
        <v>#REF!</v>
      </c>
      <c r="R134" s="6" cm="1">
        <f t="array" ref="R134">TRANSPOSE(2)</f>
        <v>2</v>
      </c>
      <c r="S134" s="6" cm="1">
        <f t="array" ref="S134">TRANSPOSE(D134)</f>
        <v>2.1</v>
      </c>
      <c r="T134" s="6">
        <f t="array" ref="T134">TRANSPOSE(E134:E143 D134:F143)</f>
        <v>3</v>
      </c>
      <c r="U134" s="6"/>
      <c r="V134" s="6">
        <f t="array" ref="V134">TRANSPOSE(E134:G134)</f>
        <v>3</v>
      </c>
      <c r="W134" s="6">
        <f t="array" ref="W134">TRANSPOSE(F134:H134)</f>
        <v>4</v>
      </c>
      <c r="X134" s="6">
        <f t="array" ref="X134">TRANSPOSE(G134:I134)</f>
        <v>4.0999999999999996</v>
      </c>
      <c r="Y134" s="6">
        <f t="array" ref="Y134">TRANSPOSE(H134:J134)</f>
        <v>0</v>
      </c>
      <c r="Z134" s="6" t="str">
        <f t="array" ref="Z134">TRANSPOSE(I134:K134)</f>
        <v>b</v>
      </c>
      <c r="AA134" s="6" t="b">
        <f t="array" ref="AA134">TRANSPOSE(J134:L134)</f>
        <v>1</v>
      </c>
      <c r="AB134" s="6" t="e">
        <f t="array" ref="AB134">TRANSPOSE(K134:M134)</f>
        <v>#VALUE!</v>
      </c>
      <c r="AC134" s="6" t="e">
        <f t="array" ref="AC134">TRANSPOSE(L134:N134)</f>
        <v>#N/A</v>
      </c>
      <c r="AD134" s="6" t="e">
        <f t="array" ref="AD134">TRANSPOSE(M134:O134)</f>
        <v>#DIV/0!</v>
      </c>
      <c r="AE134" s="6" t="e">
        <f t="array" ref="AE134">TRANSPOSE(N134:P134)</f>
        <v>#NAME?</v>
      </c>
      <c r="AF134" s="6" t="e">
        <f t="array" ref="AF134">TRANSPOSE(O134:Q134)</f>
        <v>#NULL!</v>
      </c>
      <c r="AG134" s="4">
        <f t="array" ref="AG134">TRANSPOSE(C134:K145)</f>
        <v>-1.1000000000000001</v>
      </c>
      <c r="AH134" s="4">
        <f t="array" ref="AH134:AW134">TRANSPOSE(E134:E145)</f>
        <v>3</v>
      </c>
      <c r="AI134" s="4">
        <v>0</v>
      </c>
      <c r="AJ134" s="4">
        <v>0</v>
      </c>
      <c r="AK134" s="4">
        <v>3</v>
      </c>
      <c r="AL134" s="4">
        <v>0</v>
      </c>
      <c r="AM134" s="4">
        <v>0</v>
      </c>
      <c r="AN134" s="4">
        <v>2</v>
      </c>
      <c r="AO134" s="4">
        <v>0</v>
      </c>
      <c r="AP134" s="4">
        <v>0</v>
      </c>
      <c r="AQ134" s="4">
        <v>3</v>
      </c>
      <c r="AR134" s="4">
        <v>3</v>
      </c>
      <c r="AS134" s="4">
        <v>3</v>
      </c>
      <c r="AT134" s="4" t="e">
        <v>#N/A</v>
      </c>
      <c r="AU134" s="4" t="e">
        <v>#N/A</v>
      </c>
      <c r="AV134" s="4" t="e">
        <v>#N/A</v>
      </c>
      <c r="AW134" s="4" t="e">
        <v>#N/A</v>
      </c>
    </row>
    <row r="135" spans="1:49" x14ac:dyDescent="0.15">
      <c r="A135" s="99" t="s">
        <v>565</v>
      </c>
      <c r="B135" s="101" t="s">
        <v>541</v>
      </c>
      <c r="C135" s="13"/>
      <c r="D135" s="13">
        <v>0</v>
      </c>
      <c r="E135" s="13"/>
      <c r="F135" s="13"/>
      <c r="G135" s="13"/>
      <c r="H135" s="14"/>
      <c r="I135" s="14"/>
      <c r="J135" s="14"/>
      <c r="K135" s="14"/>
      <c r="L135" s="14"/>
      <c r="M135" s="15"/>
      <c r="N135" s="15"/>
      <c r="O135" s="15"/>
      <c r="P135" s="15"/>
      <c r="Q135" s="15"/>
      <c r="R135" s="6" cm="1">
        <f t="array" ref="R135:R138">_xlfn.TRIMRANGE(C135:D139,3,3)</f>
        <v>0</v>
      </c>
      <c r="S135" s="6" cm="1">
        <f t="array" ref="S135:T139">_xlfn.TRIMRANGE(D135:E139,1,3)</f>
        <v>0</v>
      </c>
      <c r="T135" s="6">
        <v>0</v>
      </c>
      <c r="U135" s="6" cm="1">
        <f t="array" ref="U135:V138">_xlfn.TRIMRANGE(F135:G139,1,2)</f>
        <v>4</v>
      </c>
      <c r="V135" s="6">
        <v>0</v>
      </c>
      <c r="W135" s="6" t="e" cm="1">
        <f t="array" ref="W135">_xlfn.TRIMRANGE(F135:G139,"3.3",2)</f>
        <v>#VALUE!</v>
      </c>
      <c r="X135" s="6" cm="1">
        <f t="array" ref="X135:Y137">_xlfn.TRIMRANGE(G135:H139,"3",2)</f>
        <v>0</v>
      </c>
      <c r="Y135" s="6">
        <v>5</v>
      </c>
      <c r="Z135" s="6" t="e" cm="1">
        <f t="array" ref="Z135">_xlfn.TRIMRANGE(G135:H139,2.3,2)</f>
        <v>#VALUE!</v>
      </c>
      <c r="AA135" s="6" t="e" cm="1">
        <f t="array" ref="AA135:AB135">_xlfn.TRIMRANGE(G135:H139,{1,1},2)</f>
        <v>#VALUE!</v>
      </c>
      <c r="AB135" s="6" t="e">
        <v>#VALUE!</v>
      </c>
      <c r="AC135" s="6" t="e" cm="1">
        <f t="array" ref="AC135:AC136">_xlfn.TRIMRANGE(G135:H139,{1;3},2)</f>
        <v>#VALUE!</v>
      </c>
      <c r="AD135" s="6" cm="1">
        <f t="array" ref="AD135:AE138">_xlfn.TRIMRANGE(F135:G139,"1",2)</f>
        <v>4</v>
      </c>
      <c r="AE135" s="6">
        <v>0</v>
      </c>
      <c r="AF135" s="6"/>
      <c r="AG135" s="4">
        <f t="array" ref="AG135">_xlfn.TRIMRANGE(G135:H139,"3",2)</f>
        <v>0</v>
      </c>
    </row>
    <row r="136" spans="1:49" x14ac:dyDescent="0.15">
      <c r="A136" s="99"/>
      <c r="B136" s="101"/>
      <c r="D136" s="13">
        <v>1</v>
      </c>
      <c r="E136" s="13"/>
      <c r="F136" s="13">
        <v>4</v>
      </c>
      <c r="G136" s="13"/>
      <c r="H136" s="13">
        <v>5</v>
      </c>
      <c r="I136" s="14"/>
      <c r="J136" s="14">
        <v>5</v>
      </c>
      <c r="K136" s="14"/>
      <c r="L136" s="14"/>
      <c r="M136" s="15"/>
      <c r="N136" s="15"/>
      <c r="O136" s="15"/>
      <c r="P136" s="15"/>
      <c r="Q136" s="15"/>
      <c r="R136" s="6">
        <v>1</v>
      </c>
      <c r="S136" s="6">
        <v>1</v>
      </c>
      <c r="T136" s="6">
        <v>0</v>
      </c>
      <c r="U136" s="6">
        <v>4</v>
      </c>
      <c r="V136" s="6">
        <v>0</v>
      </c>
      <c r="X136" s="6">
        <v>0</v>
      </c>
      <c r="Y136" s="6">
        <v>5</v>
      </c>
      <c r="Z136" s="6" t="e" cm="1">
        <f t="array" ref="Z136">_xlfn.TRIMRANGE(K135:L139,3,3)</f>
        <v>#REF!</v>
      </c>
      <c r="AA136" s="6"/>
      <c r="AB136" s="6"/>
      <c r="AC136" s="6" t="e">
        <v>#VALUE!</v>
      </c>
      <c r="AD136" s="6">
        <v>4</v>
      </c>
      <c r="AE136" s="6">
        <v>0</v>
      </c>
      <c r="AF136" s="6"/>
    </row>
    <row r="137" spans="1:49" x14ac:dyDescent="0.15">
      <c r="A137" s="99"/>
      <c r="B137" s="101"/>
      <c r="D137" s="13"/>
      <c r="E137" s="13">
        <v>3</v>
      </c>
      <c r="F137" s="13">
        <v>4</v>
      </c>
      <c r="G137" s="13"/>
      <c r="H137" s="13">
        <v>5</v>
      </c>
      <c r="I137" s="14"/>
      <c r="J137" s="14">
        <v>5</v>
      </c>
      <c r="K137" s="14"/>
      <c r="L137" s="14"/>
      <c r="M137" s="15"/>
      <c r="N137" s="15"/>
      <c r="O137" s="15"/>
      <c r="P137" s="15"/>
      <c r="Q137" s="15"/>
      <c r="R137" s="6">
        <v>0</v>
      </c>
      <c r="S137" s="6">
        <v>0</v>
      </c>
      <c r="T137" s="6">
        <v>3</v>
      </c>
      <c r="U137" s="6">
        <v>0</v>
      </c>
      <c r="V137" s="6">
        <v>5</v>
      </c>
      <c r="W137" s="6"/>
      <c r="X137" s="6">
        <v>5</v>
      </c>
      <c r="Y137" s="6">
        <v>0</v>
      </c>
      <c r="Z137" s="6"/>
      <c r="AA137" s="6"/>
      <c r="AB137" s="6"/>
      <c r="AC137" s="6"/>
      <c r="AD137" s="6">
        <v>0</v>
      </c>
      <c r="AE137" s="6">
        <v>5</v>
      </c>
      <c r="AF137" s="6"/>
    </row>
    <row r="138" spans="1:49" x14ac:dyDescent="0.15">
      <c r="A138" s="99"/>
      <c r="B138" s="101"/>
      <c r="D138" s="13">
        <v>2</v>
      </c>
      <c r="E138" s="13"/>
      <c r="F138" s="13"/>
      <c r="G138" s="13">
        <v>5</v>
      </c>
      <c r="H138" s="13"/>
      <c r="I138" s="14"/>
      <c r="J138" s="14"/>
      <c r="K138" s="14"/>
      <c r="L138" s="14"/>
      <c r="M138" s="15"/>
      <c r="N138" s="15"/>
      <c r="O138" s="15"/>
      <c r="P138" s="15"/>
      <c r="Q138" s="15"/>
      <c r="R138" s="6">
        <v>2</v>
      </c>
      <c r="S138" s="6">
        <v>2</v>
      </c>
      <c r="T138" s="6">
        <v>0</v>
      </c>
      <c r="U138" s="6">
        <v>0</v>
      </c>
      <c r="V138" s="6">
        <v>0</v>
      </c>
      <c r="W138" s="6"/>
      <c r="X138" s="6"/>
      <c r="Y138" s="6"/>
      <c r="Z138" s="6"/>
      <c r="AA138" s="6"/>
      <c r="AB138" s="6"/>
      <c r="AC138" s="6"/>
      <c r="AD138" s="6">
        <v>0</v>
      </c>
      <c r="AE138" s="6">
        <v>0</v>
      </c>
      <c r="AF138" s="6"/>
    </row>
    <row r="139" spans="1:49" x14ac:dyDescent="0.15">
      <c r="A139" s="99"/>
      <c r="B139" s="101"/>
      <c r="C139" s="13"/>
      <c r="D139" s="13"/>
      <c r="E139" s="13"/>
      <c r="F139" s="13"/>
      <c r="G139" s="13"/>
      <c r="H139" s="14"/>
      <c r="I139" s="14"/>
      <c r="J139" s="14"/>
      <c r="K139" s="14"/>
      <c r="L139" s="14"/>
      <c r="M139" s="15"/>
      <c r="N139" s="15"/>
      <c r="O139" s="15"/>
      <c r="P139" s="15"/>
      <c r="Q139" s="15"/>
      <c r="R139" s="6"/>
      <c r="S139" s="6">
        <v>0</v>
      </c>
      <c r="T139" s="6">
        <v>0</v>
      </c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49" x14ac:dyDescent="0.15">
      <c r="A140" s="99" t="s">
        <v>510</v>
      </c>
      <c r="B140" s="101" t="s">
        <v>541</v>
      </c>
      <c r="C140" s="13">
        <v>1</v>
      </c>
      <c r="D140" s="13">
        <v>1</v>
      </c>
      <c r="E140" s="13">
        <v>2</v>
      </c>
      <c r="F140" s="13">
        <v>2</v>
      </c>
      <c r="G140" s="13">
        <v>1</v>
      </c>
      <c r="H140" s="14"/>
      <c r="I140" s="14" t="s">
        <v>338</v>
      </c>
      <c r="J140" s="14" t="b">
        <v>1</v>
      </c>
      <c r="K140" s="14" t="e">
        <f>#VALUE!</f>
        <v>#VALUE!</v>
      </c>
      <c r="L140" s="14" t="e">
        <v>#N/A</v>
      </c>
      <c r="M140" s="15" t="e">
        <v>#DIV/0!</v>
      </c>
      <c r="N140" s="15" t="e">
        <v>#NAME?</v>
      </c>
      <c r="O140" s="15" t="e">
        <v>#NULL!</v>
      </c>
      <c r="P140" s="15" t="e">
        <v>#NUM!</v>
      </c>
      <c r="Q140" s="15" t="e">
        <v>#REF!</v>
      </c>
      <c r="R140" s="6" t="e" cm="1" vm="31">
        <f t="array" ref="R140">_xlfn.UNIQUE(C140:F140,1,1)</f>
        <v>#VALUE!</v>
      </c>
      <c r="S140" s="6" cm="1">
        <f t="array" ref="S140:T140">_xlfn.UNIQUE(D140:G140,1)</f>
        <v>1</v>
      </c>
      <c r="T140" s="6">
        <v>2</v>
      </c>
      <c r="U140" s="6" cm="1">
        <f t="array" ref="U140:AF140">_xlfn.UNIQUE(F140:Q140,1)</f>
        <v>2</v>
      </c>
      <c r="V140" s="6">
        <v>1</v>
      </c>
      <c r="W140" s="6">
        <v>0</v>
      </c>
      <c r="X140" s="6" t="str">
        <v>b</v>
      </c>
      <c r="Y140" s="6" t="b">
        <v>1</v>
      </c>
      <c r="Z140" s="6" t="e">
        <v>#VALUE!</v>
      </c>
      <c r="AA140" s="6" t="e">
        <v>#N/A</v>
      </c>
      <c r="AB140" s="6" t="e">
        <v>#DIV/0!</v>
      </c>
      <c r="AC140" s="6" t="e">
        <v>#NAME?</v>
      </c>
      <c r="AD140" s="6" t="e">
        <v>#NULL!</v>
      </c>
      <c r="AE140" s="6" t="e">
        <v>#NUM!</v>
      </c>
      <c r="AF140" s="6" t="e">
        <v>#REF!</v>
      </c>
      <c r="AG140" s="4">
        <f t="array" ref="AG140">_xlfn.UNIQUE(D140:G140,1)</f>
        <v>1</v>
      </c>
      <c r="AH140" s="4" cm="1">
        <f t="array" ref="AH140:AJ142">_xlfn.UNIQUE(D140:G142,1)</f>
        <v>1</v>
      </c>
      <c r="AI140" s="4">
        <v>2</v>
      </c>
      <c r="AJ140" s="4">
        <v>2</v>
      </c>
      <c r="AK140" s="4" cm="1">
        <f t="array" ref="AK140:AN141">_xlfn.UNIQUE(D140:G142,H140:K141)</f>
        <v>1</v>
      </c>
      <c r="AL140" s="4" t="e" vm="33">
        <v>#VALUE!</v>
      </c>
      <c r="AM140" s="4">
        <v>0</v>
      </c>
      <c r="AN140" s="4" t="e">
        <v>#VALUE!</v>
      </c>
      <c r="AO140" s="4" cm="1">
        <f t="array" ref="AO140:AQ142">_xlfn.UNIQUE(D140:G142,-1)</f>
        <v>1</v>
      </c>
      <c r="AP140" s="4">
        <v>2</v>
      </c>
      <c r="AQ140" s="4">
        <v>2</v>
      </c>
      <c r="AR140" s="4" cm="1">
        <f t="array" ref="AR140:AS140">_xlfn.UNIQUE(F140:G140,-1)</f>
        <v>2</v>
      </c>
      <c r="AS140" s="4">
        <v>1</v>
      </c>
    </row>
    <row r="141" spans="1:49" x14ac:dyDescent="0.15">
      <c r="A141" s="99"/>
      <c r="B141" s="101"/>
      <c r="C141" s="13"/>
      <c r="D141" s="13"/>
      <c r="E141" s="13"/>
      <c r="F141" s="13">
        <v>0</v>
      </c>
      <c r="G141" s="13"/>
      <c r="H141" s="14"/>
      <c r="I141" s="14"/>
      <c r="J141" s="14"/>
      <c r="K141" s="14"/>
      <c r="L141" s="14"/>
      <c r="M141" s="15"/>
      <c r="N141" s="15"/>
      <c r="O141" s="15"/>
      <c r="P141" s="15"/>
      <c r="Q141" s="15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</row>
    <row r="142" spans="1:49" x14ac:dyDescent="0.15">
      <c r="A142" s="99"/>
      <c r="B142" s="101"/>
      <c r="C142" s="13"/>
      <c r="D142" s="13"/>
      <c r="E142" s="13"/>
      <c r="F142" s="13">
        <v>0</v>
      </c>
      <c r="G142" s="13"/>
      <c r="H142" s="14"/>
      <c r="I142" s="14"/>
      <c r="J142" s="14"/>
      <c r="K142" s="14"/>
      <c r="L142" s="14"/>
      <c r="M142" s="15"/>
      <c r="N142" s="15"/>
      <c r="O142" s="15"/>
      <c r="P142" s="15"/>
      <c r="Q142" s="15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H142" s="4">
        <v>0</v>
      </c>
      <c r="AI142" s="4">
        <v>0</v>
      </c>
      <c r="AJ142" s="4">
        <v>0</v>
      </c>
      <c r="AK142" s="4" cm="1">
        <f t="array" ref="AK142:AM142">_xlfn.UNIQUE({2,1,2,1},{1,1,1})</f>
        <v>2</v>
      </c>
      <c r="AL142" s="4">
        <v>0</v>
      </c>
      <c r="AM142" s="4">
        <v>0</v>
      </c>
      <c r="AO142" s="4">
        <v>0</v>
      </c>
      <c r="AP142" s="4">
        <v>0</v>
      </c>
      <c r="AQ142" s="4">
        <v>0</v>
      </c>
      <c r="AS142" s="4" cm="1">
        <f t="array" ref="AS142:AU142">_xlfn.UNIQUE({2,1,2,1},{1,1,1},{0,1,1})</f>
        <v>2</v>
      </c>
      <c r="AT142" s="4">
        <v>0</v>
      </c>
      <c r="AU142" s="4">
        <v>0</v>
      </c>
    </row>
    <row r="143" spans="1:49" x14ac:dyDescent="0.15">
      <c r="A143" s="99" t="s">
        <v>337</v>
      </c>
      <c r="B143" s="101" t="s">
        <v>541</v>
      </c>
      <c r="C143" s="13">
        <v>-1.1000000000000001</v>
      </c>
      <c r="D143" s="13">
        <v>2.1</v>
      </c>
      <c r="E143" s="13">
        <v>3</v>
      </c>
      <c r="F143" s="13">
        <v>4</v>
      </c>
      <c r="G143" s="13">
        <v>4.0999999999999996</v>
      </c>
      <c r="H143" s="14"/>
      <c r="I143" s="14" t="s">
        <v>338</v>
      </c>
      <c r="J143" s="14" t="b">
        <v>1</v>
      </c>
      <c r="K143" s="14" t="e">
        <f>#VALUE!</f>
        <v>#VALUE!</v>
      </c>
      <c r="L143" s="14" t="e">
        <v>#N/A</v>
      </c>
      <c r="M143" s="15" t="e">
        <v>#DIV/0!</v>
      </c>
      <c r="N143" s="15" t="e">
        <v>#NAME?</v>
      </c>
      <c r="O143" s="15" t="e">
        <v>#NULL!</v>
      </c>
      <c r="P143" s="15" t="e">
        <v>#NUM!</v>
      </c>
      <c r="Q143" s="15" t="e">
        <v>#REF!</v>
      </c>
      <c r="R143" s="4">
        <f>VLOOKUP(C143,{-1.1,5;2.1,6;3.1,7;4.1,8},2,0)</f>
        <v>5</v>
      </c>
      <c r="S143" s="4">
        <f>VLOOKUP(D143,{-1.1,5;2.1,6;3.1,7;4.1,8},2,0)</f>
        <v>6</v>
      </c>
      <c r="T143" s="4" t="e">
        <f>VLOOKUP(E143,{-1.1,5;2.1,6;3.1,7;4.1,8},2,0)</f>
        <v>#N/A</v>
      </c>
      <c r="U143" s="4" t="e">
        <f>VLOOKUP(F143,{-1.1,5;2.1,6;3.1,7;4.1,8},2,0)</f>
        <v>#N/A</v>
      </c>
      <c r="V143" s="4">
        <f>VLOOKUP(G143,{-1.1,5;2.1,6;3.1,7;4.1,8},2,0)</f>
        <v>8</v>
      </c>
      <c r="W143" s="4" t="e">
        <f>VLOOKUP(H143,{-1.1,5;2.1,6;3.1,7;4.1,8},2,0)</f>
        <v>#N/A</v>
      </c>
      <c r="X143" s="4" t="e">
        <f>VLOOKUP(I143,{-1.1,5;2.1,6;3.1,7;4.1,8},2,0)</f>
        <v>#N/A</v>
      </c>
      <c r="Y143" s="4" t="e">
        <f>VLOOKUP(J143,{-1.1,5;2.1,6;3.1,7;4.1,8},2,0)</f>
        <v>#N/A</v>
      </c>
      <c r="Z143" s="4" t="e">
        <f>VLOOKUP(K143,{-1.1,5;2.1,6;3.1,7;4.1,8},2,0)</f>
        <v>#VALUE!</v>
      </c>
      <c r="AA143" s="4" t="e">
        <f>VLOOKUP(L143,{-1.1,5;2.1,6;3.1,7;4.1,8},2,0)</f>
        <v>#N/A</v>
      </c>
      <c r="AB143" s="4" t="e">
        <f>VLOOKUP(M143,{-1.1,5;2.1,6;3.1,7;4.1,8},2,0)</f>
        <v>#DIV/0!</v>
      </c>
      <c r="AC143" s="4" t="e">
        <f>VLOOKUP(N143,{-1.1,5;2.1,6;3.1,7;4.1,8},2,0)</f>
        <v>#NAME?</v>
      </c>
      <c r="AD143" s="4" t="e">
        <f>VLOOKUP(O143,{-1.1,5;2.1,6;3.1,7;4.1,8},2,0)</f>
        <v>#NULL!</v>
      </c>
      <c r="AE143" s="4" t="e">
        <f>VLOOKUP(P143,{-1.1,5;2.1,6;3.1,7;4.1,8},2,0)</f>
        <v>#NUM!</v>
      </c>
      <c r="AF143" s="4" t="e">
        <f>VLOOKUP(Q143,{-1.1,5;2.1,6;3.1,7;4.1,8},2,0)</f>
        <v>#REF!</v>
      </c>
    </row>
    <row r="144" spans="1:49" x14ac:dyDescent="0.15">
      <c r="A144" s="99"/>
      <c r="B144" s="101"/>
      <c r="C144" s="13">
        <v>-1.1000000000000001</v>
      </c>
      <c r="D144" s="13">
        <v>2.1</v>
      </c>
      <c r="E144" s="13">
        <v>3</v>
      </c>
      <c r="F144" s="13">
        <v>4</v>
      </c>
      <c r="G144" s="13">
        <v>4.0999999999999996</v>
      </c>
      <c r="H144" s="14"/>
      <c r="I144" s="14" t="s">
        <v>338</v>
      </c>
      <c r="J144" s="14" t="b">
        <v>1</v>
      </c>
      <c r="K144" s="14" t="e">
        <f>#VALUE!</f>
        <v>#VALUE!</v>
      </c>
      <c r="L144" s="14" t="e">
        <v>#N/A</v>
      </c>
      <c r="M144" s="15" t="e">
        <v>#DIV/0!</v>
      </c>
      <c r="N144" s="15" t="e">
        <v>#NAME?</v>
      </c>
      <c r="O144" s="15" t="e">
        <v>#NULL!</v>
      </c>
      <c r="P144" s="15" t="e">
        <v>#NUM!</v>
      </c>
      <c r="Q144" s="15" t="e">
        <v>#REF!</v>
      </c>
      <c r="R144" s="4">
        <f>VLOOKUP(C144,{-1.1,5;2.1,6;3.1,7;4.1,8},2,-2)</f>
        <v>5</v>
      </c>
      <c r="S144" s="4">
        <f>VLOOKUP(D144,{-1.1,5;2.1,6;3.1,7;4.1,8},2,-2)</f>
        <v>6</v>
      </c>
      <c r="T144" s="4">
        <f>VLOOKUP(E144,{-1.1,5;2.1,6;3.1,7;4.1,8},2,-2)</f>
        <v>6</v>
      </c>
      <c r="U144" s="4">
        <f>VLOOKUP(F144,{-1.1,5;2.1,6;3.1,7;4.1,8},2,-2)</f>
        <v>7</v>
      </c>
      <c r="V144" s="4">
        <f>VLOOKUP(G144,{-1.1,5;2.1,6;3.1,7;4.1,8},2,-2)</f>
        <v>8</v>
      </c>
      <c r="W144" s="4">
        <f>VLOOKUP(H144,{-1.1,5;2.1,6;3.1,7;4.1,8},2,-2)</f>
        <v>5</v>
      </c>
      <c r="X144" s="4" t="e">
        <f>VLOOKUP(I144,{-1.1,5;2.1,6;3.1,7;4.1,8},2,-2)</f>
        <v>#N/A</v>
      </c>
      <c r="Y144" s="4" t="e">
        <f>VLOOKUP(J144,{-1.1,5;2.1,6;3.1,7;4.1,8},2,-2)</f>
        <v>#N/A</v>
      </c>
      <c r="Z144" s="4" t="e">
        <f>VLOOKUP(K144,{-1.1,5;2.1,6;3.1,7;4.1,8},2,-2)</f>
        <v>#VALUE!</v>
      </c>
      <c r="AA144" s="4" t="e">
        <f>VLOOKUP(L144,{-1.1,5;2.1,6;3.1,7;4.1,8},2,-2)</f>
        <v>#N/A</v>
      </c>
      <c r="AB144" s="4" t="e">
        <f>VLOOKUP(M144,{-1.1,5;2.1,6;3.1,7;4.1,8},2,-2)</f>
        <v>#DIV/0!</v>
      </c>
      <c r="AC144" s="4" t="e">
        <f>VLOOKUP(N144,{-1.1,5;2.1,6;3.1,7;4.1,8},2,-2)</f>
        <v>#NAME?</v>
      </c>
      <c r="AD144" s="4" t="e">
        <f>VLOOKUP(O144,{-1.1,5;2.1,6;3.1,7;4.1,8},2,-2)</f>
        <v>#NULL!</v>
      </c>
      <c r="AE144" s="4" t="e">
        <f>VLOOKUP(P144,{-1.1,5;2.1,6;3.1,7;4.1,8},2,-2)</f>
        <v>#NUM!</v>
      </c>
      <c r="AF144" s="4" t="e">
        <f>VLOOKUP(Q144,{-1.1,5;2.1,6;3.1,7;4.1,8},2,-2)</f>
        <v>#REF!</v>
      </c>
    </row>
    <row r="145" spans="1:32" x14ac:dyDescent="0.15">
      <c r="A145" s="99"/>
      <c r="B145" s="101"/>
      <c r="C145" s="13">
        <v>-1.1000000000000001</v>
      </c>
      <c r="D145" s="13">
        <v>2.1</v>
      </c>
      <c r="E145" s="13">
        <v>3</v>
      </c>
      <c r="F145" s="13">
        <v>4</v>
      </c>
      <c r="G145" s="13">
        <v>4.0999999999999996</v>
      </c>
      <c r="H145" s="14"/>
      <c r="I145" s="14" t="s">
        <v>338</v>
      </c>
      <c r="J145" s="14" t="b">
        <v>1</v>
      </c>
      <c r="K145" s="14" t="e">
        <f>#VALUE!</f>
        <v>#VALUE!</v>
      </c>
      <c r="L145" s="14" t="e">
        <v>#N/A</v>
      </c>
      <c r="M145" s="15" t="e">
        <v>#DIV/0!</v>
      </c>
      <c r="N145" s="15" t="e">
        <v>#NAME?</v>
      </c>
      <c r="O145" s="15" t="e">
        <v>#NULL!</v>
      </c>
      <c r="P145" s="15" t="e">
        <v>#NUM!</v>
      </c>
      <c r="Q145" s="15" t="e">
        <v>#REF!</v>
      </c>
      <c r="R145" s="4">
        <f>VLOOKUP(C145,{-1.1,5;2.1,6;3.1,7;4.1,8},{2,3},-2)</f>
        <v>5</v>
      </c>
      <c r="S145" s="4">
        <f>VLOOKUP(D145,{-1.1,5;2.1,6;3.1,7;4.1,8},{2,3},-2)</f>
        <v>6</v>
      </c>
      <c r="T145" s="4">
        <f>VLOOKUP(E145,{-1.1,5;2.1,6;3.1,7;4.1,8},{2,3},-2)</f>
        <v>6</v>
      </c>
      <c r="U145" s="4">
        <f>VLOOKUP(F145,{-1.1,5;2.1,6;3.1,7;4.1,8},{2,3},-2)</f>
        <v>7</v>
      </c>
      <c r="V145" s="4">
        <f>VLOOKUP(G145,{-1.1,5;2.1,6;3.1,7;4.1,8},{2,3},-2)</f>
        <v>8</v>
      </c>
      <c r="W145" s="4">
        <f>VLOOKUP(H145,{-1.1,5;2.1,6;3.1,7;4.1,8},{2,3},-2)</f>
        <v>5</v>
      </c>
      <c r="X145" s="4" t="e">
        <f>VLOOKUP(I145,{-1.1,5;2.1,6;3.1,7;4.1,8},{2,3},-2)</f>
        <v>#N/A</v>
      </c>
      <c r="Y145" s="4" t="e">
        <f>VLOOKUP(J145,{-1.1,5;2.1,6;3.1,7;4.1,8},{2,3},-2)</f>
        <v>#N/A</v>
      </c>
      <c r="Z145" s="4" t="e">
        <f>VLOOKUP(K145,{-1.1,5;2.1,6;3.1,7;4.1,8},{2,3},-2)</f>
        <v>#VALUE!</v>
      </c>
      <c r="AA145" s="4" t="e">
        <f>VLOOKUP(L145,{-1.1,5;2.1,6;3.1,7;4.1,8},{2,3},-2)</f>
        <v>#N/A</v>
      </c>
      <c r="AB145" s="4" t="e">
        <f>VLOOKUP(M145,{-1.1,5;2.1,6;3.1,7;4.1,8},{2,3},-2)</f>
        <v>#DIV/0!</v>
      </c>
      <c r="AC145" s="4" t="e">
        <f>VLOOKUP(N145,{-1.1,5;2.1,6;3.1,7;4.1,8},{2,3},-2)</f>
        <v>#NAME?</v>
      </c>
      <c r="AD145" s="4" t="e">
        <f>VLOOKUP(O145,{-1.1,5;2.1,6;3.1,7;4.1,8},{2,3},-2)</f>
        <v>#NULL!</v>
      </c>
      <c r="AE145" s="4" t="e">
        <f>VLOOKUP(P145,{-1.1,5;2.1,6;3.1,7;4.1,8},{2,3},-2)</f>
        <v>#NUM!</v>
      </c>
      <c r="AF145" s="4" t="e">
        <f>VLOOKUP(Q145,{-1.1,5;2.1,6;3.1,7;4.1,8},{2,3},-2)</f>
        <v>#REF!</v>
      </c>
    </row>
    <row r="146" spans="1:32" x14ac:dyDescent="0.15">
      <c r="A146" s="99" t="s">
        <v>534</v>
      </c>
      <c r="B146" s="101" t="s">
        <v>541</v>
      </c>
      <c r="C146" s="13">
        <v>-1.1000000000000001</v>
      </c>
      <c r="D146" s="13">
        <v>2.1</v>
      </c>
      <c r="E146" s="13">
        <v>3</v>
      </c>
      <c r="F146" s="13">
        <v>4</v>
      </c>
      <c r="G146" s="13">
        <v>4.0999999999999996</v>
      </c>
      <c r="H146" s="14"/>
      <c r="I146" s="14" t="s">
        <v>338</v>
      </c>
      <c r="J146" s="14" t="b">
        <v>1</v>
      </c>
      <c r="K146" s="14" t="e">
        <f>#VALUE!</f>
        <v>#VALUE!</v>
      </c>
      <c r="L146" s="14" t="e">
        <v>#N/A</v>
      </c>
      <c r="M146" s="15" t="e">
        <v>#DIV/0!</v>
      </c>
      <c r="N146" s="15" t="e">
        <v>#NAME?</v>
      </c>
      <c r="O146" s="15" t="e">
        <v>#NULL!</v>
      </c>
      <c r="P146" s="15" t="e">
        <v>#NUM!</v>
      </c>
      <c r="Q146" s="15" t="e">
        <v>#REF!</v>
      </c>
      <c r="R146" s="4" cm="1">
        <f t="array" ref="R146:Z155">_xlfn.VSTACK(C146:C147,D146,E146:E148,F146:G146,F147:G148,C147:K147)</f>
        <v>-1.1000000000000001</v>
      </c>
      <c r="S146" s="4" t="e">
        <v>#N/A</v>
      </c>
      <c r="T146" s="4" t="e">
        <v>#N/A</v>
      </c>
      <c r="U146" s="4" t="e">
        <v>#N/A</v>
      </c>
      <c r="V146" s="4" t="e">
        <v>#N/A</v>
      </c>
      <c r="W146" s="4" t="e">
        <v>#N/A</v>
      </c>
      <c r="X146" s="4" t="e">
        <v>#N/A</v>
      </c>
      <c r="Y146" s="4" t="e">
        <v>#N/A</v>
      </c>
      <c r="Z146" s="4" t="e">
        <v>#N/A</v>
      </c>
    </row>
    <row r="147" spans="1:32" x14ac:dyDescent="0.15">
      <c r="A147" s="99"/>
      <c r="B147" s="101"/>
      <c r="C147" s="13">
        <v>-1.1000000000000001</v>
      </c>
      <c r="D147" s="13">
        <v>2.1</v>
      </c>
      <c r="E147" s="13">
        <v>3</v>
      </c>
      <c r="F147" s="13">
        <v>4</v>
      </c>
      <c r="G147" s="13">
        <v>4.0999999999999996</v>
      </c>
      <c r="H147" s="14"/>
      <c r="I147" s="14" t="s">
        <v>338</v>
      </c>
      <c r="J147" s="14" t="b">
        <v>1</v>
      </c>
      <c r="K147" s="14" t="e">
        <f>#VALUE!</f>
        <v>#VALUE!</v>
      </c>
      <c r="L147" s="14" t="e">
        <v>#N/A</v>
      </c>
      <c r="M147" s="15" t="e">
        <v>#DIV/0!</v>
      </c>
      <c r="N147" s="15" t="e">
        <v>#NAME?</v>
      </c>
      <c r="O147" s="15" t="e">
        <v>#NULL!</v>
      </c>
      <c r="P147" s="15" t="e">
        <v>#NUM!</v>
      </c>
      <c r="Q147" s="15" t="e">
        <v>#REF!</v>
      </c>
      <c r="R147" s="4">
        <v>-1.1000000000000001</v>
      </c>
      <c r="S147" s="4" t="e">
        <v>#N/A</v>
      </c>
      <c r="T147" s="4" t="e">
        <v>#N/A</v>
      </c>
      <c r="U147" s="4" t="e">
        <v>#N/A</v>
      </c>
      <c r="V147" s="4" t="e">
        <v>#N/A</v>
      </c>
      <c r="W147" s="4" t="e">
        <v>#N/A</v>
      </c>
      <c r="X147" s="4" t="e">
        <v>#N/A</v>
      </c>
      <c r="Y147" s="4" t="e">
        <v>#N/A</v>
      </c>
      <c r="Z147" s="4" t="e">
        <v>#N/A</v>
      </c>
    </row>
    <row r="148" spans="1:32" x14ac:dyDescent="0.15">
      <c r="A148" s="99"/>
      <c r="B148" s="101"/>
      <c r="C148" s="13">
        <v>-1.1000000000000001</v>
      </c>
      <c r="D148" s="13">
        <v>2.1</v>
      </c>
      <c r="E148" s="13">
        <v>3</v>
      </c>
      <c r="F148" s="13">
        <v>4</v>
      </c>
      <c r="G148" s="13">
        <v>4.0999999999999996</v>
      </c>
      <c r="H148" s="14"/>
      <c r="I148" s="14" t="s">
        <v>338</v>
      </c>
      <c r="J148" s="14" t="b">
        <v>1</v>
      </c>
      <c r="K148" s="14" t="e">
        <f>#VALUE!</f>
        <v>#VALUE!</v>
      </c>
      <c r="L148" s="14" t="e">
        <v>#N/A</v>
      </c>
      <c r="M148" s="15" t="e">
        <v>#DIV/0!</v>
      </c>
      <c r="N148" s="15" t="e">
        <v>#NAME?</v>
      </c>
      <c r="O148" s="15" t="e">
        <v>#NULL!</v>
      </c>
      <c r="P148" s="15" t="e">
        <v>#NUM!</v>
      </c>
      <c r="Q148" s="15" t="e">
        <v>#REF!</v>
      </c>
      <c r="R148" s="4">
        <v>2.1</v>
      </c>
      <c r="S148" s="4" t="e">
        <v>#N/A</v>
      </c>
      <c r="T148" s="4" t="e">
        <v>#N/A</v>
      </c>
      <c r="U148" s="4" t="e">
        <v>#N/A</v>
      </c>
      <c r="V148" s="4" t="e">
        <v>#N/A</v>
      </c>
      <c r="W148" s="4" t="e">
        <v>#N/A</v>
      </c>
      <c r="X148" s="4" t="e">
        <v>#N/A</v>
      </c>
      <c r="Y148" s="4" t="e">
        <v>#N/A</v>
      </c>
      <c r="Z148" s="4" t="e">
        <v>#N/A</v>
      </c>
    </row>
    <row r="149" spans="1:32" x14ac:dyDescent="0.15">
      <c r="A149" s="99"/>
      <c r="B149" s="101"/>
      <c r="C149" s="13"/>
      <c r="D149" s="13"/>
      <c r="E149" s="13"/>
      <c r="F149" s="13"/>
      <c r="G149" s="13"/>
      <c r="H149" s="14"/>
      <c r="I149" s="14"/>
      <c r="J149" s="14"/>
      <c r="K149" s="14"/>
      <c r="L149" s="14"/>
      <c r="M149" s="15"/>
      <c r="N149" s="15"/>
      <c r="O149" s="15"/>
      <c r="P149" s="15"/>
      <c r="Q149" s="15"/>
      <c r="R149" s="4">
        <v>3</v>
      </c>
      <c r="S149" s="4" t="e">
        <v>#N/A</v>
      </c>
      <c r="T149" s="4" t="e">
        <v>#N/A</v>
      </c>
      <c r="U149" s="4" t="e">
        <v>#N/A</v>
      </c>
      <c r="V149" s="4" t="e">
        <v>#N/A</v>
      </c>
      <c r="W149" s="4" t="e">
        <v>#N/A</v>
      </c>
      <c r="X149" s="4" t="e">
        <v>#N/A</v>
      </c>
      <c r="Y149" s="4" t="e">
        <v>#N/A</v>
      </c>
      <c r="Z149" s="4" t="e">
        <v>#N/A</v>
      </c>
    </row>
    <row r="150" spans="1:32" x14ac:dyDescent="0.15">
      <c r="A150" s="99"/>
      <c r="B150" s="101"/>
      <c r="C150" s="13"/>
      <c r="D150" s="13"/>
      <c r="E150" s="13"/>
      <c r="F150" s="13"/>
      <c r="G150" s="13"/>
      <c r="H150" s="14"/>
      <c r="I150" s="14"/>
      <c r="J150" s="14"/>
      <c r="K150" s="14"/>
      <c r="L150" s="14"/>
      <c r="M150" s="15"/>
      <c r="N150" s="15"/>
      <c r="O150" s="15"/>
      <c r="P150" s="15"/>
      <c r="Q150" s="15"/>
      <c r="R150" s="4">
        <v>3</v>
      </c>
      <c r="S150" s="4" t="e">
        <v>#N/A</v>
      </c>
      <c r="T150" s="4" t="e">
        <v>#N/A</v>
      </c>
      <c r="U150" s="4" t="e">
        <v>#N/A</v>
      </c>
      <c r="V150" s="4" t="e">
        <v>#N/A</v>
      </c>
      <c r="W150" s="4" t="e">
        <v>#N/A</v>
      </c>
      <c r="X150" s="4" t="e">
        <v>#N/A</v>
      </c>
      <c r="Y150" s="4" t="e">
        <v>#N/A</v>
      </c>
      <c r="Z150" s="4" t="e">
        <v>#N/A</v>
      </c>
    </row>
    <row r="151" spans="1:32" x14ac:dyDescent="0.15">
      <c r="A151" s="99"/>
      <c r="B151" s="101"/>
      <c r="C151" s="13"/>
      <c r="D151" s="13"/>
      <c r="E151" s="13"/>
      <c r="F151" s="13"/>
      <c r="G151" s="13"/>
      <c r="H151" s="14"/>
      <c r="I151" s="14"/>
      <c r="J151" s="14"/>
      <c r="K151" s="14"/>
      <c r="L151" s="14"/>
      <c r="M151" s="15"/>
      <c r="N151" s="15"/>
      <c r="O151" s="15"/>
      <c r="P151" s="15"/>
      <c r="Q151" s="15"/>
      <c r="R151" s="4">
        <v>3</v>
      </c>
      <c r="S151" s="4" t="e">
        <v>#N/A</v>
      </c>
      <c r="T151" s="4" t="e">
        <v>#N/A</v>
      </c>
      <c r="U151" s="4" t="e">
        <v>#N/A</v>
      </c>
      <c r="V151" s="4" t="e">
        <v>#N/A</v>
      </c>
      <c r="W151" s="4" t="e">
        <v>#N/A</v>
      </c>
      <c r="X151" s="4" t="e">
        <v>#N/A</v>
      </c>
      <c r="Y151" s="4" t="e">
        <v>#N/A</v>
      </c>
      <c r="Z151" s="4" t="e">
        <v>#N/A</v>
      </c>
    </row>
    <row r="152" spans="1:32" x14ac:dyDescent="0.15">
      <c r="A152" s="99"/>
      <c r="B152" s="101"/>
      <c r="C152" s="13"/>
      <c r="D152" s="13"/>
      <c r="E152" s="13"/>
      <c r="F152" s="13"/>
      <c r="G152" s="13"/>
      <c r="H152" s="14"/>
      <c r="I152" s="14"/>
      <c r="J152" s="14"/>
      <c r="K152" s="14"/>
      <c r="L152" s="14"/>
      <c r="M152" s="15"/>
      <c r="N152" s="15"/>
      <c r="O152" s="15"/>
      <c r="P152" s="15"/>
      <c r="Q152" s="15"/>
      <c r="R152" s="4">
        <v>4</v>
      </c>
      <c r="S152" s="4">
        <v>4.0999999999999996</v>
      </c>
      <c r="T152" s="4" t="e">
        <v>#N/A</v>
      </c>
      <c r="U152" s="4" t="e">
        <v>#N/A</v>
      </c>
      <c r="V152" s="4" t="e">
        <v>#N/A</v>
      </c>
      <c r="W152" s="4" t="e">
        <v>#N/A</v>
      </c>
      <c r="X152" s="4" t="e">
        <v>#N/A</v>
      </c>
      <c r="Y152" s="4" t="e">
        <v>#N/A</v>
      </c>
      <c r="Z152" s="4" t="e">
        <v>#N/A</v>
      </c>
    </row>
    <row r="153" spans="1:32" x14ac:dyDescent="0.15">
      <c r="A153" s="99"/>
      <c r="B153" s="101"/>
      <c r="C153" s="13"/>
      <c r="D153" s="13"/>
      <c r="E153" s="13"/>
      <c r="F153" s="13"/>
      <c r="G153" s="13"/>
      <c r="H153" s="14"/>
      <c r="I153" s="14"/>
      <c r="J153" s="14"/>
      <c r="K153" s="14"/>
      <c r="L153" s="14"/>
      <c r="M153" s="15"/>
      <c r="N153" s="15"/>
      <c r="O153" s="15"/>
      <c r="P153" s="15"/>
      <c r="Q153" s="15"/>
      <c r="R153" s="4">
        <v>4</v>
      </c>
      <c r="S153" s="4">
        <v>4.0999999999999996</v>
      </c>
      <c r="T153" s="4" t="e">
        <v>#N/A</v>
      </c>
      <c r="U153" s="4" t="e">
        <v>#N/A</v>
      </c>
      <c r="V153" s="4" t="e">
        <v>#N/A</v>
      </c>
      <c r="W153" s="4" t="e">
        <v>#N/A</v>
      </c>
      <c r="X153" s="4" t="e">
        <v>#N/A</v>
      </c>
      <c r="Y153" s="4" t="e">
        <v>#N/A</v>
      </c>
      <c r="Z153" s="4" t="e">
        <v>#N/A</v>
      </c>
    </row>
    <row r="154" spans="1:32" x14ac:dyDescent="0.15">
      <c r="A154" s="99"/>
      <c r="B154" s="101"/>
      <c r="C154" s="13"/>
      <c r="D154" s="13"/>
      <c r="E154" s="13"/>
      <c r="F154" s="13"/>
      <c r="G154" s="13"/>
      <c r="H154" s="14"/>
      <c r="I154" s="14"/>
      <c r="J154" s="14"/>
      <c r="K154" s="14"/>
      <c r="L154" s="14"/>
      <c r="M154" s="15"/>
      <c r="N154" s="15"/>
      <c r="O154" s="15"/>
      <c r="P154" s="15"/>
      <c r="Q154" s="15"/>
      <c r="R154" s="4">
        <v>4</v>
      </c>
      <c r="S154" s="4">
        <v>4.0999999999999996</v>
      </c>
      <c r="T154" s="4" t="e">
        <v>#N/A</v>
      </c>
      <c r="U154" s="4" t="e">
        <v>#N/A</v>
      </c>
      <c r="V154" s="4" t="e">
        <v>#N/A</v>
      </c>
      <c r="W154" s="4" t="e">
        <v>#N/A</v>
      </c>
      <c r="X154" s="4" t="e">
        <v>#N/A</v>
      </c>
      <c r="Y154" s="4" t="e">
        <v>#N/A</v>
      </c>
      <c r="Z154" s="4" t="e">
        <v>#N/A</v>
      </c>
    </row>
    <row r="155" spans="1:32" x14ac:dyDescent="0.15">
      <c r="A155" s="37" t="s">
        <v>535</v>
      </c>
      <c r="B155" s="36" t="s">
        <v>541</v>
      </c>
      <c r="C155" s="13"/>
      <c r="D155" s="13"/>
      <c r="E155" s="13"/>
      <c r="F155" s="13" cm="1">
        <f t="array" ref="F155:J156">_xlfn.WRAPCOLS({1,2,3,4,5,6,7,8,9},2,6)</f>
        <v>1</v>
      </c>
      <c r="G155" s="13">
        <v>3</v>
      </c>
      <c r="H155" s="14">
        <v>5</v>
      </c>
      <c r="I155" s="14">
        <v>7</v>
      </c>
      <c r="J155" s="14">
        <v>9</v>
      </c>
      <c r="K155" s="14"/>
      <c r="L155" s="14" cm="1">
        <f t="array" ref="L155:M159">_xlfn.WRAPROWS({1,2,3,4,5,6,7,8,9},2,6)</f>
        <v>1</v>
      </c>
      <c r="M155" s="15">
        <v>2</v>
      </c>
      <c r="N155" s="15"/>
      <c r="O155" s="15" cm="1">
        <f t="array" ref="O155:P155">_xlfn.WRAPROWS({1,2,3,4,5,6,7,8,9},{1,2},6)</f>
        <v>1</v>
      </c>
      <c r="P155" s="15">
        <v>1</v>
      </c>
      <c r="Q155" s="15"/>
      <c r="R155" s="6">
        <v>-1.1000000000000001</v>
      </c>
      <c r="S155" s="6">
        <v>2.1</v>
      </c>
      <c r="T155" s="6">
        <v>3</v>
      </c>
      <c r="U155" s="6">
        <v>4</v>
      </c>
      <c r="V155" s="6">
        <v>4.0999999999999996</v>
      </c>
      <c r="W155" s="6">
        <v>0</v>
      </c>
      <c r="X155" s="6" t="str">
        <v>b</v>
      </c>
      <c r="Y155" s="6" t="b">
        <v>1</v>
      </c>
      <c r="Z155" s="6" t="e">
        <v>#VALUE!</v>
      </c>
      <c r="AA155" s="6"/>
      <c r="AB155" s="6"/>
      <c r="AC155" s="6"/>
      <c r="AD155" s="6"/>
      <c r="AE155" s="6"/>
      <c r="AF155" s="6"/>
    </row>
    <row r="156" spans="1:32" x14ac:dyDescent="0.15">
      <c r="A156" s="102" t="s">
        <v>536</v>
      </c>
      <c r="B156" s="100" t="s">
        <v>541</v>
      </c>
      <c r="C156" s="13"/>
      <c r="D156" s="13"/>
      <c r="E156" s="13"/>
      <c r="F156" s="13">
        <v>2</v>
      </c>
      <c r="G156" s="13">
        <v>4</v>
      </c>
      <c r="H156" s="14">
        <v>6</v>
      </c>
      <c r="I156" s="14">
        <v>8</v>
      </c>
      <c r="J156" s="14">
        <v>6</v>
      </c>
      <c r="K156" s="14"/>
      <c r="L156" s="14">
        <v>3</v>
      </c>
      <c r="M156" s="15">
        <v>4</v>
      </c>
      <c r="N156" s="15"/>
      <c r="O156" s="15" t="e" cm="1">
        <f t="array" ref="O156:Z156">_xlfn.WRAPROWS({1,2,3,4,5,6,7,8,9},C148:N148,6)</f>
        <v>#NUM!</v>
      </c>
      <c r="P156" s="15">
        <v>1</v>
      </c>
      <c r="Q156" s="15">
        <v>1</v>
      </c>
      <c r="R156" s="6">
        <v>1</v>
      </c>
      <c r="S156" s="6">
        <v>1</v>
      </c>
      <c r="T156" s="6" t="e">
        <v>#NUM!</v>
      </c>
      <c r="U156" s="6" t="e" vm="34">
        <v>#VALUE!</v>
      </c>
      <c r="V156" s="6">
        <v>1</v>
      </c>
      <c r="W156" s="6" t="e">
        <v>#VALUE!</v>
      </c>
      <c r="X156" s="6" t="e">
        <v>#N/A</v>
      </c>
      <c r="Y156" s="6" t="e">
        <v>#DIV/0!</v>
      </c>
      <c r="Z156" s="6" t="e">
        <v>#NAME?</v>
      </c>
      <c r="AA156" s="6"/>
      <c r="AB156" s="6"/>
      <c r="AC156" s="6"/>
      <c r="AD156" s="6"/>
      <c r="AE156" s="6"/>
      <c r="AF156" s="6"/>
    </row>
    <row r="157" spans="1:32" x14ac:dyDescent="0.15">
      <c r="A157" s="102"/>
      <c r="B157" s="100"/>
      <c r="C157" s="13"/>
      <c r="D157" s="13"/>
      <c r="E157" s="13"/>
      <c r="F157" s="13"/>
      <c r="G157" s="13"/>
      <c r="H157" s="14"/>
      <c r="I157" s="14"/>
      <c r="J157" s="14"/>
      <c r="K157" s="14"/>
      <c r="L157" s="14">
        <v>5</v>
      </c>
      <c r="M157" s="15">
        <v>6</v>
      </c>
      <c r="N157" s="15"/>
      <c r="O157" s="15"/>
      <c r="P157" s="15"/>
      <c r="Q157" s="15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 x14ac:dyDescent="0.15">
      <c r="A158" s="102"/>
      <c r="B158" s="100"/>
      <c r="C158" s="13"/>
      <c r="D158" s="13"/>
      <c r="E158" s="13"/>
      <c r="F158" s="13"/>
      <c r="G158" s="13"/>
      <c r="H158" s="14"/>
      <c r="I158" s="14"/>
      <c r="J158" s="14"/>
      <c r="K158" s="14"/>
      <c r="L158" s="14">
        <v>7</v>
      </c>
      <c r="M158" s="15">
        <v>8</v>
      </c>
      <c r="N158" s="15"/>
      <c r="O158" s="15"/>
      <c r="P158" s="15"/>
      <c r="Q158" s="15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 x14ac:dyDescent="0.15">
      <c r="A159" s="102"/>
      <c r="B159" s="100"/>
      <c r="C159" s="13"/>
      <c r="D159" s="13"/>
      <c r="E159" s="13"/>
      <c r="F159" s="13"/>
      <c r="G159" s="13"/>
      <c r="H159" s="14"/>
      <c r="I159" s="14"/>
      <c r="J159" s="14"/>
      <c r="K159" s="14"/>
      <c r="L159" s="14">
        <v>9</v>
      </c>
      <c r="M159" s="15">
        <v>6</v>
      </c>
      <c r="N159" s="15"/>
      <c r="O159" s="15"/>
      <c r="P159" s="15"/>
      <c r="Q159" s="15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1:32" x14ac:dyDescent="0.15">
      <c r="A160" s="102"/>
      <c r="B160" s="100"/>
      <c r="C160" s="13"/>
      <c r="D160" s="13"/>
      <c r="E160" s="13"/>
      <c r="F160" s="13"/>
      <c r="G160" s="13"/>
      <c r="H160" s="14"/>
      <c r="I160" s="14"/>
      <c r="J160" s="14"/>
      <c r="K160" s="14"/>
      <c r="L160" s="14"/>
      <c r="M160" s="15"/>
      <c r="N160" s="15"/>
      <c r="O160" s="15"/>
      <c r="P160" s="15"/>
      <c r="Q160" s="15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49" x14ac:dyDescent="0.15">
      <c r="A161" s="102"/>
      <c r="B161" s="100"/>
      <c r="C161" s="13"/>
      <c r="D161" s="13"/>
      <c r="E161" s="13"/>
      <c r="F161" s="13"/>
      <c r="G161" s="13"/>
      <c r="H161" s="14"/>
      <c r="I161" s="14"/>
      <c r="J161" s="14"/>
      <c r="K161" s="14"/>
      <c r="L161" s="14"/>
      <c r="M161" s="15"/>
      <c r="N161" s="15"/>
      <c r="O161" s="15"/>
      <c r="P161" s="15"/>
      <c r="Q161" s="15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1:49" x14ac:dyDescent="0.15">
      <c r="A162" s="99" t="s">
        <v>512</v>
      </c>
      <c r="B162" s="100" t="s">
        <v>541</v>
      </c>
      <c r="C162" s="13">
        <v>-1.1000000000000001</v>
      </c>
      <c r="D162" s="13">
        <v>2.1</v>
      </c>
      <c r="E162" s="13">
        <v>3</v>
      </c>
      <c r="F162" s="13">
        <v>4</v>
      </c>
      <c r="G162" s="13">
        <v>4.0999999999999996</v>
      </c>
      <c r="H162" s="14"/>
      <c r="I162" s="14" t="s">
        <v>338</v>
      </c>
      <c r="J162" s="14" t="b">
        <v>1</v>
      </c>
      <c r="K162" s="14" t="e">
        <f>#VALUE!</f>
        <v>#VALUE!</v>
      </c>
      <c r="L162" s="14" t="e">
        <v>#N/A</v>
      </c>
      <c r="M162" s="15" t="e">
        <v>#DIV/0!</v>
      </c>
      <c r="N162" s="15" t="e">
        <v>#NAME?</v>
      </c>
      <c r="O162" s="15" t="e">
        <v>#NULL!</v>
      </c>
      <c r="P162" s="15" t="e">
        <v>#NUM!</v>
      </c>
      <c r="Q162" s="15" t="e">
        <v>#REF!</v>
      </c>
      <c r="R162" s="6" t="str" cm="1">
        <f t="array" ref="R162">_xlfn.XLOOKUP(-2,{-1.1,2.1,3.1,4.1},{1,2,3,4}, "pippo")</f>
        <v>pippo</v>
      </c>
      <c r="S162" s="6" cm="1">
        <f t="array" ref="S162">_xlfn.XLOOKUP(2,{-1.1,2.1,3.1,4.1},{1,2,3,4},"pippo",1)</f>
        <v>2</v>
      </c>
      <c r="T162" s="6" cm="1">
        <f t="array" ref="T162">_xlfn.XLOOKUP(E162,{-1.1,2.1,3.1,4.1},{1,2,3,4},8,2,1)</f>
        <v>8</v>
      </c>
      <c r="U162" s="6">
        <f>LOOKUP(F162,{-1.1,2.1,3.1,4.1})</f>
        <v>3.1</v>
      </c>
      <c r="V162" s="6" cm="1">
        <f t="array" ref="V162">_xlfn.XLOOKUP(G162,{-1.1,2.1,3.1,4.1},{1,2,3,4})</f>
        <v>4</v>
      </c>
      <c r="W162" s="6" t="e" cm="1">
        <f t="array" ref="W162">_xlfn.XLOOKUP(20,{-1.1,2.1,3.1,4.1},{1,2,3,4})</f>
        <v>#N/A</v>
      </c>
      <c r="X162" s="6" t="e" cm="1">
        <f t="array" ref="X162">_xlfn.XLOOKUP(I162,{-1.1,2.1,3.1,4.1},{1,2,3,4})</f>
        <v>#N/A</v>
      </c>
      <c r="Y162" s="6" t="e" cm="1">
        <f t="array" ref="Y162">_xlfn.XLOOKUP(J162,{-1.1,2.1,3.1,4.1},{1,2,3,4})</f>
        <v>#N/A</v>
      </c>
      <c r="Z162" s="6" t="e" cm="1">
        <f t="array" ref="Z162">_xlfn.XLOOKUP(K162,{-1.1,2.1,3.1,4.1},{"L","ML","MR","R"})</f>
        <v>#VALUE!</v>
      </c>
      <c r="AA162" s="6" t="e" cm="1">
        <f t="array" ref="AA162">_xlfn.XLOOKUP(L162,{-1.1,2.1,3.1,4.1},{"L","ML","MR","R"})</f>
        <v>#N/A</v>
      </c>
      <c r="AB162" s="6" t="e" cm="1">
        <f t="array" ref="AB162">_xlfn.XLOOKUP(M162,{-1.1,2.1,3.1,4.1},{"L","ML","MR","R"})</f>
        <v>#DIV/0!</v>
      </c>
      <c r="AC162" s="6" t="e" cm="1">
        <f t="array" ref="AC162">_xlfn.XLOOKUP(N162,{-1.1,2.1,3.1,4.1},{"L","ML","MR","R"})</f>
        <v>#NAME?</v>
      </c>
      <c r="AD162" s="6" t="e" cm="1">
        <f t="array" ref="AD162">_xlfn.XLOOKUP(O162,{-1.1,2.1,3.1,4.1},{"L","ML","MR","R"})</f>
        <v>#NULL!</v>
      </c>
      <c r="AE162" s="6" t="e" cm="1">
        <f t="array" ref="AE162">_xlfn.XLOOKUP(P162,{-1.1,2.1,3.1,4.1},{"L","ML","MR","R"})</f>
        <v>#NUM!</v>
      </c>
      <c r="AF162" s="6" t="e" cm="1">
        <f t="array" ref="AF162">_xlfn.XLOOKUP(Q162,{-1.1,2.1,3.1,4.1},{"L","ML","MR","R"})</f>
        <v>#REF!</v>
      </c>
      <c r="AG162" s="6" t="str" cm="1">
        <f t="array" ref="AG162:AG170">_xlfn.XLOOKUP(20,{-1.1,2.1,3.1,4.1},{"L","ML","MR","R"},R162:R170)</f>
        <v>pippo</v>
      </c>
      <c r="AH162" s="6" t="str">
        <f t="array" ref="AH162:AW170">_xlfn.XLOOKUP(C162:Q162,{-1.1,2.1,3.1,4.1},{"L","ML","MR","R"},1,C163:Q163,C162:C169)</f>
        <v>R</v>
      </c>
      <c r="AI162" s="6" t="str">
        <v>ML</v>
      </c>
      <c r="AJ162" s="6">
        <v>1</v>
      </c>
      <c r="AK162" s="6" t="e">
        <v>#VALUE!</v>
      </c>
      <c r="AL162" s="6">
        <v>1</v>
      </c>
      <c r="AM162" s="6" t="str">
        <v>L</v>
      </c>
      <c r="AN162" s="6">
        <v>1</v>
      </c>
      <c r="AO162" s="6" t="e">
        <v>#VALUE!</v>
      </c>
      <c r="AP162" s="6" t="e">
        <v>#VALUE!</v>
      </c>
      <c r="AQ162" s="6" t="e">
        <v>#N/A</v>
      </c>
      <c r="AR162" s="6" t="e">
        <v>#DIV/0!</v>
      </c>
      <c r="AS162" s="6" t="e">
        <v>#NAME?</v>
      </c>
      <c r="AT162" s="6" t="e">
        <v>#NULL!</v>
      </c>
      <c r="AU162" s="6" t="e">
        <v>#NUM!</v>
      </c>
      <c r="AV162" s="6" t="e">
        <v>#REF!</v>
      </c>
      <c r="AW162" s="4" t="e">
        <v>#N/A</v>
      </c>
    </row>
    <row r="163" spans="1:49" x14ac:dyDescent="0.15">
      <c r="A163" s="99"/>
      <c r="B163" s="100"/>
      <c r="C163" s="13">
        <v>1</v>
      </c>
      <c r="D163" s="13">
        <v>-1</v>
      </c>
      <c r="E163" s="13">
        <v>0</v>
      </c>
      <c r="F163" s="13">
        <v>2</v>
      </c>
      <c r="G163" s="13">
        <v>1</v>
      </c>
      <c r="H163" s="13">
        <v>-1</v>
      </c>
      <c r="I163" s="13">
        <v>0</v>
      </c>
      <c r="J163" s="13">
        <v>2</v>
      </c>
      <c r="K163" s="13">
        <v>1</v>
      </c>
      <c r="L163" s="13">
        <v>-1</v>
      </c>
      <c r="M163" s="13">
        <v>0</v>
      </c>
      <c r="N163" s="13">
        <v>2</v>
      </c>
      <c r="O163" s="15">
        <v>3</v>
      </c>
      <c r="P163" s="15">
        <v>2</v>
      </c>
      <c r="Q163" s="15">
        <v>1</v>
      </c>
      <c r="R163" s="6" t="str" cm="1">
        <f t="array" ref="R163">_xlfn.XLOOKUP(-2,{"a",2.1,"b",4.1},{"L","ML","MR","R"},3,1)</f>
        <v>ML</v>
      </c>
      <c r="S163" s="6" t="str" cm="1">
        <f t="array" ref="S163">_xlfn.XLOOKUP(2,{"a",2.1,"b",4.1},{"L","ML","MR","R"},2,1)</f>
        <v>ML</v>
      </c>
      <c r="T163" s="6" cm="1">
        <f t="array" ref="T163">_xlfn.XLOOKUP(E162,{"a",2.1,"b",4.1},{"L","ML","MR","R"},-2,2)</f>
        <v>-2</v>
      </c>
      <c r="U163" s="6" cm="1">
        <f t="array" ref="U163">_xlfn.XLOOKUP(F162,{"a",2.1,"b",4.1},{"L","ML","MR","R"},1)</f>
        <v>1</v>
      </c>
      <c r="V163" s="6" t="str" cm="1">
        <f t="array" ref="V163">_xlfn.XLOOKUP(G162,{"a",2.1,"b",4.1},{"L","ML","MR","R"},1)</f>
        <v>R</v>
      </c>
      <c r="W163" s="6" cm="1">
        <f t="array" ref="W163">_xlfn.XLOOKUP(H162,{"a",2.1,"b",4.1},{"L","ML","MR","R"},1)</f>
        <v>1</v>
      </c>
      <c r="X163" s="6" t="str" cm="1">
        <f t="array" ref="X163">_xlfn.XLOOKUP(I162,{"a",2.1,"b",4.1},{"L","ML","MR","R"},1)</f>
        <v>MR</v>
      </c>
      <c r="Y163" s="6" cm="1">
        <f t="array" ref="Y163">_xlfn.XLOOKUP(J162,{"a",2.1,"b",4.1},{"L","ML","MR","R"},1)</f>
        <v>1</v>
      </c>
      <c r="Z163" s="6" t="e" cm="1">
        <f t="array" ref="Z163">_xlfn.XLOOKUP(K162,{"a",2.1,"b",4.1},{"L","ML","MR","R"},1)</f>
        <v>#VALUE!</v>
      </c>
      <c r="AA163" s="6" t="e" cm="1">
        <f t="array" ref="AA163">_xlfn.XLOOKUP(L162,{"a",2.1,"b",4.1},{"L","ML","MR","R"},1)</f>
        <v>#N/A</v>
      </c>
      <c r="AB163" s="6" t="e" cm="1">
        <f t="array" ref="AB163">_xlfn.XLOOKUP(M162,{"a",2.1,"b",4.1},{"L","ML","MR","R"},1)</f>
        <v>#DIV/0!</v>
      </c>
      <c r="AC163" s="6" t="e" cm="1">
        <f t="array" ref="AC163">_xlfn.XLOOKUP(N162,{"a",2.1,"b",4.1},{"L","ML","MR","R"},1)</f>
        <v>#NAME?</v>
      </c>
      <c r="AD163" s="6" t="e" cm="1">
        <f t="array" ref="AD163">_xlfn.XLOOKUP(O162,{"a",2.1,"b",4.1},{"L","ML","MR","R"},1)</f>
        <v>#NULL!</v>
      </c>
      <c r="AE163" s="6" t="e" cm="1">
        <f t="array" ref="AE163">_xlfn.XLOOKUP(P162,{"a",2.1,"b",4.1},{"L","ML","MR","R"},1)</f>
        <v>#NUM!</v>
      </c>
      <c r="AF163" s="6" t="e" cm="1">
        <f t="array" ref="AF163">_xlfn.XLOOKUP(Q162,{"a",2.1,"b",4.1},{"L","ML","MR","R"},1)</f>
        <v>#REF!</v>
      </c>
      <c r="AG163" s="6" t="str">
        <v>ML</v>
      </c>
      <c r="AH163" s="6" t="str">
        <v>L</v>
      </c>
      <c r="AI163" s="4" t="str">
        <v>ML</v>
      </c>
      <c r="AJ163" s="4">
        <v>1</v>
      </c>
      <c r="AK163" s="4">
        <v>1</v>
      </c>
      <c r="AL163" s="4" t="str">
        <v>R</v>
      </c>
      <c r="AM163" s="4" t="str">
        <v>R</v>
      </c>
      <c r="AN163" s="4">
        <v>1</v>
      </c>
      <c r="AO163" s="4">
        <v>1</v>
      </c>
      <c r="AP163" s="4" t="e">
        <v>#VALUE!</v>
      </c>
      <c r="AQ163" s="4" t="e">
        <v>#N/A</v>
      </c>
      <c r="AR163" s="4" t="e">
        <v>#DIV/0!</v>
      </c>
      <c r="AS163" s="4" t="e">
        <v>#NAME?</v>
      </c>
      <c r="AT163" s="4" t="e">
        <v>#NULL!</v>
      </c>
      <c r="AU163" s="4" t="e">
        <v>#NUM!</v>
      </c>
      <c r="AV163" s="4" t="e">
        <v>#REF!</v>
      </c>
      <c r="AW163" s="4" t="e">
        <v>#N/A</v>
      </c>
    </row>
    <row r="164" spans="1:49" x14ac:dyDescent="0.15">
      <c r="A164" s="99"/>
      <c r="B164" s="100"/>
      <c r="C164" s="13">
        <v>2</v>
      </c>
      <c r="D164" s="13"/>
      <c r="E164" s="13"/>
      <c r="F164" s="13"/>
      <c r="G164" s="13"/>
      <c r="H164" s="14"/>
      <c r="I164" s="14"/>
      <c r="J164" s="14"/>
      <c r="K164" s="14"/>
      <c r="L164" s="14"/>
      <c r="M164" s="15"/>
      <c r="N164" s="15"/>
      <c r="O164" s="15"/>
      <c r="P164" s="15"/>
      <c r="Q164" s="15"/>
      <c r="R164" s="6" cm="1">
        <f t="array" ref="R164">_xlfn.XLOOKUP(-2,{FALSE,2.1,TRUE,4.1},{"L","ML","MR","R"},2,-1)</f>
        <v>2</v>
      </c>
      <c r="S164" s="6" t="str" cm="1">
        <f t="array" ref="S164">_xlfn.XLOOKUP(2,{FALSE,2.1,TRUE,4.1},{"L","ML","MR","R"},2,1)</f>
        <v>ML</v>
      </c>
      <c r="T164" s="6" cm="1">
        <f t="array" ref="T164">_xlfn.XLOOKUP(E162,{FALSE,2.1,TRUE,4.1},{"L","ML","MR","R"},2,2)</f>
        <v>2</v>
      </c>
      <c r="U164" s="6" t="e" cm="1">
        <f t="array" ref="U164">_xlfn.XLOOKUP(F162,{FALSE,2.1,TRUE,4.1},{"L","ML","MR","R"})</f>
        <v>#N/A</v>
      </c>
      <c r="V164" s="6" t="str" cm="1">
        <f t="array" ref="V164">_xlfn.XLOOKUP(G162,{FALSE,2.1,TRUE,4.1},{"L","ML","MR","R"})</f>
        <v>R</v>
      </c>
      <c r="W164" s="6" t="e" cm="1">
        <f t="array" ref="W164">_xlfn.XLOOKUP(H162,{FALSE,2.1,TRUE,4.1},{"L","ML","MR","R"})</f>
        <v>#N/A</v>
      </c>
      <c r="X164" s="6" t="e" cm="1">
        <f t="array" ref="X164">_xlfn.XLOOKUP(I162,{FALSE,2.1,TRUE,4.1},{"L","ML","MR","R"})</f>
        <v>#N/A</v>
      </c>
      <c r="Y164" s="6" t="str" cm="1">
        <f t="array" ref="Y164">_xlfn.XLOOKUP(J162,{FALSE,2.1,TRUE,4.1},{"L","ML","MR","R"})</f>
        <v>MR</v>
      </c>
      <c r="Z164" s="6" t="e" cm="1">
        <f t="array" ref="Z164">_xlfn.XLOOKUP(K162,{FALSE,2.1,TRUE,4.1},{"L","ML","MR","R"})</f>
        <v>#VALUE!</v>
      </c>
      <c r="AA164" s="6" t="e" cm="1">
        <f t="array" ref="AA164">_xlfn.XLOOKUP(L162,{FALSE,2.1,TRUE,4.1},{"L","ML","MR","R"})</f>
        <v>#N/A</v>
      </c>
      <c r="AB164" s="6" t="e" cm="1">
        <f t="array" ref="AB164">_xlfn.XLOOKUP(M162,{FALSE,2.1,TRUE,4.1},{"L","ML","MR","R"})</f>
        <v>#DIV/0!</v>
      </c>
      <c r="AC164" s="6" t="e" cm="1">
        <f t="array" ref="AC164">_xlfn.XLOOKUP(N162,{FALSE,2.1,TRUE,4.1},{"L","ML","MR","R"})</f>
        <v>#NAME?</v>
      </c>
      <c r="AD164" s="6" t="e" cm="1">
        <f t="array" ref="AD164">_xlfn.XLOOKUP(O162,{FALSE,2.1,TRUE,4.1},{"L","ML","MR","R"})</f>
        <v>#NULL!</v>
      </c>
      <c r="AE164" s="6" t="e" cm="1">
        <f t="array" ref="AE164">_xlfn.XLOOKUP(P162,{FALSE,2.1,TRUE,4.1},{"L","ML","MR","R"})</f>
        <v>#NUM!</v>
      </c>
      <c r="AF164" s="6" t="e" cm="1">
        <f t="array" ref="AF164">_xlfn.XLOOKUP(Q162,{FALSE,2.1,TRUE,4.1},{"L","ML","MR","R"})</f>
        <v>#REF!</v>
      </c>
      <c r="AG164" s="6">
        <v>2</v>
      </c>
      <c r="AH164" s="6" t="str">
        <v>L</v>
      </c>
      <c r="AI164" s="4" t="str">
        <v>ML</v>
      </c>
      <c r="AJ164" s="4">
        <v>1</v>
      </c>
      <c r="AK164" s="4" t="e">
        <v>#VALUE!</v>
      </c>
      <c r="AL164" s="4" t="str">
        <v>R</v>
      </c>
      <c r="AM164" s="4" t="str">
        <v>R</v>
      </c>
      <c r="AN164" s="4">
        <v>1</v>
      </c>
      <c r="AO164" s="4" t="e">
        <v>#VALUE!</v>
      </c>
      <c r="AP164" s="4" t="e">
        <v>#VALUE!</v>
      </c>
      <c r="AQ164" s="4" t="e">
        <v>#N/A</v>
      </c>
      <c r="AR164" s="4" t="e">
        <v>#DIV/0!</v>
      </c>
      <c r="AS164" s="4" t="e">
        <v>#NAME?</v>
      </c>
      <c r="AT164" s="4" t="e">
        <v>#NULL!</v>
      </c>
      <c r="AU164" s="4" t="e">
        <v>#NUM!</v>
      </c>
      <c r="AV164" s="4" t="e">
        <v>#REF!</v>
      </c>
      <c r="AW164" s="4" t="e">
        <v>#N/A</v>
      </c>
    </row>
    <row r="165" spans="1:49" x14ac:dyDescent="0.15">
      <c r="A165" s="99"/>
      <c r="B165" s="100"/>
      <c r="C165" s="13">
        <v>-1</v>
      </c>
      <c r="D165" s="13"/>
      <c r="E165" s="13"/>
      <c r="F165" s="13"/>
      <c r="G165" s="13"/>
      <c r="H165" s="14"/>
      <c r="I165" s="14"/>
      <c r="J165" s="14"/>
      <c r="K165" s="14"/>
      <c r="L165" s="14"/>
      <c r="M165" s="15"/>
      <c r="N165" s="15"/>
      <c r="O165" s="15"/>
      <c r="P165" s="15"/>
      <c r="Q165" s="15"/>
      <c r="R165" s="6" cm="1">
        <f t="array" ref="R165">_xlfn.XLOOKUP(-2,{4.1,2.1,3.1,1.1},{"L","ML","MR","R"},4,-1)</f>
        <v>4</v>
      </c>
      <c r="S165" s="6" cm="1">
        <f t="array" ref="S165">_xlfn.XLOOKUP(2,{4.1,2.1,3.1,1.1},{"L","ML","MR","R"},2,2)</f>
        <v>2</v>
      </c>
      <c r="T165" s="6" t="str" cm="1">
        <f t="array" ref="T165">_xlfn.XLOOKUP(E162,{4.1,2.1,3.1,1.1},{"L","ML","MR","R"},2,-1)</f>
        <v>ML</v>
      </c>
      <c r="U165" s="6" cm="1">
        <f t="array" ref="U165">_xlfn.XLOOKUP(F162,{4.1,2.1,3.1,1.1}, {"L","ML","MR","R"},-1)</f>
        <v>-1</v>
      </c>
      <c r="V165" s="6" t="str" cm="1">
        <f t="array" ref="V165">_xlfn.XLOOKUP(G162,{4.1,2.1,3.1,1.1}, {"L","ML","MR","R"},-1)</f>
        <v>L</v>
      </c>
      <c r="W165" s="6" cm="1">
        <f t="array" ref="W165">_xlfn.XLOOKUP(H162,{4.1,2.1,3.1,1.1}, {"L","ML","MR","R"},-1)</f>
        <v>-1</v>
      </c>
      <c r="X165" s="6" cm="1">
        <f t="array" ref="X165">_xlfn.XLOOKUP(I162,{4.1,2.1,3.1,1.1}, {"L","ML","MR","R"},-1)</f>
        <v>-1</v>
      </c>
      <c r="Y165" s="6" cm="1">
        <f t="array" ref="Y165">_xlfn.XLOOKUP(J162,{4.1,2.1,3.1,1.1}, {"L","ML","MR","R"},-1)</f>
        <v>-1</v>
      </c>
      <c r="Z165" s="6" t="e" cm="1">
        <f t="array" ref="Z165">_xlfn.XLOOKUP(K162,{4.1,2.1,3.1,1.1}, {"L","ML","MR","R"},-1)</f>
        <v>#VALUE!</v>
      </c>
      <c r="AA165" s="6" t="e" cm="1">
        <f t="array" ref="AA165">_xlfn.XLOOKUP(L162,{4.1,2.1,3.1,1.1}, {"L","ML","MR","R"},-1)</f>
        <v>#N/A</v>
      </c>
      <c r="AB165" s="6" t="e" cm="1">
        <f t="array" ref="AB165">_xlfn.XLOOKUP(M162,{4.1,2.1,3.1,1.1}, {"L","ML","MR","R"},-1)</f>
        <v>#DIV/0!</v>
      </c>
      <c r="AC165" s="6" t="e" cm="1">
        <f t="array" ref="AC165">_xlfn.XLOOKUP(N162,{4.1,2.1,3.1,1.1}, {"L","ML","MR","R"},-1)</f>
        <v>#NAME?</v>
      </c>
      <c r="AD165" s="6" t="e" cm="1">
        <f t="array" ref="AD165">_xlfn.XLOOKUP(O162,{4.1,2.1,3.1,1.1}, {"L","ML","MR","R"},-1)</f>
        <v>#NULL!</v>
      </c>
      <c r="AE165" s="6" t="e" cm="1">
        <f t="array" ref="AE165">_xlfn.XLOOKUP(P162,{4.1,2.1,3.1,1.1}, {"L","ML","MR","R"},-1)</f>
        <v>#NUM!</v>
      </c>
      <c r="AF165" s="6" t="e" cm="1">
        <f t="array" ref="AF165">_xlfn.XLOOKUP(Q162,{4.1,2.1,3.1,1.1}, {"L","ML","MR","R"},-1)</f>
        <v>#REF!</v>
      </c>
      <c r="AG165" s="6">
        <v>4</v>
      </c>
      <c r="AH165" s="6" t="str">
        <v>L</v>
      </c>
      <c r="AI165" s="4" t="str">
        <v>ML</v>
      </c>
      <c r="AJ165" s="4">
        <v>1</v>
      </c>
      <c r="AK165" s="4">
        <v>1</v>
      </c>
      <c r="AL165" s="4" t="str">
        <v>R</v>
      </c>
      <c r="AM165" s="4" t="str">
        <v>R</v>
      </c>
      <c r="AN165" s="4">
        <v>1</v>
      </c>
      <c r="AO165" s="4">
        <v>1</v>
      </c>
      <c r="AP165" s="4" t="e">
        <v>#VALUE!</v>
      </c>
      <c r="AQ165" s="4" t="e">
        <v>#N/A</v>
      </c>
      <c r="AR165" s="4" t="e">
        <v>#DIV/0!</v>
      </c>
      <c r="AS165" s="4" t="e">
        <v>#NAME?</v>
      </c>
      <c r="AT165" s="4" t="e">
        <v>#NULL!</v>
      </c>
      <c r="AU165" s="4" t="e">
        <v>#NUM!</v>
      </c>
      <c r="AV165" s="4" t="e">
        <v>#REF!</v>
      </c>
      <c r="AW165" s="4" t="e">
        <v>#N/A</v>
      </c>
    </row>
    <row r="166" spans="1:49" x14ac:dyDescent="0.15">
      <c r="A166" s="99"/>
      <c r="B166" s="100"/>
      <c r="C166" s="13">
        <v>-2</v>
      </c>
      <c r="D166" s="13"/>
      <c r="E166" s="13"/>
      <c r="F166" s="13"/>
      <c r="G166" s="13"/>
      <c r="H166" s="14"/>
      <c r="I166" s="14"/>
      <c r="J166" s="14"/>
      <c r="K166" s="14"/>
      <c r="L166" s="14"/>
      <c r="M166" s="15"/>
      <c r="N166" s="15"/>
      <c r="O166" s="15"/>
      <c r="P166" s="15"/>
      <c r="Q166" s="15"/>
      <c r="R166" s="6" t="str" cm="1">
        <f t="array" ref="R166">_xlfn.XLOOKUP(-2,{"b",4.1,"a",1.1},{"L","ML","MR","R"},2,1)</f>
        <v>R</v>
      </c>
      <c r="S166" s="6" cm="1">
        <f t="array" ref="S166">_xlfn.XLOOKUP(2,{"b",4.1,"a",1.1},{"L","ML","MR","R"},2,2)</f>
        <v>2</v>
      </c>
      <c r="T166" s="6" t="str" cm="1">
        <f t="array" ref="T166">_xlfn.XLOOKUP(E162,{"b",4.1,"a",1.1},{"L","ML","MR","R"},2,1)</f>
        <v>ML</v>
      </c>
      <c r="U166" s="6" t="e" cm="1">
        <f t="array" ref="U166">_xlfn.XLOOKUP(F162,{"b",4.1,"a",1.1},{"L","ML","MR","R"})</f>
        <v>#N/A</v>
      </c>
      <c r="V166" s="6" t="str" cm="1">
        <f t="array" ref="V166">_xlfn.XLOOKUP(G162,{"b",4.1,"a",1.1},{"L","ML","MR","R"})</f>
        <v>ML</v>
      </c>
      <c r="W166" s="6" t="e" cm="1">
        <f t="array" ref="W166">_xlfn.XLOOKUP(H162,{"b",4.1,"a",1.1},{"L","ML","MR","R"})</f>
        <v>#N/A</v>
      </c>
      <c r="X166" s="6" t="str" cm="1">
        <f t="array" ref="X166">_xlfn.XLOOKUP(I162,{"b",4.1,"a",1.1},{"L","ML","MR","R"})</f>
        <v>L</v>
      </c>
      <c r="Y166" s="6" t="e" cm="1">
        <f t="array" ref="Y166">_xlfn.XLOOKUP(J162,{"b",4.1,"a",1.1},{"L","ML","MR","R"})</f>
        <v>#N/A</v>
      </c>
      <c r="Z166" s="6" t="e" cm="1">
        <f t="array" ref="Z166">_xlfn.XLOOKUP(K162,{"b",4.1,"a",1.1},{"L","ML","MR","R"})</f>
        <v>#VALUE!</v>
      </c>
      <c r="AA166" s="6" t="e" cm="1">
        <f t="array" ref="AA166">_xlfn.XLOOKUP(L162,{"b",4.1,"a",1.1},{"L","ML","MR","R"})</f>
        <v>#N/A</v>
      </c>
      <c r="AB166" s="6" t="e" cm="1">
        <f t="array" ref="AB166">_xlfn.XLOOKUP(M162,{"b",4.1,"a",1.1},{"L","ML","MR","R"})</f>
        <v>#DIV/0!</v>
      </c>
      <c r="AC166" s="6" t="e" cm="1">
        <f t="array" ref="AC166">_xlfn.XLOOKUP(N162,{"b",4.1,"a",1.1},{"L","ML","MR","R"})</f>
        <v>#NAME?</v>
      </c>
      <c r="AD166" s="6" t="e" cm="1">
        <f t="array" ref="AD166">_xlfn.XLOOKUP(O162,{"b",4.1,"a",1.1},{"L","ML","MR","R"})</f>
        <v>#NULL!</v>
      </c>
      <c r="AE166" s="6" t="e" cm="1">
        <f t="array" ref="AE166">_xlfn.XLOOKUP(P162,{"b",4.1,"a",1.1},{"L","ML","MR","R"})</f>
        <v>#NUM!</v>
      </c>
      <c r="AF166" s="6" t="e" cm="1">
        <f t="array" ref="AF166">_xlfn.XLOOKUP(Q162,{"b",4.1,"a",1.1},{"L","ML","MR","R"})</f>
        <v>#REF!</v>
      </c>
      <c r="AG166" s="6" t="str">
        <v>R</v>
      </c>
      <c r="AH166" s="6" t="str">
        <v>R</v>
      </c>
      <c r="AI166" s="4" t="str">
        <v>ML</v>
      </c>
      <c r="AJ166" s="4">
        <v>1</v>
      </c>
      <c r="AK166" s="4" t="e">
        <v>#VALUE!</v>
      </c>
      <c r="AL166" s="4">
        <v>1</v>
      </c>
      <c r="AM166" s="4" t="str">
        <v>L</v>
      </c>
      <c r="AN166" s="4">
        <v>1</v>
      </c>
      <c r="AO166" s="4" t="e">
        <v>#VALUE!</v>
      </c>
      <c r="AP166" s="4" t="e">
        <v>#VALUE!</v>
      </c>
      <c r="AQ166" s="4" t="e">
        <v>#N/A</v>
      </c>
      <c r="AR166" s="4" t="e">
        <v>#DIV/0!</v>
      </c>
      <c r="AS166" s="4" t="e">
        <v>#NAME?</v>
      </c>
      <c r="AT166" s="4" t="e">
        <v>#NULL!</v>
      </c>
      <c r="AU166" s="4" t="e">
        <v>#NUM!</v>
      </c>
      <c r="AV166" s="4" t="e">
        <v>#REF!</v>
      </c>
      <c r="AW166" s="4" t="e">
        <v>#N/A</v>
      </c>
    </row>
    <row r="167" spans="1:49" x14ac:dyDescent="0.15">
      <c r="A167" s="99"/>
      <c r="B167" s="100"/>
      <c r="C167" s="13">
        <v>0</v>
      </c>
      <c r="D167" s="13"/>
      <c r="E167" s="13"/>
      <c r="F167" s="13"/>
      <c r="G167" s="13"/>
      <c r="H167" s="14"/>
      <c r="I167" s="14"/>
      <c r="J167" s="14"/>
      <c r="K167" s="14"/>
      <c r="L167" s="14"/>
      <c r="M167" s="15"/>
      <c r="N167" s="15"/>
      <c r="O167" s="15"/>
      <c r="P167" s="15"/>
      <c r="Q167" s="15"/>
      <c r="R167" s="6" t="e" cm="1">
        <f t="array" ref="R167">_xlfn.XLOOKUP(-2,{"",4.1,"a",1.1},{"L","ML","MR","R"})</f>
        <v>#N/A</v>
      </c>
      <c r="S167" s="6" t="e" cm="1">
        <f t="array" ref="S167">_xlfn.XLOOKUP(2,{"",4.1,"a",1.1},{"L","ML","MR","R"})</f>
        <v>#N/A</v>
      </c>
      <c r="T167" s="6" t="str" cm="1">
        <f t="array" ref="T167">_xlfn.XLOOKUP(E162,{"",4.1,"a",1.1},{"L","ML","MR","R"},1,1)</f>
        <v>ML</v>
      </c>
      <c r="U167" s="6" t="str" cm="1">
        <f t="array" ref="U167">_xlfn.XLOOKUP(F162,{"",4.1,"a",1.1},{"L","ML","MR","R"},1,1)</f>
        <v>ML</v>
      </c>
      <c r="V167" s="6" t="str" cm="1">
        <f t="array" ref="V167">_xlfn.XLOOKUP(G162,{"",4.1,"a",1.1},{"L","ML","MR","R"},1,1)</f>
        <v>ML</v>
      </c>
      <c r="W167" s="6" cm="1">
        <f t="array" ref="W167">_xlfn.XLOOKUP(H162,{"",4.1,"a",1.1},{"L","ML","MR","R"},1,1)</f>
        <v>1</v>
      </c>
      <c r="X167" s="6" cm="1">
        <f t="array" ref="X167">_xlfn.XLOOKUP(I162,{"",4.1,"a",1.1},{"L","ML","MR","R"},1,1)</f>
        <v>1</v>
      </c>
      <c r="Y167" s="6" cm="1">
        <f t="array" ref="Y167">_xlfn.XLOOKUP(J162,{"",4.1,"a",1.1},{"L","ML","MR","R"},1,1)</f>
        <v>1</v>
      </c>
      <c r="Z167" s="6" t="e" cm="1">
        <f t="array" ref="Z167">_xlfn.XLOOKUP(K162,{"",4.1,"a",1.1},{"L","ML","MR","R"},1,1)</f>
        <v>#VALUE!</v>
      </c>
      <c r="AA167" s="6" t="e" cm="1">
        <f t="array" ref="AA167">_xlfn.XLOOKUP(L162,{"",4.1,"a",1.1},{"L","ML","MR","R"},1,1)</f>
        <v>#N/A</v>
      </c>
      <c r="AB167" s="6" t="e" cm="1">
        <f t="array" ref="AB167">_xlfn.XLOOKUP(M162,{"",4.1,"a",1.1},{"L","ML","MR","R"},1,1)</f>
        <v>#DIV/0!</v>
      </c>
      <c r="AC167" s="6" t="e" cm="1">
        <f t="array" ref="AC167">_xlfn.XLOOKUP(N162,{"",4.1,"a",1.1},{"L","ML","MR","R"},1,1)</f>
        <v>#NAME?</v>
      </c>
      <c r="AD167" s="6" t="e" cm="1">
        <f t="array" ref="AD167">_xlfn.XLOOKUP(O162,{"",4.1,"a",1.1},{"L","ML","MR","R"},1,1)</f>
        <v>#NULL!</v>
      </c>
      <c r="AE167" s="6" t="e" cm="1">
        <f t="array" ref="AE167">_xlfn.XLOOKUP(P162,{"",4.1,"a",1.1},{"L","ML","MR","R"},1,1)</f>
        <v>#NUM!</v>
      </c>
      <c r="AF167" s="6" t="e" cm="1">
        <f t="array" ref="AF167">_xlfn.XLOOKUP(Q162,{"",4.1,"a",1.1},{"L","ML","MR","R"},1,1)</f>
        <v>#REF!</v>
      </c>
      <c r="AG167" s="6" t="e">
        <v>#N/A</v>
      </c>
      <c r="AH167" s="6" t="e">
        <v>#VALUE!</v>
      </c>
      <c r="AI167" s="4" t="e">
        <v>#VALUE!</v>
      </c>
      <c r="AJ167" s="4" t="e">
        <v>#VALUE!</v>
      </c>
      <c r="AK167" s="4" t="e">
        <v>#VALUE!</v>
      </c>
      <c r="AL167" s="4" t="e">
        <v>#VALUE!</v>
      </c>
      <c r="AM167" s="4" t="e">
        <v>#VALUE!</v>
      </c>
      <c r="AN167" s="4" t="e">
        <v>#VALUE!</v>
      </c>
      <c r="AO167" s="4" t="e">
        <v>#VALUE!</v>
      </c>
      <c r="AP167" s="4" t="e">
        <v>#VALUE!</v>
      </c>
      <c r="AQ167" s="4" t="e">
        <v>#N/A</v>
      </c>
      <c r="AR167" s="4" t="e">
        <v>#DIV/0!</v>
      </c>
      <c r="AS167" s="4" t="e">
        <v>#NAME?</v>
      </c>
      <c r="AT167" s="4" t="e">
        <v>#NULL!</v>
      </c>
      <c r="AU167" s="4" t="e">
        <v>#NUM!</v>
      </c>
      <c r="AV167" s="4" t="e">
        <v>#REF!</v>
      </c>
      <c r="AW167" s="4" t="e">
        <v>#N/A</v>
      </c>
    </row>
    <row r="168" spans="1:49" x14ac:dyDescent="0.15">
      <c r="A168" s="99"/>
      <c r="B168" s="100"/>
      <c r="C168" s="13">
        <v>-3</v>
      </c>
      <c r="D168" s="13"/>
      <c r="E168" s="13"/>
      <c r="F168" s="13"/>
      <c r="G168" s="13"/>
      <c r="H168" s="14"/>
      <c r="I168" s="14"/>
      <c r="J168" s="14"/>
      <c r="K168" s="14"/>
      <c r="L168" s="14"/>
      <c r="M168" s="15"/>
      <c r="N168" s="15"/>
      <c r="O168" s="15"/>
      <c r="P168" s="15"/>
      <c r="Q168" s="15"/>
      <c r="R168" s="6" t="e" cm="1">
        <f t="array" ref="R168">_xlfn.XLOOKUP(-2,{TRUE,4.1,FALSE,1.1},{"L","ML","MR","R"})</f>
        <v>#N/A</v>
      </c>
      <c r="S168" s="6" t="e" cm="1">
        <f t="array" ref="S168">_xlfn.XLOOKUP(2,{TRUE,4.1,FALSE,1.1},{"L","ML","MR","R"})</f>
        <v>#N/A</v>
      </c>
      <c r="T168" s="6" t="e" cm="1">
        <f t="array" ref="T168">_xlfn.XLOOKUP(E162,{TRUE,4.1,FALSE,1.1},{"L","ML","MR","R"})</f>
        <v>#N/A</v>
      </c>
      <c r="U168" s="6" t="str" cm="1">
        <f t="array" ref="U168">_xlfn.XLOOKUP(F162,{TRUE,4.1,FALSE,1.1},{"L","ML","MR","R"},1,1,2)</f>
        <v>L</v>
      </c>
      <c r="V168" s="6" t="str" cm="1">
        <f t="array" ref="V168">_xlfn.XLOOKUP(G162,{TRUE,4.1,FALSE,1.1},{"L","ML","MR","R"},1,1,2)</f>
        <v>ML</v>
      </c>
      <c r="W168" s="6" cm="1">
        <f t="array" ref="W168">_xlfn.XLOOKUP(H162,{TRUE,4.1,FALSE,1.1},{"L","ML","MR","R"},1,1,2)</f>
        <v>1</v>
      </c>
      <c r="X168" s="6" t="str" cm="1">
        <f t="array" ref="X168">_xlfn.XLOOKUP(I162,{TRUE,4.1,FALSE,1.1},{"L","ML","MR","R"},1,1,2)</f>
        <v>MR</v>
      </c>
      <c r="Y168" s="6" cm="1">
        <f t="array" ref="Y168">_xlfn.XLOOKUP(J162,{TRUE,4.1,FALSE,1.1},{"L","ML","MR","R"},1,1,2)</f>
        <v>1</v>
      </c>
      <c r="Z168" s="6" t="e" cm="1">
        <f t="array" ref="Z168">_xlfn.XLOOKUP(K162,{TRUE,4.1,FALSE,1.1},{"L","ML","MR","R"},1,1,2)</f>
        <v>#VALUE!</v>
      </c>
      <c r="AA168" s="6" t="e" cm="1">
        <f t="array" ref="AA168">_xlfn.XLOOKUP(L162,{TRUE,4.1,FALSE,1.1},{"L","ML","MR","R"},1,1,2)</f>
        <v>#N/A</v>
      </c>
      <c r="AB168" s="6" t="e" cm="1">
        <f t="array" ref="AB168">_xlfn.XLOOKUP(M162,{TRUE,4.1,FALSE,1.1},{"L","ML","MR","R"},1,1,2)</f>
        <v>#DIV/0!</v>
      </c>
      <c r="AC168" s="6" t="e" cm="1">
        <f t="array" ref="AC168">_xlfn.XLOOKUP(N162,{TRUE,4.1,FALSE,1.1},{"L","ML","MR","R"},1,1,2)</f>
        <v>#NAME?</v>
      </c>
      <c r="AD168" s="6" t="e" cm="1">
        <f t="array" ref="AD168">_xlfn.XLOOKUP(O162,{TRUE,4.1,FALSE,1.1},{"L","ML","MR","R"},1,1,2)</f>
        <v>#NULL!</v>
      </c>
      <c r="AE168" s="6" t="e" cm="1">
        <f t="array" ref="AE168">_xlfn.XLOOKUP(P162,{TRUE,4.1,FALSE,1.1},{"L","ML","MR","R"},1,1,2)</f>
        <v>#NUM!</v>
      </c>
      <c r="AF168" s="6" t="e" cm="1">
        <f t="array" ref="AF168">_xlfn.XLOOKUP(Q162,{TRUE,4.1,FALSE,1.1},{"L","ML","MR","R"},1,1,2)</f>
        <v>#REF!</v>
      </c>
      <c r="AG168" s="6" t="e">
        <v>#N/A</v>
      </c>
      <c r="AH168" s="6" t="e">
        <v>#VALUE!</v>
      </c>
      <c r="AI168" s="4" t="e">
        <v>#VALUE!</v>
      </c>
      <c r="AJ168" s="4" t="e">
        <v>#VALUE!</v>
      </c>
      <c r="AK168" s="4" t="e">
        <v>#VALUE!</v>
      </c>
      <c r="AL168" s="4" t="e">
        <v>#VALUE!</v>
      </c>
      <c r="AM168" s="4" t="e">
        <v>#VALUE!</v>
      </c>
      <c r="AN168" s="4" t="e">
        <v>#VALUE!</v>
      </c>
      <c r="AO168" s="4" t="e">
        <v>#VALUE!</v>
      </c>
      <c r="AP168" s="4" t="e">
        <v>#VALUE!</v>
      </c>
      <c r="AQ168" s="4" t="e">
        <v>#N/A</v>
      </c>
      <c r="AR168" s="4" t="e">
        <v>#DIV/0!</v>
      </c>
      <c r="AS168" s="4" t="e">
        <v>#NAME?</v>
      </c>
      <c r="AT168" s="4" t="e">
        <v>#NULL!</v>
      </c>
      <c r="AU168" s="4" t="e">
        <v>#NUM!</v>
      </c>
      <c r="AV168" s="4" t="e">
        <v>#REF!</v>
      </c>
      <c r="AW168" s="4" t="e">
        <v>#N/A</v>
      </c>
    </row>
    <row r="169" spans="1:49" x14ac:dyDescent="0.15">
      <c r="A169" s="99"/>
      <c r="B169" s="100"/>
      <c r="C169" s="13">
        <v>3</v>
      </c>
      <c r="D169" s="13"/>
      <c r="E169" s="13"/>
      <c r="F169" s="13"/>
      <c r="G169" s="13"/>
      <c r="H169" s="14"/>
      <c r="I169" s="14"/>
      <c r="J169" s="14"/>
      <c r="K169" s="14"/>
      <c r="L169" s="14"/>
      <c r="M169" s="15"/>
      <c r="N169" s="15"/>
      <c r="O169" s="15"/>
      <c r="P169" s="15"/>
      <c r="Q169" s="15"/>
      <c r="R169" s="6" t="e" cm="1">
        <f t="array" ref="R169">_xlfn.XLOOKUP(-2,{TRUE,4.1,FALSE,"b"},{"L","ML","MR","R"})</f>
        <v>#N/A</v>
      </c>
      <c r="S169" s="6" t="e" cm="1">
        <f t="array" ref="S169">_xlfn.XLOOKUP(2,{TRUE,4.1,FALSE,"b"},{"L","ML","MR","R"})</f>
        <v>#N/A</v>
      </c>
      <c r="T169" s="6" t="e" cm="1">
        <f t="array" ref="T169">_xlfn.XLOOKUP(E162,{TRUE,4.1,FALSE,"b"},{"L","ML","MR","R"})</f>
        <v>#N/A</v>
      </c>
      <c r="U169" s="6" t="str" cm="1">
        <f t="array" ref="U169">_xlfn.XLOOKUP(F162,{TRUE,4.1,FALSE,"b"},{"L","ML","MR","R"},1,1,2)</f>
        <v>L</v>
      </c>
      <c r="V169" s="6" t="str" cm="1">
        <f t="array" ref="V169">_xlfn.XLOOKUP(G162,{TRUE,4.1,FALSE,"b"},{"L","ML","MR","R"},1,1,2)</f>
        <v>ML</v>
      </c>
      <c r="W169" s="6" cm="1">
        <f t="array" ref="W169">_xlfn.XLOOKUP(H162,{TRUE,4.1,FALSE,"b"},{"L","ML","MR","R"},1,1,2)</f>
        <v>1</v>
      </c>
      <c r="X169" s="6" t="str" cm="1">
        <f t="array" ref="X169">_xlfn.XLOOKUP(I162,{TRUE,4.1,FALSE,"b"},{"L","ML","MR","R"},1,1,2)</f>
        <v>MR</v>
      </c>
      <c r="Y169" s="6" cm="1">
        <f t="array" ref="Y169">_xlfn.XLOOKUP(J162,{TRUE,4.1,FALSE,"b"},{"L","ML","MR","R"},1,1,2)</f>
        <v>1</v>
      </c>
      <c r="Z169" s="6" t="e" cm="1">
        <f t="array" ref="Z169">_xlfn.XLOOKUP(K162,{TRUE,4.1,FALSE,"b"},{"L","ML","MR","R"},1,1,2)</f>
        <v>#VALUE!</v>
      </c>
      <c r="AA169" s="6" t="e" cm="1">
        <f t="array" ref="AA169">_xlfn.XLOOKUP(L162,{TRUE,4.1,FALSE,"b"},{"L","ML","MR","R"},1,1,2)</f>
        <v>#N/A</v>
      </c>
      <c r="AB169" s="6" t="e" cm="1">
        <f t="array" ref="AB169">_xlfn.XLOOKUP(M162,{TRUE,4.1,FALSE,"b"},{"L","ML","MR","R"},1,1,2)</f>
        <v>#DIV/0!</v>
      </c>
      <c r="AC169" s="6" t="e" cm="1">
        <f t="array" ref="AC169">_xlfn.XLOOKUP(N162,{TRUE,4.1,FALSE,"b"},{"L","ML","MR","R"},1,1,2)</f>
        <v>#NAME?</v>
      </c>
      <c r="AD169" s="6" t="e" cm="1">
        <f t="array" ref="AD169">_xlfn.XLOOKUP(O162,{TRUE,4.1,FALSE,"b"},{"L","ML","MR","R"},1,1,2)</f>
        <v>#NULL!</v>
      </c>
      <c r="AE169" s="6" t="e" cm="1">
        <f t="array" ref="AE169">_xlfn.XLOOKUP(P162,{TRUE,4.1,FALSE,"b"},{"L","ML","MR","R"},1,1,2)</f>
        <v>#NUM!</v>
      </c>
      <c r="AF169" s="6" t="e" cm="1">
        <f t="array" ref="AF169">_xlfn.XLOOKUP(Q162,{TRUE,4.1,FALSE,"b"},{"L","ML","MR","R"},1,1,2)</f>
        <v>#REF!</v>
      </c>
      <c r="AG169" s="6" t="e">
        <v>#N/A</v>
      </c>
      <c r="AH169" s="6" t="e">
        <v>#VALUE!</v>
      </c>
      <c r="AI169" s="4" t="e">
        <v>#VALUE!</v>
      </c>
      <c r="AJ169" s="4" t="e">
        <v>#VALUE!</v>
      </c>
      <c r="AK169" s="4" t="e">
        <v>#VALUE!</v>
      </c>
      <c r="AL169" s="4" t="e">
        <v>#VALUE!</v>
      </c>
      <c r="AM169" s="4" t="e">
        <v>#VALUE!</v>
      </c>
      <c r="AN169" s="4" t="e">
        <v>#VALUE!</v>
      </c>
      <c r="AO169" s="4" t="e">
        <v>#VALUE!</v>
      </c>
      <c r="AP169" s="4" t="e">
        <v>#VALUE!</v>
      </c>
      <c r="AQ169" s="4" t="e">
        <v>#N/A</v>
      </c>
      <c r="AR169" s="4" t="e">
        <v>#DIV/0!</v>
      </c>
      <c r="AS169" s="4" t="e">
        <v>#NAME?</v>
      </c>
      <c r="AT169" s="4" t="e">
        <v>#NULL!</v>
      </c>
      <c r="AU169" s="4" t="e">
        <v>#NUM!</v>
      </c>
      <c r="AV169" s="4" t="e">
        <v>#REF!</v>
      </c>
      <c r="AW169" s="4" t="e">
        <v>#N/A</v>
      </c>
    </row>
    <row r="170" spans="1:49" x14ac:dyDescent="0.15">
      <c r="A170" s="99"/>
      <c r="B170" s="100"/>
      <c r="C170" s="6">
        <v>1</v>
      </c>
      <c r="D170" s="6"/>
      <c r="E170" s="6"/>
      <c r="F170" s="6"/>
      <c r="G170" s="6"/>
      <c r="I170" s="14"/>
      <c r="J170" s="14"/>
      <c r="K170" s="14"/>
      <c r="L170" s="14"/>
      <c r="M170" s="15"/>
      <c r="N170" s="15"/>
      <c r="O170" s="15"/>
      <c r="P170" s="15"/>
      <c r="Q170" s="15"/>
      <c r="R170" s="6" t="e" cm="1">
        <f t="array" ref="R170">_xlfn.XLOOKUP(-2,{TRUE,FALSE,"a","b"},{"L","ML","MR","R"})</f>
        <v>#N/A</v>
      </c>
      <c r="S170" s="6" t="e" cm="1">
        <f t="array" ref="S170">_xlfn.XLOOKUP(2,{TRUE,FALSE,"a","b"},{"L","ML","MR","R"})</f>
        <v>#N/A</v>
      </c>
      <c r="T170" s="6" t="e" cm="1">
        <f t="array" ref="T170">_xlfn.XLOOKUP(E162,{TRUE,FALSE,"a","b"},{"L","ML","MR","R"})</f>
        <v>#N/A</v>
      </c>
      <c r="U170" s="6" cm="1">
        <f t="array" ref="U170">_xlfn.XLOOKUP(F162,{TRUE,FALSE,"a","b"},{"L","ML","MR","R"},1,2,1)</f>
        <v>1</v>
      </c>
      <c r="V170" s="6" cm="1">
        <f t="array" ref="V170">_xlfn.XLOOKUP(G162,{TRUE,FALSE,"a","b"},{"L","ML","MR","R"},1,2,1)</f>
        <v>1</v>
      </c>
      <c r="W170" s="6" cm="1">
        <f t="array" ref="W170">_xlfn.XLOOKUP(H162,{TRUE,FALSE,"a","b"},{"L","ML","MR","R"},1,2,1)</f>
        <v>1</v>
      </c>
      <c r="X170" s="6" t="str" cm="1">
        <f t="array" ref="X170">_xlfn.XLOOKUP(I162,{TRUE,FALSE,"a","b"},{"L","ML","MR","R"},1,2,1)</f>
        <v>R</v>
      </c>
      <c r="Y170" s="6" t="str" cm="1">
        <f t="array" ref="Y170">_xlfn.XLOOKUP(J162,{TRUE,FALSE,"a","b"},{"L","ML","MR","R"},1,2,1)</f>
        <v>L</v>
      </c>
      <c r="Z170" s="6" t="e" cm="1">
        <f t="array" ref="Z170">_xlfn.XLOOKUP(K162,{TRUE,FALSE,"a","b"},{"L","ML","MR","R"},1,2,1)</f>
        <v>#VALUE!</v>
      </c>
      <c r="AA170" s="6" t="e" cm="1">
        <f t="array" ref="AA170">_xlfn.XLOOKUP(L162,{TRUE,FALSE,"a","b"},{"L","ML","MR","R"},1,2,1)</f>
        <v>#N/A</v>
      </c>
      <c r="AB170" s="6" t="e" cm="1">
        <f t="array" ref="AB170">_xlfn.XLOOKUP(M162,{TRUE,FALSE,"a","b"},{"L","ML","MR","R"},1,2,1)</f>
        <v>#DIV/0!</v>
      </c>
      <c r="AC170" s="6" t="e" cm="1">
        <f t="array" ref="AC170">_xlfn.XLOOKUP(N162,{TRUE,FALSE,"a","b"},{"L","ML","MR","R"},1,2,1)</f>
        <v>#NAME?</v>
      </c>
      <c r="AD170" s="6" t="e" cm="1">
        <f t="array" ref="AD170">_xlfn.XLOOKUP(O162,{TRUE,FALSE,"a","b"},{"L","ML","MR","R"},1,2,1)</f>
        <v>#NULL!</v>
      </c>
      <c r="AE170" s="6" t="e" cm="1">
        <f t="array" ref="AE170">_xlfn.XLOOKUP(P162,{TRUE,FALSE,"a","b"},{"L","ML","MR","R"},1,2,1)</f>
        <v>#NUM!</v>
      </c>
      <c r="AF170" s="6" t="e" cm="1">
        <f t="array" ref="AF170">_xlfn.XLOOKUP(Q162,{TRUE,FALSE,"a","b"},{"L","ML","MR","R"},1,2,1)</f>
        <v>#REF!</v>
      </c>
      <c r="AG170" s="6" t="e">
        <v>#N/A</v>
      </c>
      <c r="AH170" s="6" t="e">
        <v>#N/A</v>
      </c>
      <c r="AI170" s="4" t="e">
        <v>#N/A</v>
      </c>
      <c r="AJ170" s="4" t="e">
        <v>#N/A</v>
      </c>
      <c r="AK170" s="4" t="e">
        <v>#N/A</v>
      </c>
      <c r="AL170" s="4" t="e">
        <v>#N/A</v>
      </c>
      <c r="AM170" s="4" t="e">
        <v>#N/A</v>
      </c>
      <c r="AN170" s="4" t="e">
        <v>#N/A</v>
      </c>
      <c r="AO170" s="4" t="e">
        <v>#N/A</v>
      </c>
      <c r="AP170" s="4" t="e">
        <v>#N/A</v>
      </c>
      <c r="AQ170" s="4" t="e">
        <v>#N/A</v>
      </c>
      <c r="AR170" s="4" t="e">
        <v>#N/A</v>
      </c>
      <c r="AS170" s="4" t="e">
        <v>#N/A</v>
      </c>
      <c r="AT170" s="4" t="e">
        <v>#N/A</v>
      </c>
      <c r="AU170" s="4" t="e">
        <v>#N/A</v>
      </c>
      <c r="AV170" s="4" t="e">
        <v>#N/A</v>
      </c>
      <c r="AW170" s="4" t="e">
        <v>#N/A</v>
      </c>
    </row>
    <row r="171" spans="1:49" x14ac:dyDescent="0.15">
      <c r="A171" s="102" t="s">
        <v>513</v>
      </c>
      <c r="B171" s="100" t="s">
        <v>541</v>
      </c>
      <c r="C171" s="13">
        <v>-2</v>
      </c>
      <c r="D171" s="13">
        <v>1.1000000000000001</v>
      </c>
      <c r="E171" s="13">
        <v>3</v>
      </c>
      <c r="F171" s="13">
        <v>4</v>
      </c>
      <c r="G171" s="13">
        <v>4.0999999999999996</v>
      </c>
      <c r="H171" s="14"/>
      <c r="I171" s="14" t="s">
        <v>339</v>
      </c>
      <c r="J171" s="14" t="b">
        <v>1</v>
      </c>
      <c r="K171" s="14" t="e">
        <f>#VALUE!</f>
        <v>#VALUE!</v>
      </c>
      <c r="L171" s="14" t="e">
        <v>#N/A</v>
      </c>
      <c r="M171" s="15" t="e">
        <v>#DIV/0!</v>
      </c>
      <c r="N171" s="15" t="e">
        <v>#NAME?</v>
      </c>
      <c r="O171" s="15" t="e">
        <v>#NULL!</v>
      </c>
      <c r="P171" s="15" t="e">
        <v>#NUM!</v>
      </c>
      <c r="Q171" s="15" t="e">
        <v>#REF!</v>
      </c>
      <c r="R171" s="6">
        <f>_xlfn.XMATCH(C171,{-1.1,2.1,3.1,4.1},1)</f>
        <v>1</v>
      </c>
      <c r="S171" s="6">
        <f>_xlfn.XMATCH(D171,{-1.1,2.1,3.1,4.1},1)</f>
        <v>2</v>
      </c>
      <c r="T171" s="6">
        <f>_xlfn.XMATCH(E171,{-1.1,2.1,3.1,4.1},1)</f>
        <v>3</v>
      </c>
      <c r="U171" s="6">
        <f>_xlfn.XMATCH(F171,{-1.1,2.1,3.1,4.1},1)</f>
        <v>4</v>
      </c>
      <c r="V171" s="6">
        <f>_xlfn.XMATCH(G171,{-1.1,2.1,3.1,4.1},1)</f>
        <v>4</v>
      </c>
      <c r="W171" s="6" t="e">
        <f>_xlfn.XMATCH(H171,{-1.1,2.1,3.1,4.1},1)</f>
        <v>#N/A</v>
      </c>
      <c r="X171" s="6" t="e">
        <f>_xlfn.XMATCH(I171,{-1.1,2.1,3.1,4.1},1)</f>
        <v>#N/A</v>
      </c>
      <c r="Y171" s="6" t="e">
        <f>_xlfn.XMATCH(J171,{-1.1,2.1,3.1,4.1},1)</f>
        <v>#N/A</v>
      </c>
      <c r="Z171" s="6" t="e">
        <f>_xlfn.XMATCH(K171,{-1.1,2.1,3.1,4.1},1)</f>
        <v>#VALUE!</v>
      </c>
      <c r="AA171" s="6" t="e">
        <f>_xlfn.XMATCH(L171,{-1.1,2.1,3.1,4.1},1)</f>
        <v>#N/A</v>
      </c>
      <c r="AB171" s="6" t="e">
        <f>_xlfn.XMATCH(M171,{-1.1,2.1,3.1,4.1},1)</f>
        <v>#DIV/0!</v>
      </c>
      <c r="AC171" s="6" t="e">
        <f>_xlfn.XMATCH(N171,{-1.1,2.1,3.1,4.1},1)</f>
        <v>#NAME?</v>
      </c>
      <c r="AD171" s="6" t="e">
        <f>_xlfn.XMATCH(O171,{-1.1,2.1,3.1,4.1},1)</f>
        <v>#NULL!</v>
      </c>
      <c r="AE171" s="6" t="e">
        <f>_xlfn.XMATCH(P171,{-1.1,2.1,3.1,4.1},1)</f>
        <v>#NUM!</v>
      </c>
      <c r="AF171" s="6" t="e">
        <f>_xlfn.XMATCH(Q171,{-1.1,2.1,3.1,4.1},1)</f>
        <v>#REF!</v>
      </c>
    </row>
    <row r="172" spans="1:49" x14ac:dyDescent="0.15">
      <c r="A172" s="102"/>
      <c r="B172" s="100"/>
      <c r="C172" s="13">
        <v>-2</v>
      </c>
      <c r="D172" s="13">
        <v>1.1000000000000001</v>
      </c>
      <c r="E172" s="13">
        <v>3</v>
      </c>
      <c r="F172" s="13">
        <v>4</v>
      </c>
      <c r="G172" s="13">
        <v>4.0999999999999996</v>
      </c>
      <c r="H172" s="14"/>
      <c r="I172" s="14" t="s">
        <v>339</v>
      </c>
      <c r="J172" s="14" t="b">
        <v>1</v>
      </c>
      <c r="K172" s="14" t="e">
        <f>#VALUE!</f>
        <v>#VALUE!</v>
      </c>
      <c r="L172" s="14" t="e">
        <v>#N/A</v>
      </c>
      <c r="M172" s="15" t="e">
        <v>#DIV/0!</v>
      </c>
      <c r="N172" s="15" t="e">
        <v>#NAME?</v>
      </c>
      <c r="O172" s="15" t="e">
        <v>#NULL!</v>
      </c>
      <c r="P172" s="15" t="e">
        <v>#NUM!</v>
      </c>
      <c r="Q172" s="15" t="e">
        <v>#REF!</v>
      </c>
      <c r="R172" s="6">
        <f>_xlfn.XMATCH(C172,{"a",TRUE,2.1,"c bau c",4.1},1)</f>
        <v>3</v>
      </c>
      <c r="S172" s="6">
        <f>_xlfn.XMATCH(D172,{"a",2.1,"c bau c",4.1},1)</f>
        <v>2</v>
      </c>
      <c r="T172" s="6">
        <f>_xlfn.XMATCH(E172,{"a",2.1,"c bau c",4.1},1)</f>
        <v>4</v>
      </c>
      <c r="U172" s="6">
        <f>_xlfn.XMATCH(F172,{"a",2.1,"c bau c",4.1},1)</f>
        <v>4</v>
      </c>
      <c r="V172" s="6">
        <f>_xlfn.XMATCH(G172,{"a",2.1,"c bau c",4.1},1)</f>
        <v>4</v>
      </c>
      <c r="W172" s="6">
        <f>_xlfn.XMATCH(H173,{FALSE,2.1,TRUE,4.1},-1)</f>
        <v>3</v>
      </c>
      <c r="X172" s="6">
        <f>_xlfn.XMATCH(I172,{"a",2.1,"c bau c",4.1},1)</f>
        <v>1</v>
      </c>
      <c r="Y172" s="6" t="e">
        <f>_xlfn.XMATCH(J172,{"a",2.1,"c bau c",4.1},1)</f>
        <v>#N/A</v>
      </c>
      <c r="Z172" s="6" t="e">
        <f>_xlfn.XMATCH(K172,{"a",2.1,"c bau c",4.1},1)</f>
        <v>#VALUE!</v>
      </c>
      <c r="AA172" s="6" t="e">
        <f>_xlfn.XMATCH(L172,{"a",2.1,"c bau c",4.1},1)</f>
        <v>#N/A</v>
      </c>
      <c r="AB172" s="6" t="e">
        <f>_xlfn.XMATCH(M172,{"a",2.1,"c bau c",4.1},1)</f>
        <v>#DIV/0!</v>
      </c>
      <c r="AC172" s="6" t="e">
        <f>_xlfn.XMATCH(N172,{"a",2.1,"c bau c",4.1},1)</f>
        <v>#NAME?</v>
      </c>
      <c r="AD172" s="6" t="e">
        <f>_xlfn.XMATCH(O172,{"a",2.1,"c bau c",4.1},1)</f>
        <v>#NULL!</v>
      </c>
      <c r="AE172" s="6" t="e">
        <f>_xlfn.XMATCH(P172,{"a",2.1,"c bau c",4.1},1)</f>
        <v>#NUM!</v>
      </c>
      <c r="AF172" s="6" t="e">
        <f>_xlfn.XMATCH(Q172,{"a",2.1,"c bau c",4.1},1)</f>
        <v>#REF!</v>
      </c>
    </row>
    <row r="173" spans="1:49" x14ac:dyDescent="0.15">
      <c r="A173" s="102"/>
      <c r="B173" s="100"/>
      <c r="C173" s="13">
        <v>-2</v>
      </c>
      <c r="D173" s="13">
        <v>1.1000000000000001</v>
      </c>
      <c r="E173" s="13">
        <v>3</v>
      </c>
      <c r="F173" s="13">
        <v>4</v>
      </c>
      <c r="G173" s="13">
        <v>4.0999999999999996</v>
      </c>
      <c r="H173" s="14"/>
      <c r="I173" s="14" t="s">
        <v>339</v>
      </c>
      <c r="J173" s="14" t="b">
        <v>1</v>
      </c>
      <c r="K173" s="14" t="e">
        <f>#VALUE!</f>
        <v>#VALUE!</v>
      </c>
      <c r="L173" s="14" t="e">
        <v>#N/A</v>
      </c>
      <c r="M173" s="15" t="e">
        <v>#DIV/0!</v>
      </c>
      <c r="N173" s="15" t="e">
        <v>#NAME?</v>
      </c>
      <c r="O173" s="15" t="e">
        <v>#NULL!</v>
      </c>
      <c r="P173" s="15" t="e">
        <v>#NUM!</v>
      </c>
      <c r="Q173" s="15" t="e">
        <v>#REF!</v>
      </c>
      <c r="R173" s="6" t="e">
        <f>_xlfn.XMATCH(C173,{FALSE,2.1,TRUE,4.1},-1)</f>
        <v>#N/A</v>
      </c>
      <c r="S173" s="6" t="e">
        <f>_xlfn.XMATCH(D173,{FALSE,2.1,TRUE,4.1},-1)</f>
        <v>#N/A</v>
      </c>
      <c r="T173" s="6">
        <f>_xlfn.XMATCH(E173,{FALSE,2.1,TRUE,4.1},-1)</f>
        <v>2</v>
      </c>
      <c r="U173" s="6">
        <f>_xlfn.XMATCH(F173,{FALSE,2.1,TRUE,4.1},-1)</f>
        <v>2</v>
      </c>
      <c r="V173" s="6">
        <f>_xlfn.XMATCH(G173,{FALSE,2.1,TRUE,4.1},-1)</f>
        <v>4</v>
      </c>
      <c r="W173" s="6">
        <f>_xlfn.XMATCH(H173,{FALSE,2.1,TRUE,4.1},-1)</f>
        <v>3</v>
      </c>
      <c r="X173" s="6">
        <f>_xlfn.XMATCH(I173,{FALSE,2.1,TRUE,4.1},-1)</f>
        <v>4</v>
      </c>
      <c r="Y173" s="6">
        <f>_xlfn.XMATCH(J173,{FALSE,2.1,TRUE,4.1},-1)</f>
        <v>3</v>
      </c>
      <c r="Z173" s="6" t="e">
        <f>_xlfn.XMATCH(K173,{FALSE,2.1,TRUE,4.1},-1)</f>
        <v>#VALUE!</v>
      </c>
      <c r="AA173" s="6" t="e">
        <f>_xlfn.XMATCH(L173,{FALSE,2.1,TRUE,4.1},-1)</f>
        <v>#N/A</v>
      </c>
      <c r="AB173" s="6" t="e">
        <f>_xlfn.XMATCH(M173,{FALSE,2.1,TRUE,4.1},-1)</f>
        <v>#DIV/0!</v>
      </c>
      <c r="AC173" s="6" t="e">
        <f>_xlfn.XMATCH(N173,{FALSE,2.1,TRUE,4.1},-1)</f>
        <v>#NAME?</v>
      </c>
      <c r="AD173" s="6" t="e">
        <f>_xlfn.XMATCH(O173,{FALSE,2.1,TRUE,4.1},-1)</f>
        <v>#NULL!</v>
      </c>
      <c r="AE173" s="6" t="e">
        <f>_xlfn.XMATCH(P173,{FALSE,2.1,TRUE,4.1},-1)</f>
        <v>#NUM!</v>
      </c>
      <c r="AF173" s="6" t="e">
        <f>_xlfn.XMATCH(Q173,{FALSE,2.1,TRUE,4.1},-1)</f>
        <v>#REF!</v>
      </c>
    </row>
    <row r="174" spans="1:49" x14ac:dyDescent="0.15">
      <c r="A174" s="102"/>
      <c r="B174" s="100"/>
      <c r="C174" s="13">
        <v>-2</v>
      </c>
      <c r="D174" s="13">
        <v>1.1000000000000001</v>
      </c>
      <c r="E174" s="13">
        <v>3</v>
      </c>
      <c r="F174" s="13">
        <v>4</v>
      </c>
      <c r="G174" s="13">
        <v>4.0999999999999996</v>
      </c>
      <c r="H174" s="14"/>
      <c r="I174" s="14" t="s">
        <v>339</v>
      </c>
      <c r="J174" s="14" t="b">
        <v>1</v>
      </c>
      <c r="K174" s="14" t="e">
        <f>#VALUE!</f>
        <v>#VALUE!</v>
      </c>
      <c r="L174" s="14" t="e">
        <v>#N/A</v>
      </c>
      <c r="M174" s="15" t="e">
        <v>#DIV/0!</v>
      </c>
      <c r="N174" s="15" t="e">
        <v>#NAME?</v>
      </c>
      <c r="O174" s="15" t="e">
        <v>#NULL!</v>
      </c>
      <c r="P174" s="15" t="e">
        <v>#NUM!</v>
      </c>
      <c r="Q174" s="15" t="e">
        <v>#REF!</v>
      </c>
      <c r="R174" s="6" t="e">
        <f>_xlfn.XMATCH(C174,{4.1,3.1,2.1,1.1},0)</f>
        <v>#N/A</v>
      </c>
      <c r="S174" s="6">
        <f>_xlfn.XMATCH(D174,{4.1,3.1,2.1,1.1},0)</f>
        <v>4</v>
      </c>
      <c r="T174" s="6" t="e">
        <f>_xlfn.XMATCH(E174,{4.1,3.1,2.1,1.1},0)</f>
        <v>#N/A</v>
      </c>
      <c r="U174" s="6" t="e">
        <f>_xlfn.XMATCH(F174,{4.1,3.1,2.1,1.1},0)</f>
        <v>#N/A</v>
      </c>
      <c r="V174" s="6">
        <f>_xlfn.XMATCH(G174,{4.1,3.1,2.1,1.1},0)</f>
        <v>1</v>
      </c>
      <c r="W174" s="6" t="e">
        <f>_xlfn.XMATCH(H174,{4.1,3.1,2.1,1.1},0)</f>
        <v>#N/A</v>
      </c>
      <c r="X174" s="6" t="e">
        <f>_xlfn.XMATCH(I174,{4.1,3.1,2.1,1.1},0)</f>
        <v>#N/A</v>
      </c>
      <c r="Y174" s="6" t="e">
        <f>_xlfn.XMATCH(J174,{4.1,3.1,2.1,1.1},0)</f>
        <v>#N/A</v>
      </c>
      <c r="Z174" s="6" t="e">
        <f>_xlfn.XMATCH(K174,{4.1,3.1,2.1,1.1},0)</f>
        <v>#VALUE!</v>
      </c>
      <c r="AA174" s="6" t="e">
        <f>_xlfn.XMATCH(L174,{4.1,3.1,2.1,1.1},0)</f>
        <v>#N/A</v>
      </c>
      <c r="AB174" s="6" t="e">
        <f>_xlfn.XMATCH(M174,{4.1,3.1,2.1,1.1},0)</f>
        <v>#DIV/0!</v>
      </c>
      <c r="AC174" s="6" t="e">
        <f>_xlfn.XMATCH(N174,{4.1,3.1,2.1,1.1},0)</f>
        <v>#NAME?</v>
      </c>
      <c r="AD174" s="6" t="e">
        <f>_xlfn.XMATCH(O174,{4.1,3.1,2.1,1.1},0)</f>
        <v>#NULL!</v>
      </c>
      <c r="AE174" s="6" t="e">
        <f>_xlfn.XMATCH(P174,{4.1,3.1,2.1,1.1},0)</f>
        <v>#NUM!</v>
      </c>
      <c r="AF174" s="6" t="e">
        <f>_xlfn.XMATCH(Q174,{4.1,3.1,2.1,1.1},0)</f>
        <v>#REF!</v>
      </c>
    </row>
    <row r="175" spans="1:49" x14ac:dyDescent="0.15">
      <c r="A175" s="102"/>
      <c r="B175" s="100"/>
      <c r="C175" s="13">
        <v>-2</v>
      </c>
      <c r="D175" s="13">
        <v>1.1000000000000001</v>
      </c>
      <c r="E175" s="13">
        <v>3</v>
      </c>
      <c r="F175" s="13">
        <v>4</v>
      </c>
      <c r="G175" s="13">
        <v>4.0999999999999996</v>
      </c>
      <c r="H175" s="14"/>
      <c r="I175" s="14" t="s">
        <v>339</v>
      </c>
      <c r="J175" s="14" t="b">
        <v>1</v>
      </c>
      <c r="K175" s="14" t="e">
        <f>#VALUE!</f>
        <v>#VALUE!</v>
      </c>
      <c r="L175" s="14" t="e">
        <v>#N/A</v>
      </c>
      <c r="M175" s="15" t="e">
        <v>#DIV/0!</v>
      </c>
      <c r="N175" s="15" t="e">
        <v>#NAME?</v>
      </c>
      <c r="O175" s="15" t="e">
        <v>#NULL!</v>
      </c>
      <c r="P175" s="15" t="e">
        <v>#NUM!</v>
      </c>
      <c r="Q175" s="15" t="e">
        <v>#REF!</v>
      </c>
      <c r="R175" s="6" t="e">
        <f>_xlfn.XMATCH(C175,{"c bau c",4.1,"a",1.1},0,2)</f>
        <v>#N/A</v>
      </c>
      <c r="S175" s="6" t="e">
        <f>_xlfn.XMATCH(D175,{"c bau c",4.1,"a",1.1},0,2)</f>
        <v>#N/A</v>
      </c>
      <c r="T175" s="6" t="e">
        <f>_xlfn.XMATCH(E175,{"c bau c",4.1,"a",1.1},0,2)</f>
        <v>#N/A</v>
      </c>
      <c r="U175" s="6" t="e">
        <f>_xlfn.XMATCH(F175,{"c bau c",4.1,"a",1.1},0,2)</f>
        <v>#N/A</v>
      </c>
      <c r="V175" s="6">
        <f>_xlfn.XMATCH(G175,{"c bau c",4.1,"a",1.1},0,2)</f>
        <v>2</v>
      </c>
      <c r="W175" s="6" t="e">
        <f>_xlfn.XMATCH(H175,{"c bau c",4.1,"a",1.1},0,2)</f>
        <v>#N/A</v>
      </c>
      <c r="X175" s="6" t="e">
        <f>_xlfn.XMATCH(I175,{"c bau c",4.1,"a",1.1},0,2)</f>
        <v>#N/A</v>
      </c>
      <c r="Y175" s="6" t="e">
        <f>_xlfn.XMATCH(J175,{"c bau c",4.1,"a",1.1},0,2)</f>
        <v>#N/A</v>
      </c>
      <c r="Z175" s="6" t="e">
        <f>_xlfn.XMATCH(K175,{"c bau c",4.1,"a",1.1},0,2)</f>
        <v>#VALUE!</v>
      </c>
      <c r="AA175" s="6" t="e">
        <f>_xlfn.XMATCH(L175,{"c bau c",4.1,"a",1.1},0,2)</f>
        <v>#N/A</v>
      </c>
      <c r="AB175" s="6" t="e">
        <f>_xlfn.XMATCH(M175,{"c bau c",4.1,"a",1.1},0,2)</f>
        <v>#DIV/0!</v>
      </c>
      <c r="AC175" s="6" t="e">
        <f>_xlfn.XMATCH(N175,{"c bau c",4.1,"a",1.1},0,2)</f>
        <v>#NAME?</v>
      </c>
      <c r="AD175" s="6" t="e">
        <f>_xlfn.XMATCH(O175,{"c bau c",4.1,"a",1.1},0,2)</f>
        <v>#NULL!</v>
      </c>
      <c r="AE175" s="6" t="e">
        <f>_xlfn.XMATCH(P175,{"c bau c",4.1,"a",1.1},0,2)</f>
        <v>#NUM!</v>
      </c>
      <c r="AF175" s="6" t="e">
        <f>_xlfn.XMATCH(Q175,{"c bau c",4.1,"a",1.1},0,2)</f>
        <v>#REF!</v>
      </c>
    </row>
    <row r="176" spans="1:49" x14ac:dyDescent="0.15">
      <c r="A176" s="102"/>
      <c r="B176" s="100"/>
      <c r="C176" s="13">
        <v>-2</v>
      </c>
      <c r="D176" s="13">
        <v>1.1000000000000001</v>
      </c>
      <c r="E176" s="13">
        <v>3</v>
      </c>
      <c r="F176" s="13">
        <v>4</v>
      </c>
      <c r="G176" s="13">
        <v>4.0999999999999996</v>
      </c>
      <c r="H176" s="14"/>
      <c r="I176" s="14" t="s">
        <v>339</v>
      </c>
      <c r="J176" s="14" t="b">
        <v>1</v>
      </c>
      <c r="K176" s="14" t="e">
        <f>#VALUE!</f>
        <v>#VALUE!</v>
      </c>
      <c r="L176" s="14" t="e">
        <v>#N/A</v>
      </c>
      <c r="M176" s="15" t="e">
        <v>#DIV/0!</v>
      </c>
      <c r="N176" s="15" t="e">
        <v>#NAME?</v>
      </c>
      <c r="O176" s="15" t="e">
        <v>#NULL!</v>
      </c>
      <c r="P176" s="15" t="e">
        <v>#NUM!</v>
      </c>
      <c r="Q176" s="15" t="e">
        <v>#REF!</v>
      </c>
      <c r="R176" s="6">
        <f>_xlfn.XMATCH(C176,{"",4.1,"a",1.1},1,2)</f>
        <v>1</v>
      </c>
      <c r="S176" s="6">
        <f>_xlfn.XMATCH(D176,{"",4.1,"a",1.1},1,2)</f>
        <v>1</v>
      </c>
      <c r="T176" s="6">
        <f>_xlfn.XMATCH(E176,{"",4.1,"a",1.1},1,2)</f>
        <v>1</v>
      </c>
      <c r="U176" s="6">
        <f>_xlfn.XMATCH(F176,{"",4.1,"a",1.1},1,2)</f>
        <v>1</v>
      </c>
      <c r="V176" s="6">
        <f>_xlfn.XMATCH(G176,{"",4.1,"a",1.1},1,2)</f>
        <v>2</v>
      </c>
      <c r="W176" s="6" t="e">
        <f>_xlfn.XMATCH(H176,{"",4.1,"a",1.1},1,2)</f>
        <v>#N/A</v>
      </c>
      <c r="X176" s="6">
        <f>_xlfn.XMATCH(I176,{"",4.1,"a",1.1},1,2)</f>
        <v>3</v>
      </c>
      <c r="Y176" s="6" t="e">
        <f>_xlfn.XMATCH(J176,{"",4.1,"a",1.1},1,2)</f>
        <v>#N/A</v>
      </c>
      <c r="Z176" s="6" t="e">
        <f>_xlfn.XMATCH(K176,{"",4.1,"a",1.1},1,2)</f>
        <v>#VALUE!</v>
      </c>
      <c r="AA176" s="6" t="e">
        <f>_xlfn.XMATCH(L176,{"",4.1,"a",1.1},1,2)</f>
        <v>#N/A</v>
      </c>
      <c r="AB176" s="6" t="e">
        <f>_xlfn.XMATCH(M176,{"",4.1,"a",1.1},1,2)</f>
        <v>#DIV/0!</v>
      </c>
      <c r="AC176" s="6" t="e">
        <f>_xlfn.XMATCH(N176,{"",4.1,"a",1.1},1,2)</f>
        <v>#NAME?</v>
      </c>
      <c r="AD176" s="6" t="e">
        <f>_xlfn.XMATCH(O176,{"",4.1,"a",1.1},1,2)</f>
        <v>#NULL!</v>
      </c>
      <c r="AE176" s="6" t="e">
        <f>_xlfn.XMATCH(P176,{"",4.1,"a",1.1},1,2)</f>
        <v>#NUM!</v>
      </c>
      <c r="AF176" s="6" t="e">
        <f>_xlfn.XMATCH(Q176,{"",4.1,"a",1.1},1,2)</f>
        <v>#REF!</v>
      </c>
    </row>
    <row r="177" spans="1:32" x14ac:dyDescent="0.15">
      <c r="A177" s="102"/>
      <c r="B177" s="100"/>
      <c r="C177" s="13">
        <v>-2</v>
      </c>
      <c r="D177" s="13">
        <v>1.1000000000000001</v>
      </c>
      <c r="E177" s="13">
        <v>3</v>
      </c>
      <c r="F177" s="13">
        <v>4</v>
      </c>
      <c r="G177" s="13">
        <v>4.0999999999999996</v>
      </c>
      <c r="H177" s="14"/>
      <c r="I177" s="14" t="s">
        <v>339</v>
      </c>
      <c r="J177" s="14" t="b">
        <v>1</v>
      </c>
      <c r="K177" s="14" t="e">
        <f>#VALUE!</f>
        <v>#VALUE!</v>
      </c>
      <c r="L177" s="14" t="e">
        <v>#N/A</v>
      </c>
      <c r="M177" s="15" t="e">
        <v>#DIV/0!</v>
      </c>
      <c r="N177" s="15" t="e">
        <v>#NAME?</v>
      </c>
      <c r="O177" s="15" t="e">
        <v>#NULL!</v>
      </c>
      <c r="P177" s="15" t="e">
        <v>#NUM!</v>
      </c>
      <c r="Q177" s="15" t="e">
        <v>#REF!</v>
      </c>
      <c r="R177" s="6" t="e">
        <f>_xlfn.XMATCH(C177,{TRUE,4.1,FALSE,1.1},-1,2)</f>
        <v>#N/A</v>
      </c>
      <c r="S177" s="6" t="e">
        <f>_xlfn.XMATCH(D177,{TRUE,4.1,FALSE,1.1},-1,2)</f>
        <v>#N/A</v>
      </c>
      <c r="T177" s="6" t="e">
        <f>_xlfn.XMATCH(E177,{TRUE,4.1,FALSE,1.1},-1,2)</f>
        <v>#N/A</v>
      </c>
      <c r="U177" s="6" t="e">
        <f>_xlfn.XMATCH(F177,{TRUE,4.1,FALSE,1.1},-1,2)</f>
        <v>#N/A</v>
      </c>
      <c r="V177" s="6">
        <f>_xlfn.XMATCH(G177,{TRUE,4.1,FALSE,1.1},-1,2)</f>
        <v>2</v>
      </c>
      <c r="W177" s="6">
        <f>_xlfn.XMATCH(H177,{TRUE,4.1,FALSE,1.1},-1,2)</f>
        <v>4</v>
      </c>
      <c r="X177" s="6">
        <f>_xlfn.XMATCH(I177,{TRUE,4.1,FALSE,1.1},-1,2)</f>
        <v>2</v>
      </c>
      <c r="Y177" s="6">
        <f>_xlfn.XMATCH(J177,{TRUE,4.1,FALSE,1.1},-1,2)</f>
        <v>4</v>
      </c>
      <c r="Z177" s="6" t="e">
        <f>_xlfn.XMATCH(K177,{TRUE,4.1,FALSE,1.1},-1,2)</f>
        <v>#VALUE!</v>
      </c>
      <c r="AA177" s="6" t="e">
        <f>_xlfn.XMATCH(L177,{TRUE,4.1,FALSE,1.1},-1,2)</f>
        <v>#N/A</v>
      </c>
      <c r="AB177" s="6" t="e">
        <f>_xlfn.XMATCH(M177,{TRUE,4.1,FALSE,1.1},-1,2)</f>
        <v>#DIV/0!</v>
      </c>
      <c r="AC177" s="6" t="e">
        <f>_xlfn.XMATCH(N177,{TRUE,4.1,FALSE,1.1},-1,2)</f>
        <v>#NAME?</v>
      </c>
      <c r="AD177" s="6" t="e">
        <f>_xlfn.XMATCH(O177,{TRUE,4.1,FALSE,1.1},-1,2)</f>
        <v>#NULL!</v>
      </c>
      <c r="AE177" s="6" t="e">
        <f>_xlfn.XMATCH(P177,{TRUE,4.1,FALSE,1.1},-1,2)</f>
        <v>#NUM!</v>
      </c>
      <c r="AF177" s="6" t="e">
        <f>_xlfn.XMATCH(Q177,{TRUE,4.1,FALSE,1.1},-1,2)</f>
        <v>#REF!</v>
      </c>
    </row>
    <row r="178" spans="1:32" x14ac:dyDescent="0.15">
      <c r="A178" s="102"/>
      <c r="B178" s="100"/>
      <c r="C178" s="13">
        <v>-2</v>
      </c>
      <c r="D178" s="13">
        <v>1.1000000000000001</v>
      </c>
      <c r="E178" s="13">
        <v>3</v>
      </c>
      <c r="F178" s="13">
        <v>4</v>
      </c>
      <c r="G178" s="13">
        <v>4.0999999999999996</v>
      </c>
      <c r="H178" s="14"/>
      <c r="I178" s="14" t="s">
        <v>339</v>
      </c>
      <c r="J178" s="14" t="b">
        <v>1</v>
      </c>
      <c r="K178" s="14" t="e">
        <f>#VALUE!</f>
        <v>#VALUE!</v>
      </c>
      <c r="L178" s="14" t="e">
        <v>#N/A</v>
      </c>
      <c r="M178" s="15" t="e">
        <v>#DIV/0!</v>
      </c>
      <c r="N178" s="15" t="e">
        <v>#NAME?</v>
      </c>
      <c r="O178" s="15" t="e">
        <v>#NULL!</v>
      </c>
      <c r="P178" s="15" t="e">
        <v>#NUM!</v>
      </c>
      <c r="Q178" s="15" t="e">
        <v>#REF!</v>
      </c>
      <c r="R178" s="6" t="e">
        <f>_xlfn.XMATCH(C178,{TRUE,4.1,FALSE,"c bau c"},-1,-2)</f>
        <v>#N/A</v>
      </c>
      <c r="S178" s="6" t="e">
        <f>_xlfn.XMATCH(D178,{TRUE,4.1,FALSE,"c bau c"},-1,-2)</f>
        <v>#N/A</v>
      </c>
      <c r="T178" s="6" t="e">
        <f>_xlfn.XMATCH(E178,{TRUE,4.1,FALSE,"c bau c"},-1,-2)</f>
        <v>#N/A</v>
      </c>
      <c r="U178" s="6" t="e">
        <f>_xlfn.XMATCH(F178,{TRUE,4.1,FALSE,"c bau c"},-1,-2)</f>
        <v>#N/A</v>
      </c>
      <c r="V178" s="6">
        <f>_xlfn.XMATCH(G178,{TRUE,4.1,FALSE,"c bau c"},-1,-2)</f>
        <v>2</v>
      </c>
      <c r="W178" s="6">
        <f>_xlfn.XMATCH(H178,{TRUE,4.1,FALSE,"c bau c"},-1,-2)</f>
        <v>1</v>
      </c>
      <c r="X178" s="6">
        <f>_xlfn.XMATCH(I178,{TRUE,4.1,FALSE,"c bau c"},-1,-2)</f>
        <v>2</v>
      </c>
      <c r="Y178" s="6">
        <f>_xlfn.XMATCH(J178,{TRUE,4.1,FALSE,"c bau c"},-1,-2)</f>
        <v>1</v>
      </c>
      <c r="Z178" s="6" t="e">
        <f>_xlfn.XMATCH(K178,{TRUE,4.1,FALSE,"c bau c"},-1,-2)</f>
        <v>#VALUE!</v>
      </c>
      <c r="AA178" s="6" t="e">
        <f>_xlfn.XMATCH(L178,{TRUE,4.1,FALSE,"c bau c"},-1,-2)</f>
        <v>#N/A</v>
      </c>
      <c r="AB178" s="6" t="e">
        <f>_xlfn.XMATCH(M178,{TRUE,4.1,FALSE,"c bau c"},-1,-2)</f>
        <v>#DIV/0!</v>
      </c>
      <c r="AC178" s="6" t="e">
        <f>_xlfn.XMATCH(N178,{TRUE,4.1,FALSE,"c bau c"},-1,-2)</f>
        <v>#NAME?</v>
      </c>
      <c r="AD178" s="6" t="e">
        <f>_xlfn.XMATCH(O178,{TRUE,4.1,FALSE,"c bau c"},-1,-2)</f>
        <v>#NULL!</v>
      </c>
      <c r="AE178" s="6" t="e">
        <f>_xlfn.XMATCH(P178,{TRUE,4.1,FALSE,"c bau c"},-1,-2)</f>
        <v>#NUM!</v>
      </c>
      <c r="AF178" s="6" t="e">
        <f>_xlfn.XMATCH(Q178,{TRUE,4.1,FALSE,"c bau c"},-1,-2)</f>
        <v>#REF!</v>
      </c>
    </row>
    <row r="179" spans="1:32" x14ac:dyDescent="0.15">
      <c r="A179" s="102"/>
      <c r="B179" s="100"/>
      <c r="C179" s="13">
        <v>-2</v>
      </c>
      <c r="D179" s="13">
        <v>1.1000000000000001</v>
      </c>
      <c r="E179" s="13">
        <v>3</v>
      </c>
      <c r="F179" s="13">
        <v>4</v>
      </c>
      <c r="G179" s="13">
        <v>4.0999999999999996</v>
      </c>
      <c r="H179" s="14"/>
      <c r="I179" s="14" t="s">
        <v>339</v>
      </c>
      <c r="J179" s="14" t="b">
        <v>1</v>
      </c>
      <c r="K179" s="14" t="e">
        <f>#VALUE!</f>
        <v>#VALUE!</v>
      </c>
      <c r="L179" s="14" t="e">
        <v>#N/A</v>
      </c>
      <c r="M179" s="15" t="e">
        <v>#DIV/0!</v>
      </c>
      <c r="N179" s="15" t="e">
        <v>#NAME?</v>
      </c>
      <c r="O179" s="15" t="e">
        <v>#NULL!</v>
      </c>
      <c r="P179" s="15" t="e">
        <v>#NUM!</v>
      </c>
      <c r="Q179" s="15" t="e">
        <v>#REF!</v>
      </c>
      <c r="R179" s="6" t="e">
        <f>_xlfn.XMATCH(C179,{TRUE,FALSE,"a","c bau c"},2)</f>
        <v>#N/A</v>
      </c>
      <c r="S179" s="6" t="e">
        <f>_xlfn.XMATCH(D179,{TRUE,FALSE,"a","c bau c"},2)</f>
        <v>#N/A</v>
      </c>
      <c r="T179" s="6" t="e">
        <f>_xlfn.XMATCH(E179,{TRUE,FALSE,"a","c bau c"},2)</f>
        <v>#N/A</v>
      </c>
      <c r="U179" s="6" t="e">
        <f>_xlfn.XMATCH(F179,{TRUE,FALSE,"a","c bau c"},2)</f>
        <v>#N/A</v>
      </c>
      <c r="V179" s="6" t="e">
        <f>_xlfn.XMATCH(G179,{TRUE,FALSE,"a","c bau c"},2)</f>
        <v>#N/A</v>
      </c>
      <c r="W179" s="6" t="e">
        <f>_xlfn.XMATCH(H179,{TRUE,FALSE,"a","c bau c"},2)</f>
        <v>#N/A</v>
      </c>
      <c r="X179" s="6">
        <f>_xlfn.XMATCH(I179,{TRUE,FALSE,"a","c bau c"},2)</f>
        <v>4</v>
      </c>
      <c r="Y179" s="6">
        <f>_xlfn.XMATCH(J179,{TRUE,FALSE,"a","c bau c"},2)</f>
        <v>1</v>
      </c>
      <c r="Z179" s="6" t="e">
        <f>_xlfn.XMATCH(K179,{TRUE,FALSE,"a","c bau c"},2)</f>
        <v>#VALUE!</v>
      </c>
      <c r="AA179" s="6" t="e">
        <f>_xlfn.XMATCH(L179,{TRUE,FALSE,"a","c bau c"},2)</f>
        <v>#N/A</v>
      </c>
      <c r="AB179" s="6" t="e">
        <f>_xlfn.XMATCH(M179,{TRUE,FALSE,"a","c bau c"},2)</f>
        <v>#DIV/0!</v>
      </c>
      <c r="AC179" s="6" t="e">
        <f>_xlfn.XMATCH(N179,{TRUE,FALSE,"a","c bau c"},2)</f>
        <v>#NAME?</v>
      </c>
      <c r="AD179" s="6" t="e">
        <f>_xlfn.XMATCH(O179,{TRUE,FALSE,"a","c bau c"},2)</f>
        <v>#NULL!</v>
      </c>
      <c r="AE179" s="6" t="e">
        <f>_xlfn.XMATCH(P179,{TRUE,FALSE,"a","c bau c"},2)</f>
        <v>#NUM!</v>
      </c>
      <c r="AF179" s="6" t="e">
        <f>_xlfn.XMATCH(Q179,{TRUE,FALSE,"a","c bau c"},2)</f>
        <v>#REF!</v>
      </c>
    </row>
    <row r="180" spans="1:32" x14ac:dyDescent="0.15">
      <c r="A180" s="102"/>
      <c r="B180" s="100"/>
      <c r="C180" s="13">
        <v>-2</v>
      </c>
      <c r="D180" s="13">
        <v>1.1000000000000001</v>
      </c>
      <c r="E180" s="13">
        <v>3</v>
      </c>
      <c r="F180" s="13">
        <v>4</v>
      </c>
      <c r="G180" s="13">
        <v>4.0999999999999996</v>
      </c>
      <c r="H180" s="14"/>
      <c r="I180" s="14" t="s">
        <v>339</v>
      </c>
      <c r="J180" s="14" t="b">
        <v>1</v>
      </c>
      <c r="K180" s="14" t="e">
        <f>#VALUE!</f>
        <v>#VALUE!</v>
      </c>
      <c r="L180" s="14" t="e">
        <v>#N/A</v>
      </c>
      <c r="M180" s="15" t="e">
        <v>#DIV/0!</v>
      </c>
      <c r="N180" s="15" t="e">
        <v>#NAME?</v>
      </c>
      <c r="O180" s="15" t="e">
        <v>#NULL!</v>
      </c>
      <c r="P180" s="15" t="e">
        <v>#NUM!</v>
      </c>
      <c r="Q180" s="15" t="e">
        <v>#REF!</v>
      </c>
      <c r="R180" s="6" t="e">
        <f>_xlfn.XMATCH(C180,{-1.1,2.1,3.1,4.1},0,2)</f>
        <v>#N/A</v>
      </c>
      <c r="S180" s="6" t="e">
        <f>_xlfn.XMATCH(D180,{-1.1,2.1,3.1,4.1},0,2)</f>
        <v>#N/A</v>
      </c>
      <c r="T180" s="6" t="e">
        <f>_xlfn.XMATCH(E180,{-1.1,2.1,3.1,4.1},0,2)</f>
        <v>#N/A</v>
      </c>
      <c r="U180" s="6" t="e">
        <f>_xlfn.XMATCH(F180,{-1.1,2.1,3.1,4.1},0,2)</f>
        <v>#N/A</v>
      </c>
      <c r="V180" s="6">
        <f>_xlfn.XMATCH(G180,{-1.1,2.1,3.1,4.1},0,2)</f>
        <v>4</v>
      </c>
      <c r="W180" s="6" t="e">
        <f>_xlfn.XMATCH(H180,{-1.1,2.1,3.1,4.1},0,2)</f>
        <v>#N/A</v>
      </c>
      <c r="X180" s="6" t="e">
        <f>_xlfn.XMATCH(I180,{-1.1,2.1,3.1,4.1},0,2)</f>
        <v>#N/A</v>
      </c>
      <c r="Y180" s="6" t="e">
        <f>_xlfn.XMATCH(J180,{-1.1,2.1,3.1,4.1},0,2)</f>
        <v>#N/A</v>
      </c>
      <c r="Z180" s="6" t="e">
        <f>_xlfn.XMATCH(K180,{-1.1,2.1,3.1,4.1},0,2)</f>
        <v>#VALUE!</v>
      </c>
      <c r="AA180" s="6" t="e">
        <f>_xlfn.XMATCH(L180,{-1.1,2.1,3.1,4.1},0,2)</f>
        <v>#N/A</v>
      </c>
      <c r="AB180" s="6" t="e">
        <f>_xlfn.XMATCH(M180,{-1.1,2.1,3.1,4.1},0,2)</f>
        <v>#DIV/0!</v>
      </c>
      <c r="AC180" s="6" t="e">
        <f>_xlfn.XMATCH(N180,{-1.1,2.1,3.1,4.1},0,2)</f>
        <v>#NAME?</v>
      </c>
      <c r="AD180" s="6" t="e">
        <f>_xlfn.XMATCH(O180,{-1.1,2.1,3.1,4.1},0,2)</f>
        <v>#NULL!</v>
      </c>
      <c r="AE180" s="6" t="e">
        <f>_xlfn.XMATCH(P180,{-1.1,2.1,3.1,4.1},0,2)</f>
        <v>#NUM!</v>
      </c>
      <c r="AF180" s="6" t="e">
        <f>_xlfn.XMATCH(Q180,{-1.1,2.1,3.1,4.1},0,2)</f>
        <v>#REF!</v>
      </c>
    </row>
    <row r="181" spans="1:32" x14ac:dyDescent="0.15">
      <c r="A181" s="102"/>
      <c r="B181" s="100"/>
      <c r="C181" s="13">
        <v>-2</v>
      </c>
      <c r="D181" s="13">
        <v>1.1000000000000001</v>
      </c>
      <c r="E181" s="13">
        <v>3</v>
      </c>
      <c r="F181" s="13">
        <v>4</v>
      </c>
      <c r="G181" s="13">
        <v>4.0999999999999996</v>
      </c>
      <c r="H181" s="14"/>
      <c r="I181" s="14" t="s">
        <v>339</v>
      </c>
      <c r="J181" s="14" t="b">
        <v>1</v>
      </c>
      <c r="K181" s="14" t="e">
        <f>#VALUE!</f>
        <v>#VALUE!</v>
      </c>
      <c r="L181" s="14" t="e">
        <v>#N/A</v>
      </c>
      <c r="M181" s="15" t="e">
        <v>#DIV/0!</v>
      </c>
      <c r="N181" s="15" t="e">
        <v>#NAME?</v>
      </c>
      <c r="O181" s="15" t="e">
        <v>#NULL!</v>
      </c>
      <c r="P181" s="15" t="e">
        <v>#NUM!</v>
      </c>
      <c r="Q181" s="15" t="e">
        <v>#REF!</v>
      </c>
      <c r="R181" s="6" t="e">
        <f>_xlfn.XMATCH(C181,{"a",2.1,"c bau c",4.1},2,1)</f>
        <v>#N/A</v>
      </c>
      <c r="S181" s="6" t="e">
        <f>_xlfn.XMATCH(D181,{"a",2.1,"c bau c",4.1},2,1)</f>
        <v>#N/A</v>
      </c>
      <c r="T181" s="6" t="e">
        <f>_xlfn.XMATCH(E181,{"a",2.1,"c bau c",4.1},2,1)</f>
        <v>#N/A</v>
      </c>
      <c r="U181" s="6" t="e">
        <f>_xlfn.XMATCH(F181,{"a",2.1,"c bau c",4.1},2,1)</f>
        <v>#N/A</v>
      </c>
      <c r="V181" s="6">
        <f>_xlfn.XMATCH(G181,{"a",2.1,"c bau c",4.1},2,1)</f>
        <v>4</v>
      </c>
      <c r="W181" s="6" t="e">
        <f>_xlfn.XMATCH(H181,{"a",2.1,"c bau c",4.1},2,1)</f>
        <v>#N/A</v>
      </c>
      <c r="X181" s="6">
        <f>_xlfn.XMATCH(I181,{"a",2.1,"c bau c",4.1},2,1)</f>
        <v>3</v>
      </c>
      <c r="Y181" s="6" t="e">
        <f>_xlfn.XMATCH(J181,{"a",2.1,"c bau c",4.1},2,1)</f>
        <v>#N/A</v>
      </c>
      <c r="Z181" s="6" t="e">
        <f>_xlfn.XMATCH(K181,{"a",2.1,"c bau c",4.1},2,1)</f>
        <v>#VALUE!</v>
      </c>
      <c r="AA181" s="6" t="e">
        <f>_xlfn.XMATCH(L181,{"a",2.1,"c bau c",4.1},2,1)</f>
        <v>#N/A</v>
      </c>
      <c r="AB181" s="6" t="e">
        <f>_xlfn.XMATCH(M181,{"a",2.1,"c bau c",4.1},2,1)</f>
        <v>#DIV/0!</v>
      </c>
      <c r="AC181" s="6" t="e">
        <f>_xlfn.XMATCH(N181,{"a",2.1,"c bau c",4.1},2,1)</f>
        <v>#NAME?</v>
      </c>
      <c r="AD181" s="6" t="e">
        <f>_xlfn.XMATCH(O181,{"a",2.1,"c bau c",4.1},2,1)</f>
        <v>#NULL!</v>
      </c>
      <c r="AE181" s="6" t="e">
        <f>_xlfn.XMATCH(P181,{"a",2.1,"c bau c",4.1},2,1)</f>
        <v>#NUM!</v>
      </c>
      <c r="AF181" s="6" t="e">
        <f>_xlfn.XMATCH(Q181,{"a",2.1,"c bau c",4.1},2,1)</f>
        <v>#REF!</v>
      </c>
    </row>
    <row r="182" spans="1:32" x14ac:dyDescent="0.15">
      <c r="A182" s="102"/>
      <c r="B182" s="100"/>
      <c r="C182" s="13">
        <v>-2</v>
      </c>
      <c r="D182" s="13">
        <v>1.1000000000000001</v>
      </c>
      <c r="E182" s="13">
        <v>3</v>
      </c>
      <c r="F182" s="13">
        <v>4</v>
      </c>
      <c r="G182" s="13">
        <v>4.0999999999999996</v>
      </c>
      <c r="H182" s="14"/>
      <c r="I182" s="14" t="s">
        <v>339</v>
      </c>
      <c r="J182" s="14" t="b">
        <v>1</v>
      </c>
      <c r="K182" s="14" t="e">
        <f>#VALUE!</f>
        <v>#VALUE!</v>
      </c>
      <c r="L182" s="14" t="e">
        <v>#N/A</v>
      </c>
      <c r="M182" s="15" t="e">
        <v>#DIV/0!</v>
      </c>
      <c r="N182" s="15" t="e">
        <v>#NAME?</v>
      </c>
      <c r="O182" s="15" t="e">
        <v>#NULL!</v>
      </c>
      <c r="P182" s="15" t="e">
        <v>#NUM!</v>
      </c>
      <c r="Q182" s="15" t="e">
        <v>#REF!</v>
      </c>
      <c r="R182" s="6" t="e">
        <f>_xlfn.XMATCH(C182,{FALSE,2.1,TRUE,4.1},2,-1)</f>
        <v>#N/A</v>
      </c>
      <c r="S182" s="6" t="e">
        <f>_xlfn.XMATCH(D182,{FALSE,2.1,TRUE,4.1},2,-1)</f>
        <v>#N/A</v>
      </c>
      <c r="T182" s="6" t="e">
        <f>_xlfn.XMATCH(E182,{FALSE,2.1,TRUE,4.1},2,-1)</f>
        <v>#N/A</v>
      </c>
      <c r="U182" s="6" t="e">
        <f>_xlfn.XMATCH(F182,{FALSE,2.1,TRUE,4.1},2,-1)</f>
        <v>#N/A</v>
      </c>
      <c r="V182" s="6">
        <f>_xlfn.XMATCH(G182,{FALSE,2.1,TRUE,4.1},2,-1)</f>
        <v>4</v>
      </c>
      <c r="W182" s="6" t="e">
        <f>_xlfn.XMATCH(H182,{FALSE,2.1,TRUE,4.1},2,-1)</f>
        <v>#N/A</v>
      </c>
      <c r="X182" s="6" t="e">
        <f>_xlfn.XMATCH(I182,{FALSE,2.1,TRUE,4.1},2,-1)</f>
        <v>#N/A</v>
      </c>
      <c r="Y182" s="6">
        <f>_xlfn.XMATCH(J182,{FALSE,2.1,TRUE,4.1},2,-1)</f>
        <v>3</v>
      </c>
      <c r="Z182" s="6" t="e">
        <f>_xlfn.XMATCH(K182,{FALSE,2.1,TRUE,4.1},2,-1)</f>
        <v>#VALUE!</v>
      </c>
      <c r="AA182" s="6" t="e">
        <f>_xlfn.XMATCH(L182,{FALSE,2.1,TRUE,4.1},2,-1)</f>
        <v>#N/A</v>
      </c>
      <c r="AB182" s="6" t="e">
        <f>_xlfn.XMATCH(M182,{FALSE,2.1,TRUE,4.1},2,-1)</f>
        <v>#DIV/0!</v>
      </c>
      <c r="AC182" s="6" t="e">
        <f>_xlfn.XMATCH(N182,{FALSE,2.1,TRUE,4.1},2,-1)</f>
        <v>#NAME?</v>
      </c>
      <c r="AD182" s="6" t="e">
        <f>_xlfn.XMATCH(O182,{FALSE,2.1,TRUE,4.1},2,-1)</f>
        <v>#NULL!</v>
      </c>
      <c r="AE182" s="6" t="e">
        <f>_xlfn.XMATCH(P182,{FALSE,2.1,TRUE,4.1},2,-1)</f>
        <v>#NUM!</v>
      </c>
      <c r="AF182" s="6" t="e">
        <f>_xlfn.XMATCH(Q182,{FALSE,2.1,TRUE,4.1},2,-1)</f>
        <v>#REF!</v>
      </c>
    </row>
    <row r="183" spans="1:32" x14ac:dyDescent="0.15">
      <c r="A183" s="102"/>
      <c r="B183" s="100"/>
      <c r="C183" s="13">
        <v>-2</v>
      </c>
      <c r="D183" s="13">
        <v>1.1000000000000001</v>
      </c>
      <c r="E183" s="13">
        <v>3</v>
      </c>
      <c r="F183" s="13">
        <v>4</v>
      </c>
      <c r="G183" s="13">
        <v>4.0999999999999996</v>
      </c>
      <c r="H183" s="14"/>
      <c r="I183" s="14" t="s">
        <v>339</v>
      </c>
      <c r="J183" s="14" t="b">
        <v>1</v>
      </c>
      <c r="K183" s="14" t="e">
        <f>#VALUE!</f>
        <v>#VALUE!</v>
      </c>
      <c r="L183" s="14" t="e">
        <v>#N/A</v>
      </c>
      <c r="M183" s="15" t="e">
        <v>#DIV/0!</v>
      </c>
      <c r="N183" s="15" t="e">
        <v>#NAME?</v>
      </c>
      <c r="O183" s="15" t="e">
        <v>#NULL!</v>
      </c>
      <c r="P183" s="15" t="e">
        <v>#NUM!</v>
      </c>
      <c r="Q183" s="15" t="e">
        <v>#REF!</v>
      </c>
      <c r="R183" s="6" t="e">
        <f>_xlfn.XMATCH(C183,{4.1,3.1,2.1,1.1},2,2)</f>
        <v>#VALUE!</v>
      </c>
      <c r="S183" s="6" t="e">
        <f>_xlfn.XMATCH(D183,{4.1,3.1,2.1,1.1},2,2)</f>
        <v>#VALUE!</v>
      </c>
      <c r="T183" s="6" t="e">
        <f>_xlfn.XMATCH(E183,{4.1,3.1,2.1,1.1},2,2)</f>
        <v>#VALUE!</v>
      </c>
      <c r="U183" s="6" t="e">
        <f>_xlfn.XMATCH(F183,{4.1,3.1,2.1,1.1},2,2)</f>
        <v>#VALUE!</v>
      </c>
      <c r="V183" s="6" t="e">
        <f>_xlfn.XMATCH(G183,{4.1,3.1,2.1,1.1},2,2)</f>
        <v>#VALUE!</v>
      </c>
      <c r="W183" s="6" t="e">
        <f>_xlfn.XMATCH(H183,{4.1,3.1,2.1,1.1},2,2)</f>
        <v>#VALUE!</v>
      </c>
      <c r="X183" s="6" t="e">
        <f>_xlfn.XMATCH(I183,{4.1,3.1,2.1,1.1},2,2)</f>
        <v>#VALUE!</v>
      </c>
      <c r="Y183" s="6" t="e">
        <f>_xlfn.XMATCH(J183,{4.1,3.1,2.1,1.1},2,2)</f>
        <v>#VALUE!</v>
      </c>
      <c r="Z183" s="6" t="e">
        <f>_xlfn.XMATCH(K183,{4.1,3.1,2.1,1.1},2,2)</f>
        <v>#VALUE!</v>
      </c>
      <c r="AA183" s="6" t="e">
        <f>_xlfn.XMATCH(L183,{4.1,3.1,2.1,1.1},2,2)</f>
        <v>#N/A</v>
      </c>
      <c r="AB183" s="6" t="e">
        <f>_xlfn.XMATCH(M183,{4.1,3.1,2.1,1.1},2,2)</f>
        <v>#DIV/0!</v>
      </c>
      <c r="AC183" s="6" t="e">
        <f>_xlfn.XMATCH(N183,{4.1,3.1,2.1,1.1},2,2)</f>
        <v>#NAME?</v>
      </c>
      <c r="AD183" s="6" t="e">
        <f>_xlfn.XMATCH(O183,{4.1,3.1,2.1,1.1},2,2)</f>
        <v>#NULL!</v>
      </c>
      <c r="AE183" s="6" t="e">
        <f>_xlfn.XMATCH(P183,{4.1,3.1,2.1,1.1},2,2)</f>
        <v>#NUM!</v>
      </c>
      <c r="AF183" s="6" t="e">
        <f>_xlfn.XMATCH(Q183,{4.1,3.1,2.1,1.1},2,2)</f>
        <v>#REF!</v>
      </c>
    </row>
    <row r="184" spans="1:32" x14ac:dyDescent="0.15">
      <c r="A184" s="102"/>
      <c r="B184" s="100"/>
      <c r="C184" s="13">
        <v>-2</v>
      </c>
      <c r="D184" s="13">
        <v>1.1000000000000001</v>
      </c>
      <c r="E184" s="13">
        <v>3</v>
      </c>
      <c r="F184" s="13">
        <v>4</v>
      </c>
      <c r="G184" s="13">
        <v>4.0999999999999996</v>
      </c>
      <c r="H184" s="14"/>
      <c r="I184" s="14" t="s">
        <v>339</v>
      </c>
      <c r="J184" s="14" t="b">
        <v>1</v>
      </c>
      <c r="K184" s="14" t="e">
        <f>#VALUE!</f>
        <v>#VALUE!</v>
      </c>
      <c r="L184" s="14" t="e">
        <v>#N/A</v>
      </c>
      <c r="M184" s="15" t="e">
        <v>#DIV/0!</v>
      </c>
      <c r="N184" s="15" t="e">
        <v>#NAME?</v>
      </c>
      <c r="O184" s="15" t="e">
        <v>#NULL!</v>
      </c>
      <c r="P184" s="15" t="e">
        <v>#NUM!</v>
      </c>
      <c r="Q184" s="15" t="e">
        <v>#REF!</v>
      </c>
      <c r="R184" s="6" t="e">
        <f>_xlfn.XMATCH(C184,{"c bau c",4.1,"a",1.1},2,-2)</f>
        <v>#VALUE!</v>
      </c>
      <c r="S184" s="6" t="e">
        <f>_xlfn.XMATCH(D184,{"c bau c",4.1,"a",1.1},2,-2)</f>
        <v>#VALUE!</v>
      </c>
      <c r="T184" s="6" t="e">
        <f>_xlfn.XMATCH(E184,{"c bau c",4.1,"a",1.1},2,-2)</f>
        <v>#VALUE!</v>
      </c>
      <c r="U184" s="6" t="e">
        <f>_xlfn.XMATCH(F184,{"c bau c",4.1,"a",1.1},2,-2)</f>
        <v>#VALUE!</v>
      </c>
      <c r="V184" s="6" t="e">
        <f>_xlfn.XMATCH(G184,{"c bau c",4.1,"a",1.1},2,-2)</f>
        <v>#VALUE!</v>
      </c>
      <c r="W184" s="6" t="e">
        <f>_xlfn.XMATCH(H184,{"c bau c",4.1,"a",1.1},2,-2)</f>
        <v>#VALUE!</v>
      </c>
      <c r="X184" s="6" t="e">
        <f>_xlfn.XMATCH(I184,{"c bau c",4.1,"a",1.1},2,-2)</f>
        <v>#VALUE!</v>
      </c>
      <c r="Y184" s="6" t="e">
        <f>_xlfn.XMATCH(J184,{"c bau c",4.1,"a",1.1},2,-2)</f>
        <v>#VALUE!</v>
      </c>
      <c r="Z184" s="6" t="e">
        <f>_xlfn.XMATCH(K184,{"c bau c",4.1,"a",1.1},2,-2)</f>
        <v>#VALUE!</v>
      </c>
      <c r="AA184" s="6" t="e">
        <f>_xlfn.XMATCH(L184,{"c bau c",4.1,"a",1.1},2,-2)</f>
        <v>#N/A</v>
      </c>
      <c r="AB184" s="6" t="e">
        <f>_xlfn.XMATCH(M184,{"c bau c",4.1,"a",1.1},2,-2)</f>
        <v>#DIV/0!</v>
      </c>
      <c r="AC184" s="6" t="e">
        <f>_xlfn.XMATCH(N184,{"c bau c",4.1,"a",1.1},2,-2)</f>
        <v>#NAME?</v>
      </c>
      <c r="AD184" s="6" t="e">
        <f>_xlfn.XMATCH(O184,{"c bau c",4.1,"a",1.1},2,-2)</f>
        <v>#NULL!</v>
      </c>
      <c r="AE184" s="6" t="e">
        <f>_xlfn.XMATCH(P184,{"c bau c",4.1,"a",1.1},2,-2)</f>
        <v>#NUM!</v>
      </c>
      <c r="AF184" s="6" t="e">
        <f>_xlfn.XMATCH(Q184,{"c bau c",4.1,"a",1.1},2,-2)</f>
        <v>#REF!</v>
      </c>
    </row>
    <row r="185" spans="1:32" x14ac:dyDescent="0.15">
      <c r="A185" s="102"/>
      <c r="B185" s="100"/>
      <c r="C185" s="13">
        <v>-2</v>
      </c>
      <c r="D185" s="13">
        <v>1.1000000000000001</v>
      </c>
      <c r="E185" s="13">
        <v>3</v>
      </c>
      <c r="F185" s="13">
        <v>4</v>
      </c>
      <c r="G185" s="13">
        <v>4.0999999999999996</v>
      </c>
      <c r="H185" s="14"/>
      <c r="I185" s="14" t="s">
        <v>339</v>
      </c>
      <c r="J185" s="14" t="b">
        <v>1</v>
      </c>
      <c r="K185" s="14" t="e">
        <f>#VALUE!</f>
        <v>#VALUE!</v>
      </c>
      <c r="L185" s="14" t="e">
        <v>#N/A</v>
      </c>
      <c r="M185" s="15" t="e">
        <v>#DIV/0!</v>
      </c>
      <c r="N185" s="15" t="e">
        <v>#NAME?</v>
      </c>
      <c r="O185" s="15" t="e">
        <v>#NULL!</v>
      </c>
      <c r="P185" s="15" t="e">
        <v>#NUM!</v>
      </c>
      <c r="Q185" s="15" t="e">
        <v>#REF!</v>
      </c>
      <c r="R185" s="6" t="e">
        <f>_xlfn.XMATCH(C185,{"",4.1,"a",1.1},-1,2)</f>
        <v>#N/A</v>
      </c>
      <c r="S185" s="6" t="e">
        <f>_xlfn.XMATCH(D185,{"",4.1,"a",1.1},-1,2)</f>
        <v>#N/A</v>
      </c>
      <c r="T185" s="6" t="e">
        <f>_xlfn.XMATCH(E185,{"",4.1,"a",1.1},-1,2)</f>
        <v>#N/A</v>
      </c>
      <c r="U185" s="6" t="e">
        <f>_xlfn.XMATCH(F185,{"",4.1,"a",1.1},-1,2)</f>
        <v>#N/A</v>
      </c>
      <c r="V185" s="6">
        <f>_xlfn.XMATCH(G185,{"",4.1,"a",1.1},-1,2)</f>
        <v>2</v>
      </c>
      <c r="W185" s="6">
        <f>_xlfn.XMATCH(H185,{"",4.1,"a",1.1},-1,2)</f>
        <v>4</v>
      </c>
      <c r="X185" s="6">
        <f>_xlfn.XMATCH(I185,{"",4.1,"a",1.1},-1,2)</f>
        <v>2</v>
      </c>
      <c r="Y185" s="6">
        <f>_xlfn.XMATCH(J185,{"",4.1,"a",1.1},-1,2)</f>
        <v>4</v>
      </c>
      <c r="Z185" s="6" t="e">
        <f>_xlfn.XMATCH(K185,{"",4.1,"a",1.1},-1,2)</f>
        <v>#VALUE!</v>
      </c>
      <c r="AA185" s="6" t="e">
        <f>_xlfn.XMATCH(L185,{"",4.1,"a",1.1},-1,2)</f>
        <v>#N/A</v>
      </c>
      <c r="AB185" s="6" t="e">
        <f>_xlfn.XMATCH(M185,{"",4.1,"a",1.1},-1,2)</f>
        <v>#DIV/0!</v>
      </c>
      <c r="AC185" s="6" t="e">
        <f>_xlfn.XMATCH(N185,{"",4.1,"a",1.1},-1,2)</f>
        <v>#NAME?</v>
      </c>
      <c r="AD185" s="6" t="e">
        <f>_xlfn.XMATCH(O185,{"",4.1,"a",1.1},-1,2)</f>
        <v>#NULL!</v>
      </c>
      <c r="AE185" s="6" t="e">
        <f>_xlfn.XMATCH(P185,{"",4.1,"a",1.1},-1,2)</f>
        <v>#NUM!</v>
      </c>
      <c r="AF185" s="6" t="e">
        <f>_xlfn.XMATCH(Q185,{"",4.1,"a",1.1},-1,2)</f>
        <v>#REF!</v>
      </c>
    </row>
    <row r="186" spans="1:32" x14ac:dyDescent="0.15">
      <c r="A186" s="102"/>
      <c r="B186" s="100"/>
      <c r="C186" s="13">
        <v>-2</v>
      </c>
      <c r="D186" s="13">
        <v>1.1000000000000001</v>
      </c>
      <c r="E186" s="13">
        <v>3</v>
      </c>
      <c r="F186" s="13">
        <v>4</v>
      </c>
      <c r="G186" s="13">
        <v>4.0999999999999996</v>
      </c>
      <c r="H186" s="14"/>
      <c r="I186" s="14" t="s">
        <v>339</v>
      </c>
      <c r="J186" s="14" t="b">
        <v>1</v>
      </c>
      <c r="K186" s="14" t="e">
        <f>#VALUE!</f>
        <v>#VALUE!</v>
      </c>
      <c r="L186" s="14" t="e">
        <v>#N/A</v>
      </c>
      <c r="M186" s="15" t="e">
        <v>#DIV/0!</v>
      </c>
      <c r="N186" s="15" t="e">
        <v>#NAME?</v>
      </c>
      <c r="O186" s="15" t="e">
        <v>#NULL!</v>
      </c>
      <c r="P186" s="15" t="e">
        <v>#NUM!</v>
      </c>
      <c r="Q186" s="15" t="e">
        <v>#REF!</v>
      </c>
      <c r="R186" s="6" t="e">
        <f>_xlfn.XMATCH(C186,{TRUE,4.1,FALSE,1.1},-1,2)</f>
        <v>#N/A</v>
      </c>
      <c r="S186" s="6" t="e">
        <f>_xlfn.XMATCH(D186,{TRUE,4.1,FALSE,1.1},-1,2)</f>
        <v>#N/A</v>
      </c>
      <c r="T186" s="6" t="e">
        <f>_xlfn.XMATCH(E186,{TRUE,4.1,FALSE,1.1},-1,2)</f>
        <v>#N/A</v>
      </c>
      <c r="U186" s="6" t="e">
        <f>_xlfn.XMATCH(F186,{TRUE,4.1,FALSE,1.1},-1,2)</f>
        <v>#N/A</v>
      </c>
      <c r="V186" s="6">
        <f>_xlfn.XMATCH(G186,{TRUE,4.1,FALSE,1.1},-1,2)</f>
        <v>2</v>
      </c>
      <c r="W186" s="6">
        <f>_xlfn.XMATCH(H186,{TRUE,4.1,FALSE,1.1},-1,2)</f>
        <v>4</v>
      </c>
      <c r="X186" s="6">
        <f>_xlfn.XMATCH(I186,{TRUE,4.1,FALSE,1.1},-1,2)</f>
        <v>2</v>
      </c>
      <c r="Y186" s="6">
        <f>_xlfn.XMATCH(J186,{TRUE,4.1,FALSE,1.1},-1,2)</f>
        <v>4</v>
      </c>
      <c r="Z186" s="6" t="e">
        <f>_xlfn.XMATCH(K186,{TRUE,4.1,FALSE,1.1},-1,2)</f>
        <v>#VALUE!</v>
      </c>
      <c r="AA186" s="6" t="e">
        <f>_xlfn.XMATCH(L186,{TRUE,4.1,FALSE,1.1},-1,2)</f>
        <v>#N/A</v>
      </c>
      <c r="AB186" s="6" t="e">
        <f>_xlfn.XMATCH(M186,{TRUE,4.1,FALSE,1.1},-1,2)</f>
        <v>#DIV/0!</v>
      </c>
      <c r="AC186" s="6" t="e">
        <f>_xlfn.XMATCH(N186,{TRUE,4.1,FALSE,1.1},-1,2)</f>
        <v>#NAME?</v>
      </c>
      <c r="AD186" s="6" t="e">
        <f>_xlfn.XMATCH(O186,{TRUE,4.1,FALSE,1.1},-1,2)</f>
        <v>#NULL!</v>
      </c>
      <c r="AE186" s="6" t="e">
        <f>_xlfn.XMATCH(P186,{TRUE,4.1,FALSE,1.1},-1,2)</f>
        <v>#NUM!</v>
      </c>
      <c r="AF186" s="6" t="e">
        <f>_xlfn.XMATCH(Q186,{TRUE,4.1,FALSE,1.1},-1,2)</f>
        <v>#REF!</v>
      </c>
    </row>
    <row r="187" spans="1:32" x14ac:dyDescent="0.15">
      <c r="A187" s="102"/>
      <c r="B187" s="100"/>
      <c r="C187" s="13">
        <v>-2</v>
      </c>
      <c r="D187" s="13">
        <v>1.1000000000000001</v>
      </c>
      <c r="E187" s="13">
        <v>3</v>
      </c>
      <c r="F187" s="13">
        <v>4</v>
      </c>
      <c r="G187" s="13">
        <v>4.0999999999999996</v>
      </c>
      <c r="H187" s="14"/>
      <c r="I187" s="14" t="s">
        <v>339</v>
      </c>
      <c r="J187" s="14" t="b">
        <v>1</v>
      </c>
      <c r="K187" s="14" t="e">
        <f>#VALUE!</f>
        <v>#VALUE!</v>
      </c>
      <c r="L187" s="14" t="e">
        <v>#N/A</v>
      </c>
      <c r="M187" s="15" t="e">
        <v>#DIV/0!</v>
      </c>
      <c r="N187" s="15" t="e">
        <v>#NAME?</v>
      </c>
      <c r="O187" s="15" t="e">
        <v>#NULL!</v>
      </c>
      <c r="P187" s="15" t="e">
        <v>#NUM!</v>
      </c>
      <c r="Q187" s="15" t="e">
        <v>#REF!</v>
      </c>
      <c r="R187" s="6" t="e">
        <f>_xlfn.XMATCH(C187,{TRUE,4.1,FALSE,"c bau c"},0)</f>
        <v>#N/A</v>
      </c>
      <c r="S187" s="6" t="e">
        <f>_xlfn.XMATCH(D187,{TRUE,4.1,FALSE,"c bau c"},0)</f>
        <v>#N/A</v>
      </c>
      <c r="T187" s="6" t="e">
        <f>_xlfn.XMATCH(E187,{TRUE,4.1,FALSE,"c bau c"},0)</f>
        <v>#N/A</v>
      </c>
      <c r="U187" s="6" t="e">
        <f>_xlfn.XMATCH(F187,{TRUE,4.1,FALSE,"c bau c"},0)</f>
        <v>#N/A</v>
      </c>
      <c r="V187" s="6">
        <f>_xlfn.XMATCH(G187,{TRUE,4.1,FALSE,"c bau c"},0)</f>
        <v>2</v>
      </c>
      <c r="W187" s="6" t="e">
        <f>_xlfn.XMATCH(H187,{TRUE,4.1,FALSE,"c bau c"},0)</f>
        <v>#N/A</v>
      </c>
      <c r="X187" s="6" t="e">
        <f>_xlfn.XMATCH(I187,{TRUE,4.1,FALSE,"c bau c"},0)</f>
        <v>#N/A</v>
      </c>
      <c r="Y187" s="6">
        <f>_xlfn.XMATCH(J187,{TRUE,4.1,FALSE,"c bau c"},0)</f>
        <v>1</v>
      </c>
      <c r="Z187" s="6" t="e">
        <f>_xlfn.XMATCH(K187,{TRUE,4.1,FALSE,"c bau c"},0)</f>
        <v>#VALUE!</v>
      </c>
      <c r="AA187" s="6" t="e">
        <f>_xlfn.XMATCH(L187,{TRUE,4.1,FALSE,"c bau c"},0)</f>
        <v>#N/A</v>
      </c>
      <c r="AB187" s="6" t="e">
        <f>_xlfn.XMATCH(M187,{TRUE,4.1,FALSE,"c bau c"},0)</f>
        <v>#DIV/0!</v>
      </c>
      <c r="AC187" s="6" t="e">
        <f>_xlfn.XMATCH(N187,{TRUE,4.1,FALSE,"c bau c"},0)</f>
        <v>#NAME?</v>
      </c>
      <c r="AD187" s="6" t="e">
        <f>_xlfn.XMATCH(O187,{TRUE,4.1,FALSE,"c bau c"},0)</f>
        <v>#NULL!</v>
      </c>
      <c r="AE187" s="6" t="e">
        <f>_xlfn.XMATCH(P187,{TRUE,4.1,FALSE,"c bau c"},0)</f>
        <v>#NUM!</v>
      </c>
      <c r="AF187" s="6" t="e">
        <f>_xlfn.XMATCH(Q187,{TRUE,4.1,FALSE,"c bau c"},0)</f>
        <v>#REF!</v>
      </c>
    </row>
    <row r="188" spans="1:32" x14ac:dyDescent="0.15">
      <c r="A188" s="102"/>
      <c r="B188" s="100"/>
      <c r="C188" s="13">
        <v>-2</v>
      </c>
      <c r="D188" s="13">
        <v>1.1000000000000001</v>
      </c>
      <c r="E188" s="13">
        <v>3</v>
      </c>
      <c r="F188" s="13">
        <v>4</v>
      </c>
      <c r="G188" s="13">
        <v>4.0999999999999996</v>
      </c>
      <c r="H188" s="14"/>
      <c r="I188" s="14" t="s">
        <v>339</v>
      </c>
      <c r="J188" s="14" t="b">
        <v>1</v>
      </c>
      <c r="K188" s="14" t="e">
        <f>#VALUE!</f>
        <v>#VALUE!</v>
      </c>
      <c r="L188" s="14" t="e">
        <v>#N/A</v>
      </c>
      <c r="M188" s="15" t="e">
        <v>#DIV/0!</v>
      </c>
      <c r="N188" s="15" t="e">
        <v>#NAME?</v>
      </c>
      <c r="O188" s="15" t="e">
        <v>#NULL!</v>
      </c>
      <c r="P188" s="15" t="e">
        <v>#NUM!</v>
      </c>
      <c r="Q188" s="15" t="e">
        <v>#REF!</v>
      </c>
      <c r="R188" s="6" t="e">
        <f>_xlfn.XMATCH(C188,{TRUE,FALSE,"a","c bau c"},0)</f>
        <v>#N/A</v>
      </c>
      <c r="S188" s="6" t="e">
        <f>_xlfn.XMATCH(D188,{TRUE,FALSE,"a","c bau c"},0)</f>
        <v>#N/A</v>
      </c>
      <c r="T188" s="6" t="e">
        <f>_xlfn.XMATCH(E188,{TRUE,FALSE,"a","c bau c"},0)</f>
        <v>#N/A</v>
      </c>
      <c r="U188" s="6" t="e">
        <f>_xlfn.XMATCH(F188,{TRUE,FALSE,"a","c bau c"},0)</f>
        <v>#N/A</v>
      </c>
      <c r="V188" s="6" t="e">
        <f>_xlfn.XMATCH(G188,{TRUE,FALSE,"a","c bau c"},0)</f>
        <v>#N/A</v>
      </c>
      <c r="W188" s="6" t="e">
        <f>_xlfn.XMATCH(H188,{TRUE,FALSE,"a","c bau c"},0)</f>
        <v>#N/A</v>
      </c>
      <c r="X188" s="6" t="e">
        <f>_xlfn.XMATCH(I188,{TRUE,FALSE,"a","c bau c"},0)</f>
        <v>#N/A</v>
      </c>
      <c r="Y188" s="6">
        <f>_xlfn.XMATCH(J188,{TRUE,FALSE,"a","c bau c"},0)</f>
        <v>1</v>
      </c>
      <c r="Z188" s="6" t="e">
        <f>_xlfn.XMATCH(K188,{TRUE,FALSE,"a","c bau c"},0)</f>
        <v>#VALUE!</v>
      </c>
      <c r="AA188" s="6" t="e">
        <f>_xlfn.XMATCH(L188,{TRUE,FALSE,"a","c bau c"},0)</f>
        <v>#N/A</v>
      </c>
      <c r="AB188" s="6" t="e">
        <f>_xlfn.XMATCH(M188,{TRUE,FALSE,"a","c bau c"},0)</f>
        <v>#DIV/0!</v>
      </c>
      <c r="AC188" s="6" t="e">
        <f>_xlfn.XMATCH(N188,{TRUE,FALSE,"a","c bau c"},0)</f>
        <v>#NAME?</v>
      </c>
      <c r="AD188" s="6" t="e">
        <f>_xlfn.XMATCH(O188,{TRUE,FALSE,"a","c bau c"},0)</f>
        <v>#NULL!</v>
      </c>
      <c r="AE188" s="6" t="e">
        <f>_xlfn.XMATCH(P188,{TRUE,FALSE,"a","c bau c"},0)</f>
        <v>#NUM!</v>
      </c>
      <c r="AF188" s="6" t="e">
        <f>_xlfn.XMATCH(Q188,{TRUE,FALSE,"a","c bau c"},0)</f>
        <v>#REF!</v>
      </c>
    </row>
    <row r="189" spans="1:32" x14ac:dyDescent="0.15">
      <c r="A189" s="102"/>
      <c r="B189" s="100"/>
      <c r="C189" s="13">
        <v>-2</v>
      </c>
      <c r="D189" s="13">
        <v>1.1000000000000001</v>
      </c>
      <c r="E189" s="13">
        <v>3</v>
      </c>
      <c r="F189" s="13">
        <v>4</v>
      </c>
      <c r="G189" s="13">
        <v>4.0999999999999996</v>
      </c>
      <c r="H189" s="14"/>
      <c r="I189" s="14" t="s">
        <v>339</v>
      </c>
      <c r="J189" s="14" t="b">
        <v>1</v>
      </c>
      <c r="K189" s="14" t="e">
        <f>#VALUE!</f>
        <v>#VALUE!</v>
      </c>
      <c r="L189" s="14" t="e">
        <v>#N/A</v>
      </c>
      <c r="M189" s="15" t="e">
        <v>#DIV/0!</v>
      </c>
      <c r="N189" s="15" t="e">
        <v>#NAME?</v>
      </c>
      <c r="O189" s="15" t="e">
        <v>#NULL!</v>
      </c>
      <c r="P189" s="15" t="e">
        <v>#NUM!</v>
      </c>
      <c r="Q189" s="15" t="e">
        <v>#REF!</v>
      </c>
      <c r="R189" s="6" t="e">
        <f>_xlfn.XMATCH(C189,{-1.1,2.1,3.1,4.1},-1)</f>
        <v>#N/A</v>
      </c>
      <c r="S189" s="6">
        <f>_xlfn.XMATCH(D189,{-1.1,2.1,3.1,4.1},-1)</f>
        <v>1</v>
      </c>
      <c r="T189" s="6">
        <f>_xlfn.XMATCH(E189,{-1.1,2.1,3.1,4.1},-1)</f>
        <v>2</v>
      </c>
      <c r="U189" s="6">
        <f>_xlfn.XMATCH(F189,{-1.1,2.1,3.1,4.1},-1)</f>
        <v>3</v>
      </c>
      <c r="V189" s="6">
        <f>_xlfn.XMATCH(G189,{-1.1,2.1,3.1,4.1},-1)</f>
        <v>4</v>
      </c>
      <c r="W189" s="6">
        <f>_xlfn.XMATCH(H189,{-1.1,2.1,3.1,4.1},-1)</f>
        <v>4</v>
      </c>
      <c r="X189" s="6">
        <f>_xlfn.XMATCH(I189,{-1.1,2.1,3.1,4.1},-1)</f>
        <v>4</v>
      </c>
      <c r="Y189" s="6">
        <f>_xlfn.XMATCH(J189,{-1.1,2.1,3.1,4.1},-1)</f>
        <v>4</v>
      </c>
      <c r="Z189" s="6" t="e">
        <f>_xlfn.XMATCH(K189,{-1.1,2.1,3.1,4.1},-1)</f>
        <v>#VALUE!</v>
      </c>
      <c r="AA189" s="6" t="e">
        <f>_xlfn.XMATCH(L189,{-1.1,2.1,3.1,4.1},-1)</f>
        <v>#N/A</v>
      </c>
      <c r="AB189" s="6" t="e">
        <f>_xlfn.XMATCH(M189,{-1.1,2.1,3.1,4.1},-1)</f>
        <v>#DIV/0!</v>
      </c>
      <c r="AC189" s="6" t="e">
        <f>_xlfn.XMATCH(N189,{-1.1,2.1,3.1,4.1},-1)</f>
        <v>#NAME?</v>
      </c>
      <c r="AD189" s="6" t="e">
        <f>_xlfn.XMATCH(O189,{-1.1,2.1,3.1,4.1},-1)</f>
        <v>#NULL!</v>
      </c>
      <c r="AE189" s="6" t="e">
        <f>_xlfn.XMATCH(P189,{-1.1,2.1,3.1,4.1},-1)</f>
        <v>#NUM!</v>
      </c>
      <c r="AF189" s="6" t="e">
        <f>_xlfn.XMATCH(Q189,{-1.1,2.1,3.1,4.1},-1)</f>
        <v>#REF!</v>
      </c>
    </row>
    <row r="190" spans="1:32" x14ac:dyDescent="0.15">
      <c r="A190" s="102"/>
      <c r="B190" s="100"/>
      <c r="C190" s="13">
        <v>-2</v>
      </c>
      <c r="D190" s="13">
        <v>1.1000000000000001</v>
      </c>
      <c r="E190" s="13">
        <v>3</v>
      </c>
      <c r="F190" s="13">
        <v>4</v>
      </c>
      <c r="G190" s="13">
        <v>4.0999999999999996</v>
      </c>
      <c r="H190" s="14"/>
      <c r="I190" s="14" t="s">
        <v>339</v>
      </c>
      <c r="J190" s="14" t="b">
        <v>1</v>
      </c>
      <c r="K190" s="14" t="e">
        <f>#VALUE!</f>
        <v>#VALUE!</v>
      </c>
      <c r="L190" s="14" t="e">
        <v>#N/A</v>
      </c>
      <c r="M190" s="15" t="e">
        <v>#DIV/0!</v>
      </c>
      <c r="N190" s="15" t="e">
        <v>#NAME?</v>
      </c>
      <c r="O190" s="15" t="e">
        <v>#NULL!</v>
      </c>
      <c r="P190" s="15" t="e">
        <v>#NUM!</v>
      </c>
      <c r="Q190" s="15" t="e">
        <v>#REF!</v>
      </c>
      <c r="R190" s="6" t="e">
        <f>_xlfn.XMATCH(C190,{"a",2.1,"c bau c",4.1},-1)</f>
        <v>#N/A</v>
      </c>
      <c r="S190" s="6" t="e">
        <f>_xlfn.XMATCH(D190,{"a",2.1,"c bau c",4.1},-1)</f>
        <v>#N/A</v>
      </c>
      <c r="T190" s="6">
        <f>_xlfn.XMATCH(E190,{"a",2.1,"c bau c",4.1},-1)</f>
        <v>2</v>
      </c>
      <c r="U190" s="6">
        <f>_xlfn.XMATCH(F190,{"a",2.1,"c bau c",4.1},-1)</f>
        <v>2</v>
      </c>
      <c r="V190" s="6">
        <f>_xlfn.XMATCH(G190,{"a",2.1,"c bau c",4.1},-1)</f>
        <v>4</v>
      </c>
      <c r="W190" s="6">
        <f>_xlfn.XMATCH(H190,{"a",2.1,"c bau c",4.1},-1)</f>
        <v>3</v>
      </c>
      <c r="X190" s="6">
        <f>_xlfn.XMATCH(I190,{"a",2.1,"c bau c",4.1},-1)</f>
        <v>4</v>
      </c>
      <c r="Y190" s="6">
        <f>_xlfn.XMATCH(J190,{"a",2.1,"c bau c",4.1},-1)</f>
        <v>3</v>
      </c>
      <c r="Z190" s="6" t="e">
        <f>_xlfn.XMATCH(K190,{"a",2.1,"c bau c",4.1},-1)</f>
        <v>#VALUE!</v>
      </c>
      <c r="AA190" s="6" t="e">
        <f>_xlfn.XMATCH(L190,{"a",2.1,"c bau c",4.1},-1)</f>
        <v>#N/A</v>
      </c>
      <c r="AB190" s="6" t="e">
        <f>_xlfn.XMATCH(M190,{"a",2.1,"c bau c",4.1},-1)</f>
        <v>#DIV/0!</v>
      </c>
      <c r="AC190" s="6" t="e">
        <f>_xlfn.XMATCH(N190,{"a",2.1,"c bau c",4.1},-1)</f>
        <v>#NAME?</v>
      </c>
      <c r="AD190" s="6" t="e">
        <f>_xlfn.XMATCH(O190,{"a",2.1,"c bau c",4.1},-1)</f>
        <v>#NULL!</v>
      </c>
      <c r="AE190" s="6" t="e">
        <f>_xlfn.XMATCH(P190,{"a",2.1,"c bau c",4.1},-1)</f>
        <v>#NUM!</v>
      </c>
      <c r="AF190" s="6" t="e">
        <f>_xlfn.XMATCH(Q190,{"a",2.1,"c bau c",4.1},-1)</f>
        <v>#REF!</v>
      </c>
    </row>
    <row r="191" spans="1:32" x14ac:dyDescent="0.15">
      <c r="A191" s="102"/>
      <c r="B191" s="100"/>
      <c r="C191" s="13">
        <v>-2</v>
      </c>
      <c r="D191" s="13">
        <v>1.1000000000000001</v>
      </c>
      <c r="E191" s="13">
        <v>3</v>
      </c>
      <c r="F191" s="13">
        <v>4</v>
      </c>
      <c r="G191" s="13">
        <v>4.0999999999999996</v>
      </c>
      <c r="H191" s="14"/>
      <c r="I191" s="14" t="s">
        <v>339</v>
      </c>
      <c r="J191" s="14" t="b">
        <v>1</v>
      </c>
      <c r="K191" s="14" t="e">
        <f>#VALUE!</f>
        <v>#VALUE!</v>
      </c>
      <c r="L191" s="14" t="e">
        <v>#N/A</v>
      </c>
      <c r="M191" s="15" t="e">
        <v>#DIV/0!</v>
      </c>
      <c r="N191" s="15" t="e">
        <v>#NAME?</v>
      </c>
      <c r="O191" s="15" t="e">
        <v>#NULL!</v>
      </c>
      <c r="P191" s="15" t="e">
        <v>#NUM!</v>
      </c>
      <c r="Q191" s="15" t="e">
        <v>#REF!</v>
      </c>
      <c r="R191" s="6" t="e">
        <f>_xlfn.XMATCH(C191,{FALSE,2.1,TRUE,4.1},-1)</f>
        <v>#N/A</v>
      </c>
      <c r="S191" s="6" t="e">
        <f>_xlfn.XMATCH(D191,{FALSE,2.1,TRUE,4.1},-1)</f>
        <v>#N/A</v>
      </c>
      <c r="T191" s="6">
        <f>_xlfn.XMATCH(E191,{FALSE,2.1,TRUE,4.1},-1)</f>
        <v>2</v>
      </c>
      <c r="U191" s="6">
        <f>_xlfn.XMATCH(F191,{FALSE,2.1,TRUE,4.1},-1)</f>
        <v>2</v>
      </c>
      <c r="V191" s="6">
        <f>_xlfn.XMATCH(G191,{FALSE,2.1,TRUE,4.1},-1)</f>
        <v>4</v>
      </c>
      <c r="W191" s="6">
        <f>_xlfn.XMATCH(H191,{FALSE,2.1,TRUE,4.1},-1)</f>
        <v>3</v>
      </c>
      <c r="X191" s="6">
        <f>_xlfn.XMATCH(I191,{FALSE,2.1,TRUE,4.1},-1)</f>
        <v>4</v>
      </c>
      <c r="Y191" s="6">
        <f>_xlfn.XMATCH(J191,{FALSE,2.1,TRUE,4.1},-1)</f>
        <v>3</v>
      </c>
      <c r="Z191" s="6" t="e">
        <f>_xlfn.XMATCH(K191,{FALSE,2.1,TRUE,4.1},-1)</f>
        <v>#VALUE!</v>
      </c>
      <c r="AA191" s="6" t="e">
        <f>_xlfn.XMATCH(L191,{FALSE,2.1,TRUE,4.1},-1)</f>
        <v>#N/A</v>
      </c>
      <c r="AB191" s="6" t="e">
        <f>_xlfn.XMATCH(M191,{FALSE,2.1,TRUE,4.1},-1)</f>
        <v>#DIV/0!</v>
      </c>
      <c r="AC191" s="6" t="e">
        <f>_xlfn.XMATCH(N191,{FALSE,2.1,TRUE,4.1},-1)</f>
        <v>#NAME?</v>
      </c>
      <c r="AD191" s="6" t="e">
        <f>_xlfn.XMATCH(O191,{FALSE,2.1,TRUE,4.1},-1)</f>
        <v>#NULL!</v>
      </c>
      <c r="AE191" s="6" t="e">
        <f>_xlfn.XMATCH(P191,{FALSE,2.1,TRUE,4.1},-1)</f>
        <v>#NUM!</v>
      </c>
      <c r="AF191" s="6" t="e">
        <f>_xlfn.XMATCH(Q191,{FALSE,2.1,TRUE,4.1},-1)</f>
        <v>#REF!</v>
      </c>
    </row>
    <row r="192" spans="1:32" x14ac:dyDescent="0.15">
      <c r="A192" s="102"/>
      <c r="B192" s="100"/>
      <c r="C192" s="13">
        <v>-2</v>
      </c>
      <c r="D192" s="13">
        <v>1.1000000000000001</v>
      </c>
      <c r="E192" s="13">
        <v>3</v>
      </c>
      <c r="F192" s="13">
        <v>4</v>
      </c>
      <c r="G192" s="13">
        <v>4.0999999999999996</v>
      </c>
      <c r="H192" s="14"/>
      <c r="I192" s="14" t="s">
        <v>339</v>
      </c>
      <c r="J192" s="14" t="b">
        <v>1</v>
      </c>
      <c r="K192" s="14" t="e">
        <f>#VALUE!</f>
        <v>#VALUE!</v>
      </c>
      <c r="L192" s="14" t="e">
        <v>#N/A</v>
      </c>
      <c r="M192" s="15" t="e">
        <v>#DIV/0!</v>
      </c>
      <c r="N192" s="15" t="e">
        <v>#NAME?</v>
      </c>
      <c r="O192" s="15" t="e">
        <v>#NULL!</v>
      </c>
      <c r="P192" s="15" t="e">
        <v>#NUM!</v>
      </c>
      <c r="Q192" s="15" t="e">
        <v>#REF!</v>
      </c>
      <c r="R192" s="6" t="e">
        <f>_xlfn.XMATCH(C192,{4.1,3.1,2.1,1.1},-1)</f>
        <v>#N/A</v>
      </c>
      <c r="S192" s="6">
        <f>_xlfn.XMATCH(D192,{4.1,3.1,2.1,1.1},-1)</f>
        <v>4</v>
      </c>
      <c r="T192" s="6">
        <f>_xlfn.XMATCH(E192,{4.1,3.1,2.1,1.1},-1)</f>
        <v>3</v>
      </c>
      <c r="U192" s="6">
        <f>_xlfn.XMATCH(F192,{4.1,3.1,2.1,1.1},-1)</f>
        <v>2</v>
      </c>
      <c r="V192" s="6">
        <f>_xlfn.XMATCH(G192,{4.1,3.1,2.1,1.1},-1)</f>
        <v>1</v>
      </c>
      <c r="W192" s="6">
        <f>_xlfn.XMATCH(H192,{4.1,3.1,2.1,1.1},-1)</f>
        <v>1</v>
      </c>
      <c r="X192" s="6">
        <f>_xlfn.XMATCH(I192,{4.1,3.1,2.1,1.1},-1)</f>
        <v>1</v>
      </c>
      <c r="Y192" s="6">
        <f>_xlfn.XMATCH(J192,{4.1,3.1,2.1,1.1},-1)</f>
        <v>1</v>
      </c>
      <c r="Z192" s="6" t="e">
        <f>_xlfn.XMATCH(K192,{4.1,3.1,2.1,1.1},-1)</f>
        <v>#VALUE!</v>
      </c>
      <c r="AA192" s="6" t="e">
        <f>_xlfn.XMATCH(L192,{4.1,3.1,2.1,1.1},-1)</f>
        <v>#N/A</v>
      </c>
      <c r="AB192" s="6" t="e">
        <f>_xlfn.XMATCH(M192,{4.1,3.1,2.1,1.1},-1)</f>
        <v>#DIV/0!</v>
      </c>
      <c r="AC192" s="6" t="e">
        <f>_xlfn.XMATCH(N192,{4.1,3.1,2.1,1.1},-1)</f>
        <v>#NAME?</v>
      </c>
      <c r="AD192" s="6" t="e">
        <f>_xlfn.XMATCH(O192,{4.1,3.1,2.1,1.1},-1)</f>
        <v>#NULL!</v>
      </c>
      <c r="AE192" s="6" t="e">
        <f>_xlfn.XMATCH(P192,{4.1,3.1,2.1,1.1},-1)</f>
        <v>#NUM!</v>
      </c>
      <c r="AF192" s="6" t="e">
        <f>_xlfn.XMATCH(Q192,{4.1,3.1,2.1,1.1},-1)</f>
        <v>#REF!</v>
      </c>
    </row>
    <row r="193" spans="1:32" x14ac:dyDescent="0.15">
      <c r="A193" s="102"/>
      <c r="B193" s="100"/>
      <c r="C193" s="13">
        <v>-2</v>
      </c>
      <c r="D193" s="13">
        <v>1.1000000000000001</v>
      </c>
      <c r="E193" s="13">
        <v>3</v>
      </c>
      <c r="F193" s="13">
        <v>4</v>
      </c>
      <c r="G193" s="13">
        <v>4.0999999999999996</v>
      </c>
      <c r="H193" s="14"/>
      <c r="I193" s="14" t="s">
        <v>339</v>
      </c>
      <c r="J193" s="14" t="b">
        <v>1</v>
      </c>
      <c r="K193" s="14" t="e">
        <f>#VALUE!</f>
        <v>#VALUE!</v>
      </c>
      <c r="L193" s="14" t="e">
        <v>#N/A</v>
      </c>
      <c r="M193" s="15" t="e">
        <v>#DIV/0!</v>
      </c>
      <c r="N193" s="15" t="e">
        <v>#NAME?</v>
      </c>
      <c r="O193" s="15" t="e">
        <v>#NULL!</v>
      </c>
      <c r="P193" s="15" t="e">
        <v>#NUM!</v>
      </c>
      <c r="Q193" s="15" t="e">
        <v>#REF!</v>
      </c>
      <c r="R193" s="6" t="e">
        <f>_xlfn.XMATCH(C193,{"c bau c",4.1,"a",1.1},-1)</f>
        <v>#N/A</v>
      </c>
      <c r="S193" s="6">
        <f>_xlfn.XMATCH(D193,{"c bau c",4.1,"a",1.1},-1)</f>
        <v>4</v>
      </c>
      <c r="T193" s="6">
        <f>_xlfn.XMATCH(E193,{"c bau c",4.1,"a",1.1},-1)</f>
        <v>4</v>
      </c>
      <c r="U193" s="6">
        <f>_xlfn.XMATCH(F193,{"c bau c",4.1,"a",1.1},-1)</f>
        <v>4</v>
      </c>
      <c r="V193" s="6">
        <f>_xlfn.XMATCH(G193,{"c bau c",4.1,"a",1.1},-1)</f>
        <v>2</v>
      </c>
      <c r="W193" s="6">
        <f>_xlfn.XMATCH(H193,{"c bau c",4.1,"a",1.1},-1)</f>
        <v>1</v>
      </c>
      <c r="X193" s="6">
        <f>_xlfn.XMATCH(I193,{"c bau c",4.1,"a",1.1},-1)</f>
        <v>2</v>
      </c>
      <c r="Y193" s="6">
        <f>_xlfn.XMATCH(J193,{"c bau c",4.1,"a",1.1},-1)</f>
        <v>1</v>
      </c>
      <c r="Z193" s="6" t="e">
        <f>_xlfn.XMATCH(K193,{"c bau c",4.1,"a",1.1},-1)</f>
        <v>#VALUE!</v>
      </c>
      <c r="AA193" s="6" t="e">
        <f>_xlfn.XMATCH(L193,{"c bau c",4.1,"a",1.1},-1)</f>
        <v>#N/A</v>
      </c>
      <c r="AB193" s="6" t="e">
        <f>_xlfn.XMATCH(M193,{"c bau c",4.1,"a",1.1},-1)</f>
        <v>#DIV/0!</v>
      </c>
      <c r="AC193" s="6" t="e">
        <f>_xlfn.XMATCH(N193,{"c bau c",4.1,"a",1.1},-1)</f>
        <v>#NAME?</v>
      </c>
      <c r="AD193" s="6" t="e">
        <f>_xlfn.XMATCH(O193,{"c bau c",4.1,"a",1.1},-1)</f>
        <v>#NULL!</v>
      </c>
      <c r="AE193" s="6" t="e">
        <f>_xlfn.XMATCH(P193,{"c bau c",4.1,"a",1.1},-1)</f>
        <v>#NUM!</v>
      </c>
      <c r="AF193" s="6" t="e">
        <f>_xlfn.XMATCH(Q193,{"c bau c",4.1,"a",1.1},-1)</f>
        <v>#REF!</v>
      </c>
    </row>
    <row r="194" spans="1:32" x14ac:dyDescent="0.15">
      <c r="A194" s="102"/>
      <c r="B194" s="100"/>
      <c r="C194" s="13">
        <v>-2</v>
      </c>
      <c r="D194" s="13">
        <v>1.1000000000000001</v>
      </c>
      <c r="E194" s="13">
        <v>3</v>
      </c>
      <c r="F194" s="13">
        <v>4</v>
      </c>
      <c r="G194" s="13">
        <v>4.0999999999999996</v>
      </c>
      <c r="H194" s="14"/>
      <c r="I194" s="14" t="s">
        <v>339</v>
      </c>
      <c r="J194" s="14" t="b">
        <v>1</v>
      </c>
      <c r="K194" s="14" t="e">
        <f>#VALUE!</f>
        <v>#VALUE!</v>
      </c>
      <c r="L194" s="14" t="e">
        <v>#N/A</v>
      </c>
      <c r="M194" s="15" t="e">
        <v>#DIV/0!</v>
      </c>
      <c r="N194" s="15" t="e">
        <v>#NAME?</v>
      </c>
      <c r="O194" s="15" t="e">
        <v>#NULL!</v>
      </c>
      <c r="P194" s="15" t="e">
        <v>#NUM!</v>
      </c>
      <c r="Q194" s="15" t="e">
        <v>#REF!</v>
      </c>
      <c r="R194" s="6" t="e">
        <f>_xlfn.XMATCH(C194,{"",4.1,"a",1.1},-1)</f>
        <v>#N/A</v>
      </c>
      <c r="S194" s="6">
        <f>_xlfn.XMATCH(D194,{"",4.1,"a",1.1},-1)</f>
        <v>4</v>
      </c>
      <c r="T194" s="6">
        <f>_xlfn.XMATCH(E194,{"",4.1,"a",1.1},-1)</f>
        <v>4</v>
      </c>
      <c r="U194" s="6">
        <f>_xlfn.XMATCH(F194,{"",4.1,"a",1.1},-1)</f>
        <v>4</v>
      </c>
      <c r="V194" s="6">
        <f>_xlfn.XMATCH(G194,{"",4.1,"a",1.1},-1)</f>
        <v>2</v>
      </c>
      <c r="W194" s="6">
        <f>_xlfn.XMATCH(H194,{"",4.1,"a",1.1},-1)</f>
        <v>3</v>
      </c>
      <c r="X194" s="6">
        <f>_xlfn.XMATCH(I194,{"",4.1,"a",1.1},-1)</f>
        <v>1</v>
      </c>
      <c r="Y194" s="6">
        <f>_xlfn.XMATCH(J194,{"",4.1,"a",1.1},-1)</f>
        <v>3</v>
      </c>
      <c r="Z194" s="6" t="e">
        <f>_xlfn.XMATCH(K194,{"",4.1,"a",1.1},-1)</f>
        <v>#VALUE!</v>
      </c>
      <c r="AA194" s="6" t="e">
        <f>_xlfn.XMATCH(L194,{"",4.1,"a",1.1},-1)</f>
        <v>#N/A</v>
      </c>
      <c r="AB194" s="6" t="e">
        <f>_xlfn.XMATCH(M194,{"",4.1,"a",1.1},-1)</f>
        <v>#DIV/0!</v>
      </c>
      <c r="AC194" s="6" t="e">
        <f>_xlfn.XMATCH(N194,{"",4.1,"a",1.1},-1)</f>
        <v>#NAME?</v>
      </c>
      <c r="AD194" s="6" t="e">
        <f>_xlfn.XMATCH(O194,{"",4.1,"a",1.1},-1)</f>
        <v>#NULL!</v>
      </c>
      <c r="AE194" s="6" t="e">
        <f>_xlfn.XMATCH(P194,{"",4.1,"a",1.1},-1)</f>
        <v>#NUM!</v>
      </c>
      <c r="AF194" s="6" t="e">
        <f>_xlfn.XMATCH(Q194,{"",4.1,"a",1.1},-1)</f>
        <v>#REF!</v>
      </c>
    </row>
    <row r="195" spans="1:32" x14ac:dyDescent="0.15">
      <c r="A195" s="102"/>
      <c r="B195" s="100"/>
      <c r="C195" s="13">
        <v>-2</v>
      </c>
      <c r="D195" s="13">
        <v>1.1000000000000001</v>
      </c>
      <c r="E195" s="13">
        <v>3</v>
      </c>
      <c r="F195" s="13">
        <v>4</v>
      </c>
      <c r="G195" s="13">
        <v>4.0999999999999996</v>
      </c>
      <c r="H195" s="14"/>
      <c r="I195" s="14" t="s">
        <v>339</v>
      </c>
      <c r="J195" s="14" t="b">
        <v>1</v>
      </c>
      <c r="K195" s="14" t="e">
        <f>#VALUE!</f>
        <v>#VALUE!</v>
      </c>
      <c r="L195" s="14" t="e">
        <v>#N/A</v>
      </c>
      <c r="M195" s="15" t="e">
        <v>#DIV/0!</v>
      </c>
      <c r="N195" s="15" t="e">
        <v>#NAME?</v>
      </c>
      <c r="O195" s="15" t="e">
        <v>#NULL!</v>
      </c>
      <c r="P195" s="15" t="e">
        <v>#NUM!</v>
      </c>
      <c r="Q195" s="15" t="e">
        <v>#REF!</v>
      </c>
      <c r="R195" s="6" t="e">
        <f>_xlfn.XMATCH(C195,{TRUE,4.1,FALSE,1.1},-1)</f>
        <v>#N/A</v>
      </c>
      <c r="S195" s="6">
        <f>_xlfn.XMATCH(D195,{TRUE,4.1,FALSE,1.1},-1)</f>
        <v>4</v>
      </c>
      <c r="T195" s="6">
        <f>_xlfn.XMATCH(E195,{TRUE,4.1,FALSE,1.1},-1)</f>
        <v>4</v>
      </c>
      <c r="U195" s="6">
        <f>_xlfn.XMATCH(F195,{TRUE,4.1,FALSE,1.1},-1)</f>
        <v>4</v>
      </c>
      <c r="V195" s="6">
        <f>_xlfn.XMATCH(G195,{TRUE,4.1,FALSE,1.1},-1)</f>
        <v>2</v>
      </c>
      <c r="W195" s="6">
        <f>_xlfn.XMATCH(H195,{TRUE,4.1,FALSE,1.1},-1)</f>
        <v>1</v>
      </c>
      <c r="X195" s="6">
        <f>_xlfn.XMATCH(I195,{TRUE,4.1,FALSE,1.1},-1)</f>
        <v>2</v>
      </c>
      <c r="Y195" s="6">
        <f>_xlfn.XMATCH(J195,{TRUE,4.1,FALSE,1.1},-1)</f>
        <v>1</v>
      </c>
      <c r="Z195" s="6" t="e">
        <f>_xlfn.XMATCH(K195,{TRUE,4.1,FALSE,1.1},-1)</f>
        <v>#VALUE!</v>
      </c>
      <c r="AA195" s="6" t="e">
        <f>_xlfn.XMATCH(L195,{TRUE,4.1,FALSE,1.1},-1)</f>
        <v>#N/A</v>
      </c>
      <c r="AB195" s="6" t="e">
        <f>_xlfn.XMATCH(M195,{TRUE,4.1,FALSE,1.1},-1)</f>
        <v>#DIV/0!</v>
      </c>
      <c r="AC195" s="6" t="e">
        <f>_xlfn.XMATCH(N195,{TRUE,4.1,FALSE,1.1},-1)</f>
        <v>#NAME?</v>
      </c>
      <c r="AD195" s="6" t="e">
        <f>_xlfn.XMATCH(O195,{TRUE,4.1,FALSE,1.1},-1)</f>
        <v>#NULL!</v>
      </c>
      <c r="AE195" s="6" t="e">
        <f>_xlfn.XMATCH(P195,{TRUE,4.1,FALSE,1.1},-1)</f>
        <v>#NUM!</v>
      </c>
      <c r="AF195" s="6" t="e">
        <f>_xlfn.XMATCH(Q195,{TRUE,4.1,FALSE,1.1},-1)</f>
        <v>#REF!</v>
      </c>
    </row>
    <row r="196" spans="1:32" x14ac:dyDescent="0.15">
      <c r="A196" s="102"/>
      <c r="B196" s="100"/>
      <c r="C196" s="13">
        <v>-2</v>
      </c>
      <c r="D196" s="13">
        <v>1.1000000000000001</v>
      </c>
      <c r="E196" s="13">
        <v>3</v>
      </c>
      <c r="F196" s="13">
        <v>4</v>
      </c>
      <c r="G196" s="13">
        <v>4.0999999999999996</v>
      </c>
      <c r="H196" s="14"/>
      <c r="I196" s="14" t="s">
        <v>339</v>
      </c>
      <c r="J196" s="14" t="b">
        <v>1</v>
      </c>
      <c r="K196" s="14" t="e">
        <f>#VALUE!</f>
        <v>#VALUE!</v>
      </c>
      <c r="L196" s="14" t="e">
        <v>#N/A</v>
      </c>
      <c r="M196" s="15" t="e">
        <v>#DIV/0!</v>
      </c>
      <c r="N196" s="15" t="e">
        <v>#NAME?</v>
      </c>
      <c r="O196" s="15" t="e">
        <v>#NULL!</v>
      </c>
      <c r="P196" s="15" t="e">
        <v>#NUM!</v>
      </c>
      <c r="Q196" s="15" t="e">
        <v>#REF!</v>
      </c>
      <c r="R196" s="6" t="e">
        <f>_xlfn.XMATCH(C196,{TRUE,4.1,FALSE,"c bau c"},-1)</f>
        <v>#N/A</v>
      </c>
      <c r="S196" s="6" t="e">
        <f>_xlfn.XMATCH(D196,{TRUE,4.1,FALSE,"c bau c"},-1)</f>
        <v>#N/A</v>
      </c>
      <c r="T196" s="6" t="e">
        <f>_xlfn.XMATCH(E196,{TRUE,4.1,FALSE,"c bau c"},-1)</f>
        <v>#N/A</v>
      </c>
      <c r="U196" s="6" t="e">
        <f>_xlfn.XMATCH(F196,{TRUE,4.1,FALSE,"c bau c"},-1)</f>
        <v>#N/A</v>
      </c>
      <c r="V196" s="6">
        <f>_xlfn.XMATCH(G196,{TRUE,4.1,FALSE,"c bau c"},-1)</f>
        <v>2</v>
      </c>
      <c r="W196" s="6">
        <f>_xlfn.XMATCH(H196,{TRUE,4.1,FALSE,"c bau c"},-1)</f>
        <v>1</v>
      </c>
      <c r="X196" s="6">
        <f>_xlfn.XMATCH(I196,{TRUE,4.1,FALSE,"c bau c"},-1)</f>
        <v>2</v>
      </c>
      <c r="Y196" s="6">
        <f>_xlfn.XMATCH(J196,{TRUE,4.1,FALSE,"c bau c"},-1)</f>
        <v>1</v>
      </c>
      <c r="Z196" s="6" t="e">
        <f>_xlfn.XMATCH(K196,{TRUE,4.1,FALSE,"c bau c"},-1)</f>
        <v>#VALUE!</v>
      </c>
      <c r="AA196" s="6" t="e">
        <f>_xlfn.XMATCH(L196,{TRUE,4.1,FALSE,"c bau c"},-1)</f>
        <v>#N/A</v>
      </c>
      <c r="AB196" s="6" t="e">
        <f>_xlfn.XMATCH(M196,{TRUE,4.1,FALSE,"c bau c"},-1)</f>
        <v>#DIV/0!</v>
      </c>
      <c r="AC196" s="6" t="e">
        <f>_xlfn.XMATCH(N196,{TRUE,4.1,FALSE,"c bau c"},-1)</f>
        <v>#NAME?</v>
      </c>
      <c r="AD196" s="6" t="e">
        <f>_xlfn.XMATCH(O196,{TRUE,4.1,FALSE,"c bau c"},-1)</f>
        <v>#NULL!</v>
      </c>
      <c r="AE196" s="6" t="e">
        <f>_xlfn.XMATCH(P196,{TRUE,4.1,FALSE,"c bau c"},-1)</f>
        <v>#NUM!</v>
      </c>
      <c r="AF196" s="6" t="e">
        <f>_xlfn.XMATCH(Q196,{TRUE,4.1,FALSE,"c bau c"},-1)</f>
        <v>#REF!</v>
      </c>
    </row>
    <row r="197" spans="1:32" x14ac:dyDescent="0.15">
      <c r="A197" s="102"/>
      <c r="B197" s="100"/>
      <c r="C197" s="13">
        <v>-2</v>
      </c>
      <c r="D197" s="13">
        <v>1.1000000000000001</v>
      </c>
      <c r="E197" s="13">
        <v>3</v>
      </c>
      <c r="F197" s="13">
        <v>4</v>
      </c>
      <c r="G197" s="13">
        <v>4.0999999999999996</v>
      </c>
      <c r="H197" s="14"/>
      <c r="I197" s="14" t="s">
        <v>339</v>
      </c>
      <c r="J197" s="14" t="b">
        <v>1</v>
      </c>
      <c r="K197" s="14" t="e">
        <f>#VALUE!</f>
        <v>#VALUE!</v>
      </c>
      <c r="L197" s="14" t="e">
        <v>#N/A</v>
      </c>
      <c r="M197" s="15" t="e">
        <v>#DIV/0!</v>
      </c>
      <c r="N197" s="15" t="e">
        <v>#NAME?</v>
      </c>
      <c r="O197" s="15" t="e">
        <v>#NULL!</v>
      </c>
      <c r="P197" s="15" t="e">
        <v>#NUM!</v>
      </c>
      <c r="Q197" s="15" t="e">
        <v>#REF!</v>
      </c>
      <c r="R197" s="6" t="e">
        <f>_xlfn.XMATCH(C197,{TRUE,FALSE,"a","c bau c"},-1)</f>
        <v>#N/A</v>
      </c>
      <c r="S197" s="6" t="e">
        <f>_xlfn.XMATCH(D197,{TRUE,FALSE,"a","c bau c"},-1)</f>
        <v>#N/A</v>
      </c>
      <c r="T197" s="6" t="e">
        <f>_xlfn.XMATCH(E197,{TRUE,FALSE,"a","c bau c"},-1)</f>
        <v>#N/A</v>
      </c>
      <c r="U197" s="6" t="e">
        <f>_xlfn.XMATCH(F197,{TRUE,FALSE,"a","c bau c"},-1)</f>
        <v>#N/A</v>
      </c>
      <c r="V197" s="6" t="e">
        <f>_xlfn.XMATCH(G197,{TRUE,FALSE,"a","c bau c"},-1)</f>
        <v>#N/A</v>
      </c>
      <c r="W197" s="6">
        <f>_xlfn.XMATCH(H197,{TRUE,FALSE,"a","c bau c"},-1)</f>
        <v>1</v>
      </c>
      <c r="X197" s="6" t="e">
        <f>_xlfn.XMATCH(I197,{TRUE,FALSE,"a","c bau c"},-1)</f>
        <v>#N/A</v>
      </c>
      <c r="Y197" s="6">
        <f>_xlfn.XMATCH(J197,{TRUE,FALSE,"a","c bau c"},-1)</f>
        <v>1</v>
      </c>
      <c r="Z197" s="6" t="e">
        <f>_xlfn.XMATCH(K197,{TRUE,FALSE,"a","c bau c"},-1)</f>
        <v>#VALUE!</v>
      </c>
      <c r="AA197" s="6" t="e">
        <f>_xlfn.XMATCH(L197,{TRUE,FALSE,"a","c bau c"},-1)</f>
        <v>#N/A</v>
      </c>
      <c r="AB197" s="6" t="e">
        <f>_xlfn.XMATCH(M197,{TRUE,FALSE,"a","c bau c"},-1)</f>
        <v>#DIV/0!</v>
      </c>
      <c r="AC197" s="6" t="e">
        <f>_xlfn.XMATCH(N197,{TRUE,FALSE,"a","c bau c"},-1)</f>
        <v>#NAME?</v>
      </c>
      <c r="AD197" s="6" t="e">
        <f>_xlfn.XMATCH(O197,{TRUE,FALSE,"a","c bau c"},-1)</f>
        <v>#NULL!</v>
      </c>
      <c r="AE197" s="6" t="e">
        <f>_xlfn.XMATCH(P197,{TRUE,FALSE,"a","c bau c"},-1)</f>
        <v>#NUM!</v>
      </c>
      <c r="AF197" s="6" t="e">
        <f>_xlfn.XMATCH(Q197,{TRUE,FALSE,"a","c bau c"},-1)</f>
        <v>#REF!</v>
      </c>
    </row>
  </sheetData>
  <mergeCells count="57">
    <mergeCell ref="R1:AW1"/>
    <mergeCell ref="C2:G2"/>
    <mergeCell ref="K2:Q2"/>
    <mergeCell ref="R2:V2"/>
    <mergeCell ref="Z2:AF2"/>
    <mergeCell ref="AH2:AW2"/>
    <mergeCell ref="C1:Q1"/>
    <mergeCell ref="A65:A91"/>
    <mergeCell ref="B65:B91"/>
    <mergeCell ref="B56:B64"/>
    <mergeCell ref="B52:B54"/>
    <mergeCell ref="B120:B122"/>
    <mergeCell ref="A120:A122"/>
    <mergeCell ref="B93:B111"/>
    <mergeCell ref="A93:A111"/>
    <mergeCell ref="A12:A14"/>
    <mergeCell ref="A44:A46"/>
    <mergeCell ref="A52:A54"/>
    <mergeCell ref="B12:B14"/>
    <mergeCell ref="B44:B46"/>
    <mergeCell ref="B25:B43"/>
    <mergeCell ref="A25:A43"/>
    <mergeCell ref="A16:A18"/>
    <mergeCell ref="B16:B18"/>
    <mergeCell ref="B19:B21"/>
    <mergeCell ref="A19:A21"/>
    <mergeCell ref="B47:B49"/>
    <mergeCell ref="A47:A49"/>
    <mergeCell ref="B171:B197"/>
    <mergeCell ref="A171:A197"/>
    <mergeCell ref="B6:B8"/>
    <mergeCell ref="A6:A8"/>
    <mergeCell ref="A9:A11"/>
    <mergeCell ref="B9:B11"/>
    <mergeCell ref="B126:B129"/>
    <mergeCell ref="A126:A129"/>
    <mergeCell ref="A130:A133"/>
    <mergeCell ref="B130:B133"/>
    <mergeCell ref="A140:A142"/>
    <mergeCell ref="B140:B142"/>
    <mergeCell ref="A117:A119"/>
    <mergeCell ref="B117:B119"/>
    <mergeCell ref="A143:A145"/>
    <mergeCell ref="A56:A64"/>
    <mergeCell ref="B162:B170"/>
    <mergeCell ref="A162:A170"/>
    <mergeCell ref="A112:A114"/>
    <mergeCell ref="B143:B145"/>
    <mergeCell ref="B112:B114"/>
    <mergeCell ref="A146:A154"/>
    <mergeCell ref="B146:B154"/>
    <mergeCell ref="B156:B161"/>
    <mergeCell ref="A156:A161"/>
    <mergeCell ref="B123:B125"/>
    <mergeCell ref="A123:A125"/>
    <mergeCell ref="A135:A139"/>
    <mergeCell ref="B135:B139"/>
  </mergeCells>
  <phoneticPr fontId="5" type="noConversion"/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/>
  <dimension ref="A1:AW82"/>
  <sheetViews>
    <sheetView zoomScale="150" workbookViewId="0">
      <selection activeCell="E51" sqref="E51"/>
    </sheetView>
  </sheetViews>
  <sheetFormatPr baseColWidth="10" defaultColWidth="10.83203125" defaultRowHeight="11" x14ac:dyDescent="0.15"/>
  <cols>
    <col min="1" max="1" width="14.83203125" style="42" bestFit="1" customWidth="1"/>
    <col min="2" max="2" width="5.1640625" style="41" bestFit="1" customWidth="1"/>
    <col min="3" max="3" width="3.6640625" style="4" bestFit="1" customWidth="1"/>
    <col min="4" max="4" width="5.33203125" style="4" bestFit="1" customWidth="1"/>
    <col min="5" max="5" width="4.1640625" style="4" bestFit="1" customWidth="1"/>
    <col min="6" max="6" width="3.33203125" style="4" bestFit="1" customWidth="1"/>
    <col min="7" max="7" width="4.5" style="4" bestFit="1" customWidth="1"/>
    <col min="8" max="8" width="4.6640625" style="4" bestFit="1" customWidth="1"/>
    <col min="9" max="9" width="5.6640625" style="4" bestFit="1" customWidth="1"/>
    <col min="10" max="10" width="3.83203125" style="4" bestFit="1" customWidth="1"/>
    <col min="11" max="11" width="5.83203125" style="4" bestFit="1" customWidth="1"/>
    <col min="12" max="12" width="3.83203125" style="4" bestFit="1" customWidth="1"/>
    <col min="13" max="13" width="5.33203125" style="4" bestFit="1" customWidth="1"/>
    <col min="14" max="14" width="5.83203125" style="4" bestFit="1" customWidth="1"/>
    <col min="15" max="15" width="4.83203125" style="4" bestFit="1" customWidth="1"/>
    <col min="16" max="16" width="5" style="4" bestFit="1" customWidth="1"/>
    <col min="17" max="17" width="4.1640625" style="4" bestFit="1" customWidth="1"/>
    <col min="18" max="18" width="5.83203125" style="4" bestFit="1" customWidth="1"/>
    <col min="19" max="19" width="5.1640625" style="4" bestFit="1" customWidth="1"/>
    <col min="20" max="20" width="5" style="4" bestFit="1" customWidth="1"/>
    <col min="21" max="26" width="5.83203125" style="4" bestFit="1" customWidth="1"/>
    <col min="27" max="27" width="5.6640625" style="4" bestFit="1" customWidth="1"/>
    <col min="28" max="29" width="5.83203125" style="4" bestFit="1" customWidth="1"/>
    <col min="30" max="30" width="5" style="4" bestFit="1" customWidth="1"/>
    <col min="31" max="32" width="5.6640625" style="4" bestFit="1" customWidth="1"/>
    <col min="33" max="33" width="10" style="4" bestFit="1" customWidth="1"/>
    <col min="34" max="41" width="5.83203125" style="4" bestFit="1" customWidth="1"/>
    <col min="42" max="49" width="5.6640625" style="4" bestFit="1" customWidth="1"/>
    <col min="50" max="16384" width="10.83203125" style="4"/>
  </cols>
  <sheetData>
    <row r="1" spans="1:49" x14ac:dyDescent="0.15">
      <c r="A1" s="42" t="s">
        <v>542</v>
      </c>
      <c r="B1" s="80">
        <f>COUNTIF(B3:B219,"=DONE")/COUNTA(A3:A219)</f>
        <v>0.88749999999999996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49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49" x14ac:dyDescent="0.15">
      <c r="A3" s="37" t="s">
        <v>17</v>
      </c>
      <c r="B3" s="36" t="s">
        <v>541</v>
      </c>
      <c r="C3" s="4">
        <v>0</v>
      </c>
      <c r="D3" s="4">
        <v>1</v>
      </c>
      <c r="E3" s="4">
        <v>2.2999999999999998</v>
      </c>
      <c r="F3" s="4">
        <v>10</v>
      </c>
      <c r="G3" s="4">
        <v>-1</v>
      </c>
      <c r="H3" s="6"/>
      <c r="I3" s="6" t="s">
        <v>32</v>
      </c>
      <c r="J3" s="6" t="b">
        <v>1</v>
      </c>
      <c r="K3" s="6" t="e">
        <f>#VALUE!</f>
        <v>#VALUE!</v>
      </c>
      <c r="L3" s="6" t="e">
        <v>#N/A</v>
      </c>
      <c r="M3" s="7" t="e">
        <v>#DIV/0!</v>
      </c>
      <c r="N3" s="7" t="e">
        <v>#NAME?</v>
      </c>
      <c r="O3" s="7" t="e">
        <v>#NULL!</v>
      </c>
      <c r="P3" s="7" t="e">
        <v>#NUM!</v>
      </c>
      <c r="Q3" s="7" t="e">
        <v>#REF!</v>
      </c>
      <c r="R3" s="6">
        <f t="shared" ref="R3:AF3" si="0">ABS(C3)</f>
        <v>0</v>
      </c>
      <c r="S3" s="6">
        <f t="shared" si="0"/>
        <v>1</v>
      </c>
      <c r="T3" s="6">
        <f t="shared" si="0"/>
        <v>2.2999999999999998</v>
      </c>
      <c r="U3" s="6">
        <f t="shared" si="0"/>
        <v>10</v>
      </c>
      <c r="V3" s="6">
        <f t="shared" si="0"/>
        <v>1</v>
      </c>
      <c r="W3" s="6">
        <f t="shared" si="0"/>
        <v>0</v>
      </c>
      <c r="X3" s="6" t="e" vm="35">
        <f t="shared" si="0"/>
        <v>#VALUE!</v>
      </c>
      <c r="Y3" s="6">
        <f t="shared" si="0"/>
        <v>1</v>
      </c>
      <c r="Z3" s="6" t="e">
        <f t="shared" si="0"/>
        <v>#VALUE!</v>
      </c>
      <c r="AA3" s="6" t="e">
        <f t="shared" si="0"/>
        <v>#N/A</v>
      </c>
      <c r="AB3" s="6" t="e">
        <f t="shared" si="0"/>
        <v>#DIV/0!</v>
      </c>
      <c r="AC3" s="6" t="e">
        <f t="shared" si="0"/>
        <v>#NAME?</v>
      </c>
      <c r="AD3" s="6" t="e">
        <f t="shared" si="0"/>
        <v>#NULL!</v>
      </c>
      <c r="AE3" s="6" t="e">
        <f t="shared" si="0"/>
        <v>#NUM!</v>
      </c>
      <c r="AF3" s="6" t="e">
        <f t="shared" si="0"/>
        <v>#REF!</v>
      </c>
      <c r="AG3" s="8"/>
      <c r="AH3" s="6">
        <f t="array" ref="AH3:AW3">ABS(C3:Q3)</f>
        <v>0</v>
      </c>
      <c r="AI3" s="6">
        <v>1</v>
      </c>
      <c r="AJ3" s="6">
        <v>2.2999999999999998</v>
      </c>
      <c r="AK3" s="6">
        <v>10</v>
      </c>
      <c r="AL3" s="6">
        <v>1</v>
      </c>
      <c r="AM3" s="6">
        <v>0</v>
      </c>
      <c r="AN3" s="6" t="e" vm="35">
        <v>#VALUE!</v>
      </c>
      <c r="AO3" s="6">
        <v>1</v>
      </c>
      <c r="AP3" s="6" t="e">
        <v>#VALUE!</v>
      </c>
      <c r="AQ3" s="6" t="e">
        <v>#N/A</v>
      </c>
      <c r="AR3" s="6" t="e">
        <v>#DIV/0!</v>
      </c>
      <c r="AS3" s="6" t="e">
        <v>#NAME?</v>
      </c>
      <c r="AT3" s="6" t="e">
        <v>#NULL!</v>
      </c>
      <c r="AU3" s="6" t="e">
        <v>#NUM!</v>
      </c>
      <c r="AV3" s="6" t="e">
        <v>#REF!</v>
      </c>
      <c r="AW3" s="4" t="e">
        <v>#N/A</v>
      </c>
    </row>
    <row r="4" spans="1:49" x14ac:dyDescent="0.15">
      <c r="A4" s="37" t="s">
        <v>5</v>
      </c>
      <c r="B4" s="36" t="s">
        <v>541</v>
      </c>
      <c r="C4" s="4">
        <v>0</v>
      </c>
      <c r="D4" s="4">
        <v>1</v>
      </c>
      <c r="E4" s="4">
        <v>2.2999999999999998</v>
      </c>
      <c r="F4" s="4">
        <v>10</v>
      </c>
      <c r="G4" s="4">
        <v>-1</v>
      </c>
      <c r="H4" s="6"/>
      <c r="I4" s="6" t="s">
        <v>32</v>
      </c>
      <c r="J4" s="6" t="b">
        <v>1</v>
      </c>
      <c r="K4" s="6" t="e">
        <v>#VALUE!</v>
      </c>
      <c r="L4" s="6" t="e">
        <v>#N/A</v>
      </c>
      <c r="M4" s="7" t="e">
        <v>#DIV/0!</v>
      </c>
      <c r="N4" s="7" t="e">
        <v>#NAME?</v>
      </c>
      <c r="O4" s="7" t="e">
        <v>#NULL!</v>
      </c>
      <c r="P4" s="7" t="e">
        <v>#NUM!</v>
      </c>
      <c r="Q4" s="7" t="e">
        <v>#REF!</v>
      </c>
      <c r="R4" s="6">
        <f t="shared" ref="R4:AF4" si="1">ACOS(C4)</f>
        <v>1.5707963267948966</v>
      </c>
      <c r="S4" s="6">
        <f t="shared" si="1"/>
        <v>0</v>
      </c>
      <c r="T4" s="6" t="e">
        <f t="shared" si="1"/>
        <v>#NUM!</v>
      </c>
      <c r="U4" s="6" t="e">
        <f t="shared" si="1"/>
        <v>#NUM!</v>
      </c>
      <c r="V4" s="6">
        <f t="shared" si="1"/>
        <v>3.1415926535897931</v>
      </c>
      <c r="W4" s="6">
        <f t="shared" si="1"/>
        <v>1.5707963267948966</v>
      </c>
      <c r="X4" s="6" t="e" vm="36">
        <f t="shared" si="1"/>
        <v>#VALUE!</v>
      </c>
      <c r="Y4" s="6">
        <f t="shared" si="1"/>
        <v>0</v>
      </c>
      <c r="Z4" s="6" t="e">
        <f t="shared" si="1"/>
        <v>#VALUE!</v>
      </c>
      <c r="AA4" s="6" t="e">
        <f t="shared" si="1"/>
        <v>#N/A</v>
      </c>
      <c r="AB4" s="6" t="e">
        <f t="shared" si="1"/>
        <v>#DIV/0!</v>
      </c>
      <c r="AC4" s="6" t="e">
        <f t="shared" si="1"/>
        <v>#NAME?</v>
      </c>
      <c r="AD4" s="6" t="e">
        <f t="shared" si="1"/>
        <v>#NULL!</v>
      </c>
      <c r="AE4" s="6" t="e">
        <f t="shared" si="1"/>
        <v>#NUM!</v>
      </c>
      <c r="AF4" s="6" t="e">
        <f t="shared" si="1"/>
        <v>#REF!</v>
      </c>
      <c r="AG4" s="8"/>
      <c r="AH4" s="6">
        <f t="array" ref="AH4:AW4">ACOS(C4:Q4)</f>
        <v>1.5707963267948966</v>
      </c>
      <c r="AI4" s="6">
        <v>0</v>
      </c>
      <c r="AJ4" s="6" t="e">
        <v>#NUM!</v>
      </c>
      <c r="AK4" s="6" t="e">
        <v>#NUM!</v>
      </c>
      <c r="AL4" s="6">
        <v>3.1415926535897931</v>
      </c>
      <c r="AM4" s="6">
        <v>1.5707963267948966</v>
      </c>
      <c r="AN4" s="6" t="e" vm="36">
        <v>#VALUE!</v>
      </c>
      <c r="AO4" s="6">
        <v>0</v>
      </c>
      <c r="AP4" s="6" t="e">
        <v>#VALUE!</v>
      </c>
      <c r="AQ4" s="6" t="e">
        <v>#N/A</v>
      </c>
      <c r="AR4" s="6" t="e">
        <v>#DIV/0!</v>
      </c>
      <c r="AS4" s="6" t="e">
        <v>#NAME?</v>
      </c>
      <c r="AT4" s="6" t="e">
        <v>#NULL!</v>
      </c>
      <c r="AU4" s="6" t="e">
        <v>#NUM!</v>
      </c>
      <c r="AV4" s="6" t="e">
        <v>#REF!</v>
      </c>
      <c r="AW4" s="4" t="e">
        <v>#N/A</v>
      </c>
    </row>
    <row r="5" spans="1:49" x14ac:dyDescent="0.15">
      <c r="A5" s="37" t="s">
        <v>6</v>
      </c>
      <c r="B5" s="36" t="s">
        <v>541</v>
      </c>
      <c r="C5" s="4">
        <v>0</v>
      </c>
      <c r="D5" s="4">
        <v>1</v>
      </c>
      <c r="E5" s="4">
        <v>2.2999999999999998</v>
      </c>
      <c r="F5" s="4">
        <v>10</v>
      </c>
      <c r="G5" s="4">
        <v>-1</v>
      </c>
      <c r="H5" s="6"/>
      <c r="I5" s="6" t="s">
        <v>32</v>
      </c>
      <c r="J5" s="6" t="b">
        <v>1</v>
      </c>
      <c r="K5" s="6" t="e">
        <v>#VALUE!</v>
      </c>
      <c r="L5" s="6" t="e">
        <v>#N/A</v>
      </c>
      <c r="M5" s="7" t="e">
        <v>#DIV/0!</v>
      </c>
      <c r="N5" s="7" t="e">
        <v>#NAME?</v>
      </c>
      <c r="O5" s="7" t="e">
        <v>#NULL!</v>
      </c>
      <c r="P5" s="7" t="e">
        <v>#NUM!</v>
      </c>
      <c r="Q5" s="7" t="e">
        <v>#REF!</v>
      </c>
      <c r="R5" s="6" t="e">
        <f t="shared" ref="R5:AF5" si="2">ACOSH(C5)</f>
        <v>#NUM!</v>
      </c>
      <c r="S5" s="6">
        <f t="shared" si="2"/>
        <v>0</v>
      </c>
      <c r="T5" s="6">
        <f t="shared" si="2"/>
        <v>1.4750447812414251</v>
      </c>
      <c r="U5" s="6">
        <f t="shared" si="2"/>
        <v>2.9932228461263808</v>
      </c>
      <c r="V5" s="6" t="e">
        <f t="shared" si="2"/>
        <v>#NUM!</v>
      </c>
      <c r="W5" s="6" t="e">
        <f t="shared" si="2"/>
        <v>#NUM!</v>
      </c>
      <c r="X5" s="6" t="e" vm="37">
        <f t="shared" si="2"/>
        <v>#VALUE!</v>
      </c>
      <c r="Y5" s="6">
        <f t="shared" si="2"/>
        <v>0</v>
      </c>
      <c r="Z5" s="6" t="e">
        <f t="shared" si="2"/>
        <v>#VALUE!</v>
      </c>
      <c r="AA5" s="6" t="e">
        <f t="shared" si="2"/>
        <v>#N/A</v>
      </c>
      <c r="AB5" s="6" t="e">
        <f t="shared" si="2"/>
        <v>#DIV/0!</v>
      </c>
      <c r="AC5" s="6" t="e">
        <f t="shared" si="2"/>
        <v>#NAME?</v>
      </c>
      <c r="AD5" s="6" t="e">
        <f t="shared" si="2"/>
        <v>#NULL!</v>
      </c>
      <c r="AE5" s="6" t="e">
        <f t="shared" si="2"/>
        <v>#NUM!</v>
      </c>
      <c r="AF5" s="6" t="e">
        <f t="shared" si="2"/>
        <v>#REF!</v>
      </c>
      <c r="AG5" s="8"/>
      <c r="AH5" s="6" t="e">
        <f t="array" ref="AH5:AW5">ACOSH(C5:Q5)</f>
        <v>#NUM!</v>
      </c>
      <c r="AI5" s="6">
        <v>0</v>
      </c>
      <c r="AJ5" s="6">
        <v>1.4750447812414251</v>
      </c>
      <c r="AK5" s="6">
        <v>2.9932228461263808</v>
      </c>
      <c r="AL5" s="6" t="e">
        <v>#NUM!</v>
      </c>
      <c r="AM5" s="6" t="e">
        <v>#NUM!</v>
      </c>
      <c r="AN5" s="6" t="e" vm="37">
        <v>#VALUE!</v>
      </c>
      <c r="AO5" s="6">
        <v>0</v>
      </c>
      <c r="AP5" s="6" t="e">
        <v>#VALUE!</v>
      </c>
      <c r="AQ5" s="6" t="e">
        <v>#N/A</v>
      </c>
      <c r="AR5" s="6" t="e">
        <v>#DIV/0!</v>
      </c>
      <c r="AS5" s="6" t="e">
        <v>#NAME?</v>
      </c>
      <c r="AT5" s="6" t="e">
        <v>#NULL!</v>
      </c>
      <c r="AU5" s="6" t="e">
        <v>#NUM!</v>
      </c>
      <c r="AV5" s="6" t="e">
        <v>#REF!</v>
      </c>
      <c r="AW5" s="4" t="e">
        <v>#N/A</v>
      </c>
    </row>
    <row r="6" spans="1:49" x14ac:dyDescent="0.15">
      <c r="A6" s="37" t="s">
        <v>40</v>
      </c>
      <c r="B6" s="36" t="s">
        <v>541</v>
      </c>
      <c r="C6" s="4">
        <v>0</v>
      </c>
      <c r="D6" s="4">
        <v>1</v>
      </c>
      <c r="E6" s="4">
        <v>2.2999999999999998</v>
      </c>
      <c r="F6" s="4">
        <v>10</v>
      </c>
      <c r="G6" s="4">
        <v>-1</v>
      </c>
      <c r="H6" s="6"/>
      <c r="I6" s="6" t="s">
        <v>32</v>
      </c>
      <c r="J6" s="6" t="b">
        <v>1</v>
      </c>
      <c r="K6" s="6" t="e">
        <v>#VALUE!</v>
      </c>
      <c r="L6" s="6" t="e">
        <v>#N/A</v>
      </c>
      <c r="M6" s="7" t="e">
        <v>#DIV/0!</v>
      </c>
      <c r="N6" s="7" t="e">
        <v>#NAME?</v>
      </c>
      <c r="O6" s="7" t="e">
        <v>#NULL!</v>
      </c>
      <c r="P6" s="7" t="e">
        <v>#NUM!</v>
      </c>
      <c r="Q6" s="7" t="e">
        <v>#REF!</v>
      </c>
      <c r="R6" s="6">
        <f t="shared" ref="R6:AF6" si="3">_xlfn.ACOT(C6)</f>
        <v>1.5707963267948966</v>
      </c>
      <c r="S6" s="6">
        <f t="shared" si="3"/>
        <v>0.78539816339744828</v>
      </c>
      <c r="T6" s="6">
        <f t="shared" si="3"/>
        <v>0.41012734054149103</v>
      </c>
      <c r="U6" s="6">
        <f t="shared" si="3"/>
        <v>9.9668652491162038E-2</v>
      </c>
      <c r="V6" s="6">
        <f t="shared" si="3"/>
        <v>2.3561944901923448</v>
      </c>
      <c r="W6" s="6">
        <f t="shared" si="3"/>
        <v>1.5707963267948966</v>
      </c>
      <c r="X6" s="6" t="e" vm="38">
        <f t="shared" si="3"/>
        <v>#VALUE!</v>
      </c>
      <c r="Y6" s="6">
        <f t="shared" si="3"/>
        <v>0.78539816339744828</v>
      </c>
      <c r="Z6" s="6" t="e">
        <f t="shared" si="3"/>
        <v>#VALUE!</v>
      </c>
      <c r="AA6" s="6" t="e">
        <f t="shared" si="3"/>
        <v>#N/A</v>
      </c>
      <c r="AB6" s="6" t="e">
        <f t="shared" si="3"/>
        <v>#DIV/0!</v>
      </c>
      <c r="AC6" s="6" t="e">
        <f t="shared" si="3"/>
        <v>#NAME?</v>
      </c>
      <c r="AD6" s="6" t="e">
        <f t="shared" si="3"/>
        <v>#NULL!</v>
      </c>
      <c r="AE6" s="6" t="e">
        <f t="shared" si="3"/>
        <v>#NUM!</v>
      </c>
      <c r="AF6" s="6" t="e">
        <f t="shared" si="3"/>
        <v>#REF!</v>
      </c>
      <c r="AG6" s="8"/>
      <c r="AH6" s="6">
        <f t="array" ref="AH6:AW6">_xlfn.ACOT(C6:Q6)</f>
        <v>1.5707963267948966</v>
      </c>
      <c r="AI6" s="6">
        <v>0.78539816339744828</v>
      </c>
      <c r="AJ6" s="6">
        <v>0.41012734054149103</v>
      </c>
      <c r="AK6" s="6">
        <v>9.9668652491162038E-2</v>
      </c>
      <c r="AL6" s="6">
        <v>2.3561944901923448</v>
      </c>
      <c r="AM6" s="6">
        <v>1.5707963267948966</v>
      </c>
      <c r="AN6" s="6" t="e" vm="38">
        <v>#VALUE!</v>
      </c>
      <c r="AO6" s="6">
        <v>0.78539816339744828</v>
      </c>
      <c r="AP6" s="6" t="e">
        <v>#VALUE!</v>
      </c>
      <c r="AQ6" s="6" t="e">
        <v>#N/A</v>
      </c>
      <c r="AR6" s="6" t="e">
        <v>#DIV/0!</v>
      </c>
      <c r="AS6" s="6" t="e">
        <v>#NAME?</v>
      </c>
      <c r="AT6" s="6" t="e">
        <v>#NULL!</v>
      </c>
      <c r="AU6" s="6" t="e">
        <v>#NUM!</v>
      </c>
      <c r="AV6" s="6" t="e">
        <v>#REF!</v>
      </c>
      <c r="AW6" s="4" t="e">
        <v>#N/A</v>
      </c>
    </row>
    <row r="7" spans="1:49" x14ac:dyDescent="0.15">
      <c r="A7" s="37" t="s">
        <v>41</v>
      </c>
      <c r="B7" s="36" t="s">
        <v>541</v>
      </c>
      <c r="C7" s="4">
        <v>0</v>
      </c>
      <c r="D7" s="4">
        <v>1</v>
      </c>
      <c r="E7" s="4">
        <v>2.2999999999999998</v>
      </c>
      <c r="F7" s="4">
        <v>10</v>
      </c>
      <c r="G7" s="4">
        <v>-1</v>
      </c>
      <c r="H7" s="6"/>
      <c r="I7" s="6" t="s">
        <v>32</v>
      </c>
      <c r="J7" s="6" t="b">
        <v>1</v>
      </c>
      <c r="K7" s="6" t="e">
        <v>#VALUE!</v>
      </c>
      <c r="L7" s="6" t="e">
        <v>#N/A</v>
      </c>
      <c r="M7" s="7" t="e">
        <v>#DIV/0!</v>
      </c>
      <c r="N7" s="7" t="e">
        <v>#NAME?</v>
      </c>
      <c r="O7" s="7" t="e">
        <v>#NULL!</v>
      </c>
      <c r="P7" s="7" t="e">
        <v>#NUM!</v>
      </c>
      <c r="Q7" s="7" t="e">
        <v>#REF!</v>
      </c>
      <c r="R7" s="6" t="e">
        <f t="shared" ref="R7:AF7" si="4">_xlfn.ACOTH(C7)</f>
        <v>#NUM!</v>
      </c>
      <c r="S7" s="6" t="e">
        <f t="shared" si="4"/>
        <v>#NUM!</v>
      </c>
      <c r="T7" s="6">
        <f t="shared" si="4"/>
        <v>0.4657791020024718</v>
      </c>
      <c r="U7" s="6">
        <f t="shared" si="4"/>
        <v>0.10033534773107559</v>
      </c>
      <c r="V7" s="6" t="e">
        <f t="shared" si="4"/>
        <v>#NUM!</v>
      </c>
      <c r="W7" s="6" t="e">
        <f t="shared" si="4"/>
        <v>#NUM!</v>
      </c>
      <c r="X7" s="6" t="e" vm="39">
        <f t="shared" si="4"/>
        <v>#VALUE!</v>
      </c>
      <c r="Y7" s="6" t="e">
        <f t="shared" si="4"/>
        <v>#NUM!</v>
      </c>
      <c r="Z7" s="6" t="e">
        <f t="shared" si="4"/>
        <v>#VALUE!</v>
      </c>
      <c r="AA7" s="6" t="e">
        <f t="shared" si="4"/>
        <v>#N/A</v>
      </c>
      <c r="AB7" s="6" t="e">
        <f t="shared" si="4"/>
        <v>#DIV/0!</v>
      </c>
      <c r="AC7" s="6" t="e">
        <f t="shared" si="4"/>
        <v>#NAME?</v>
      </c>
      <c r="AD7" s="6" t="e">
        <f t="shared" si="4"/>
        <v>#NULL!</v>
      </c>
      <c r="AE7" s="6" t="e">
        <f t="shared" si="4"/>
        <v>#NUM!</v>
      </c>
      <c r="AF7" s="6" t="e">
        <f t="shared" si="4"/>
        <v>#REF!</v>
      </c>
      <c r="AG7" s="8"/>
      <c r="AH7" s="6" t="e">
        <f t="array" ref="AH7:AW7">_xlfn.ACOTH(C7:Q7)</f>
        <v>#NUM!</v>
      </c>
      <c r="AI7" s="6" t="e">
        <v>#NUM!</v>
      </c>
      <c r="AJ7" s="6">
        <v>0.4657791020024718</v>
      </c>
      <c r="AK7" s="6">
        <v>0.10033534773107559</v>
      </c>
      <c r="AL7" s="6" t="e">
        <v>#NUM!</v>
      </c>
      <c r="AM7" s="6" t="e">
        <v>#NUM!</v>
      </c>
      <c r="AN7" s="6" t="e" vm="39">
        <v>#VALUE!</v>
      </c>
      <c r="AO7" s="6" t="e">
        <v>#NUM!</v>
      </c>
      <c r="AP7" s="6" t="e">
        <v>#VALUE!</v>
      </c>
      <c r="AQ7" s="6" t="e">
        <v>#N/A</v>
      </c>
      <c r="AR7" s="6" t="e">
        <v>#DIV/0!</v>
      </c>
      <c r="AS7" s="6" t="e">
        <v>#NAME?</v>
      </c>
      <c r="AT7" s="6" t="e">
        <v>#NULL!</v>
      </c>
      <c r="AU7" s="6" t="e">
        <v>#NUM!</v>
      </c>
      <c r="AV7" s="6" t="e">
        <v>#REF!</v>
      </c>
      <c r="AW7" s="4" t="e">
        <v>#N/A</v>
      </c>
    </row>
    <row r="8" spans="1:49" x14ac:dyDescent="0.15">
      <c r="A8" s="42" t="s">
        <v>42</v>
      </c>
      <c r="H8" s="6"/>
      <c r="I8" s="6"/>
      <c r="J8" s="6"/>
      <c r="K8" s="6"/>
      <c r="L8" s="6"/>
      <c r="M8" s="7"/>
      <c r="N8" s="7"/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8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9" x14ac:dyDescent="0.15">
      <c r="A9" s="37" t="s">
        <v>43</v>
      </c>
      <c r="B9" s="36" t="s">
        <v>541</v>
      </c>
      <c r="C9" s="4">
        <v>0</v>
      </c>
      <c r="D9" s="4" t="s">
        <v>95</v>
      </c>
      <c r="E9" s="4" t="s">
        <v>96</v>
      </c>
      <c r="F9" s="4" t="s">
        <v>98</v>
      </c>
      <c r="G9" s="4" t="s">
        <v>97</v>
      </c>
      <c r="H9" s="6"/>
      <c r="I9" s="6" t="s">
        <v>32</v>
      </c>
      <c r="J9" s="6" t="b">
        <v>1</v>
      </c>
      <c r="K9" s="6" t="e">
        <v>#VALUE!</v>
      </c>
      <c r="L9" s="6" t="e">
        <v>#N/A</v>
      </c>
      <c r="M9" s="7" t="e">
        <v>#DIV/0!</v>
      </c>
      <c r="N9" s="7" t="e">
        <v>#NAME?</v>
      </c>
      <c r="O9" s="7" t="e">
        <v>#NULL!</v>
      </c>
      <c r="P9" s="7" t="e">
        <v>#NUM!</v>
      </c>
      <c r="Q9" s="7" t="e">
        <v>#REF!</v>
      </c>
      <c r="R9" s="6" t="e">
        <f t="shared" ref="R9:AF9" si="5">_xlfn.ARABIC(C9)</f>
        <v>#VALUE!</v>
      </c>
      <c r="S9" s="6">
        <f t="shared" si="5"/>
        <v>49</v>
      </c>
      <c r="T9" s="6">
        <f t="shared" si="5"/>
        <v>-1</v>
      </c>
      <c r="U9" s="6" t="e">
        <f t="shared" si="5"/>
        <v>#VALUE!</v>
      </c>
      <c r="V9" s="6">
        <f t="shared" si="5"/>
        <v>1046</v>
      </c>
      <c r="W9" s="6">
        <f t="shared" si="5"/>
        <v>0</v>
      </c>
      <c r="X9" s="6" t="e">
        <f t="shared" si="5"/>
        <v>#VALUE!</v>
      </c>
      <c r="Y9" s="6" t="e">
        <f t="shared" si="5"/>
        <v>#VALUE!</v>
      </c>
      <c r="Z9" s="6" t="e">
        <f t="shared" si="5"/>
        <v>#VALUE!</v>
      </c>
      <c r="AA9" s="6" t="e">
        <f t="shared" si="5"/>
        <v>#N/A</v>
      </c>
      <c r="AB9" s="6" t="e">
        <f t="shared" si="5"/>
        <v>#DIV/0!</v>
      </c>
      <c r="AC9" s="6" t="e">
        <f t="shared" si="5"/>
        <v>#NAME?</v>
      </c>
      <c r="AD9" s="6" t="e">
        <f t="shared" si="5"/>
        <v>#NULL!</v>
      </c>
      <c r="AE9" s="6" t="e">
        <f t="shared" si="5"/>
        <v>#NUM!</v>
      </c>
      <c r="AF9" s="6" t="e">
        <f t="shared" si="5"/>
        <v>#REF!</v>
      </c>
      <c r="AG9" s="8"/>
      <c r="AH9" s="6" t="e">
        <f t="array" ref="AH9:AW9">_xlfn.ARABIC(C9:Q9)</f>
        <v>#VALUE!</v>
      </c>
      <c r="AI9" s="6">
        <v>49</v>
      </c>
      <c r="AJ9" s="6">
        <v>-1</v>
      </c>
      <c r="AK9" s="6" t="e">
        <v>#VALUE!</v>
      </c>
      <c r="AL9" s="6">
        <v>1046</v>
      </c>
      <c r="AM9" s="6">
        <v>0</v>
      </c>
      <c r="AN9" s="6" t="e">
        <v>#VALUE!</v>
      </c>
      <c r="AO9" s="6" t="e">
        <v>#VALUE!</v>
      </c>
      <c r="AP9" s="6" t="e">
        <v>#VALUE!</v>
      </c>
      <c r="AQ9" s="6" t="e">
        <v>#N/A</v>
      </c>
      <c r="AR9" s="6" t="e">
        <v>#DIV/0!</v>
      </c>
      <c r="AS9" s="6" t="e">
        <v>#NAME?</v>
      </c>
      <c r="AT9" s="6" t="e">
        <v>#NULL!</v>
      </c>
      <c r="AU9" s="6" t="e">
        <v>#NUM!</v>
      </c>
      <c r="AV9" s="6" t="e">
        <v>#REF!</v>
      </c>
      <c r="AW9" s="4" t="e">
        <v>#N/A</v>
      </c>
    </row>
    <row r="10" spans="1:49" x14ac:dyDescent="0.15">
      <c r="A10" s="37" t="s">
        <v>9</v>
      </c>
      <c r="B10" s="36" t="s">
        <v>541</v>
      </c>
      <c r="C10" s="4">
        <v>0</v>
      </c>
      <c r="D10" s="4">
        <v>1</v>
      </c>
      <c r="E10" s="4">
        <v>2.2999999999999998</v>
      </c>
      <c r="F10" s="4">
        <v>10</v>
      </c>
      <c r="G10" s="4">
        <v>-1</v>
      </c>
      <c r="H10" s="6"/>
      <c r="I10" s="6" t="s">
        <v>32</v>
      </c>
      <c r="J10" s="6" t="b">
        <v>1</v>
      </c>
      <c r="K10" s="6" t="e">
        <v>#VALUE!</v>
      </c>
      <c r="L10" s="6" t="e">
        <v>#N/A</v>
      </c>
      <c r="M10" s="7" t="e">
        <v>#DIV/0!</v>
      </c>
      <c r="N10" s="7" t="e">
        <v>#NAME?</v>
      </c>
      <c r="O10" s="7" t="e">
        <v>#NULL!</v>
      </c>
      <c r="P10" s="7" t="e">
        <v>#NUM!</v>
      </c>
      <c r="Q10" s="7" t="e">
        <v>#REF!</v>
      </c>
      <c r="R10" s="6">
        <f t="shared" ref="R10:AF10" si="6">ASIN(C10)</f>
        <v>0</v>
      </c>
      <c r="S10" s="6">
        <f t="shared" si="6"/>
        <v>1.5707963267948966</v>
      </c>
      <c r="T10" s="6" t="e">
        <f t="shared" si="6"/>
        <v>#NUM!</v>
      </c>
      <c r="U10" s="6" t="e">
        <f t="shared" si="6"/>
        <v>#NUM!</v>
      </c>
      <c r="V10" s="6">
        <f t="shared" si="6"/>
        <v>-1.5707963267948966</v>
      </c>
      <c r="W10" s="6">
        <f t="shared" si="6"/>
        <v>0</v>
      </c>
      <c r="X10" s="6" t="e" vm="40">
        <f t="shared" si="6"/>
        <v>#VALUE!</v>
      </c>
      <c r="Y10" s="6">
        <f t="shared" si="6"/>
        <v>1.5707963267948966</v>
      </c>
      <c r="Z10" s="6" t="e">
        <f t="shared" si="6"/>
        <v>#VALUE!</v>
      </c>
      <c r="AA10" s="6" t="e">
        <f t="shared" si="6"/>
        <v>#N/A</v>
      </c>
      <c r="AB10" s="6" t="e">
        <f t="shared" si="6"/>
        <v>#DIV/0!</v>
      </c>
      <c r="AC10" s="6" t="e">
        <f t="shared" si="6"/>
        <v>#NAME?</v>
      </c>
      <c r="AD10" s="6" t="e">
        <f t="shared" si="6"/>
        <v>#NULL!</v>
      </c>
      <c r="AE10" s="6" t="e">
        <f t="shared" si="6"/>
        <v>#NUM!</v>
      </c>
      <c r="AF10" s="6" t="e">
        <f t="shared" si="6"/>
        <v>#REF!</v>
      </c>
      <c r="AG10" s="8"/>
      <c r="AH10" s="6">
        <f t="array" ref="AH10:AW10">ASIN(C10:Q10)</f>
        <v>0</v>
      </c>
      <c r="AI10" s="6">
        <v>1.5707963267948966</v>
      </c>
      <c r="AJ10" s="6" t="e">
        <v>#NUM!</v>
      </c>
      <c r="AK10" s="6" t="e">
        <v>#NUM!</v>
      </c>
      <c r="AL10" s="6">
        <v>-1.5707963267948966</v>
      </c>
      <c r="AM10" s="6">
        <v>0</v>
      </c>
      <c r="AN10" s="6" t="e" vm="40">
        <v>#VALUE!</v>
      </c>
      <c r="AO10" s="6">
        <v>1.5707963267948966</v>
      </c>
      <c r="AP10" s="6" t="e">
        <v>#VALUE!</v>
      </c>
      <c r="AQ10" s="6" t="e">
        <v>#N/A</v>
      </c>
      <c r="AR10" s="6" t="e">
        <v>#DIV/0!</v>
      </c>
      <c r="AS10" s="6" t="e">
        <v>#NAME?</v>
      </c>
      <c r="AT10" s="6" t="e">
        <v>#NULL!</v>
      </c>
      <c r="AU10" s="6" t="e">
        <v>#NUM!</v>
      </c>
      <c r="AV10" s="6" t="e">
        <v>#REF!</v>
      </c>
      <c r="AW10" s="4" t="e">
        <v>#N/A</v>
      </c>
    </row>
    <row r="11" spans="1:49" x14ac:dyDescent="0.15">
      <c r="A11" s="37" t="s">
        <v>10</v>
      </c>
      <c r="B11" s="36" t="s">
        <v>541</v>
      </c>
      <c r="C11" s="4">
        <v>0</v>
      </c>
      <c r="D11" s="4">
        <v>1</v>
      </c>
      <c r="E11" s="4">
        <v>2.2999999999999998</v>
      </c>
      <c r="F11" s="4">
        <v>10</v>
      </c>
      <c r="G11" s="4">
        <v>-1</v>
      </c>
      <c r="H11" s="6"/>
      <c r="I11" s="6" t="s">
        <v>32</v>
      </c>
      <c r="J11" s="6" t="b">
        <v>1</v>
      </c>
      <c r="K11" s="6" t="e">
        <v>#VALUE!</v>
      </c>
      <c r="L11" s="6" t="e">
        <v>#N/A</v>
      </c>
      <c r="M11" s="7" t="e">
        <v>#DIV/0!</v>
      </c>
      <c r="N11" s="7" t="e">
        <v>#NAME?</v>
      </c>
      <c r="O11" s="7" t="e">
        <v>#NULL!</v>
      </c>
      <c r="P11" s="7" t="e">
        <v>#NUM!</v>
      </c>
      <c r="Q11" s="7" t="e">
        <v>#REF!</v>
      </c>
      <c r="R11" s="6">
        <f t="shared" ref="R11:AF11" si="7">ASINH(C11)</f>
        <v>0</v>
      </c>
      <c r="S11" s="6">
        <f t="shared" si="7"/>
        <v>0.88137358701954294</v>
      </c>
      <c r="T11" s="6">
        <f t="shared" si="7"/>
        <v>1.5702785434849782</v>
      </c>
      <c r="U11" s="6">
        <f t="shared" si="7"/>
        <v>2.9982229502979698</v>
      </c>
      <c r="V11" s="6">
        <f t="shared" si="7"/>
        <v>-0.88137358701954294</v>
      </c>
      <c r="W11" s="6">
        <f t="shared" si="7"/>
        <v>0</v>
      </c>
      <c r="X11" s="6" t="e" vm="41">
        <f t="shared" si="7"/>
        <v>#VALUE!</v>
      </c>
      <c r="Y11" s="6">
        <f t="shared" si="7"/>
        <v>0.88137358701954294</v>
      </c>
      <c r="Z11" s="6" t="e">
        <f t="shared" si="7"/>
        <v>#VALUE!</v>
      </c>
      <c r="AA11" s="6" t="e">
        <f t="shared" si="7"/>
        <v>#N/A</v>
      </c>
      <c r="AB11" s="6" t="e">
        <f t="shared" si="7"/>
        <v>#DIV/0!</v>
      </c>
      <c r="AC11" s="6" t="e">
        <f t="shared" si="7"/>
        <v>#NAME?</v>
      </c>
      <c r="AD11" s="6" t="e">
        <f t="shared" si="7"/>
        <v>#NULL!</v>
      </c>
      <c r="AE11" s="6" t="e">
        <f t="shared" si="7"/>
        <v>#NUM!</v>
      </c>
      <c r="AF11" s="6" t="e">
        <f t="shared" si="7"/>
        <v>#REF!</v>
      </c>
      <c r="AG11" s="8"/>
      <c r="AH11" s="6">
        <f t="array" ref="AH11:AW11">ASINH(C11:Q11)</f>
        <v>0</v>
      </c>
      <c r="AI11" s="6">
        <v>0.88137358701954294</v>
      </c>
      <c r="AJ11" s="6">
        <v>1.5702785434849782</v>
      </c>
      <c r="AK11" s="6">
        <v>2.9982229502979698</v>
      </c>
      <c r="AL11" s="6">
        <v>-0.88137358701954294</v>
      </c>
      <c r="AM11" s="6">
        <v>0</v>
      </c>
      <c r="AN11" s="6" t="e" vm="41">
        <v>#VALUE!</v>
      </c>
      <c r="AO11" s="6">
        <v>0.88137358701954294</v>
      </c>
      <c r="AP11" s="6" t="e">
        <v>#VALUE!</v>
      </c>
      <c r="AQ11" s="6" t="e">
        <v>#N/A</v>
      </c>
      <c r="AR11" s="6" t="e">
        <v>#DIV/0!</v>
      </c>
      <c r="AS11" s="6" t="e">
        <v>#NAME?</v>
      </c>
      <c r="AT11" s="6" t="e">
        <v>#NULL!</v>
      </c>
      <c r="AU11" s="6" t="e">
        <v>#NUM!</v>
      </c>
      <c r="AV11" s="6" t="e">
        <v>#REF!</v>
      </c>
      <c r="AW11" s="4" t="e">
        <v>#N/A</v>
      </c>
    </row>
    <row r="12" spans="1:49" x14ac:dyDescent="0.15">
      <c r="A12" s="37" t="s">
        <v>11</v>
      </c>
      <c r="B12" s="36" t="s">
        <v>541</v>
      </c>
      <c r="C12" s="4">
        <v>0</v>
      </c>
      <c r="D12" s="4">
        <v>1</v>
      </c>
      <c r="E12" s="4">
        <v>2.2999999999999998</v>
      </c>
      <c r="F12" s="4">
        <v>10</v>
      </c>
      <c r="G12" s="4">
        <v>-1</v>
      </c>
      <c r="H12" s="6"/>
      <c r="I12" s="6" t="s">
        <v>32</v>
      </c>
      <c r="J12" s="6" t="b">
        <v>1</v>
      </c>
      <c r="K12" s="6" t="e">
        <v>#VALUE!</v>
      </c>
      <c r="L12" s="6" t="e">
        <v>#N/A</v>
      </c>
      <c r="M12" s="7" t="e">
        <v>#DIV/0!</v>
      </c>
      <c r="N12" s="7" t="e">
        <v>#NAME?</v>
      </c>
      <c r="O12" s="7" t="e">
        <v>#NULL!</v>
      </c>
      <c r="P12" s="7" t="e">
        <v>#NUM!</v>
      </c>
      <c r="Q12" s="7" t="e">
        <v>#REF!</v>
      </c>
      <c r="R12" s="6">
        <f t="shared" ref="R12:AF12" si="8">ATAN(C12)</f>
        <v>0</v>
      </c>
      <c r="S12" s="6">
        <f t="shared" si="8"/>
        <v>0.78539816339744828</v>
      </c>
      <c r="T12" s="6">
        <f t="shared" si="8"/>
        <v>1.1606689862534056</v>
      </c>
      <c r="U12" s="6">
        <f t="shared" si="8"/>
        <v>1.4711276743037345</v>
      </c>
      <c r="V12" s="6">
        <f t="shared" si="8"/>
        <v>-0.78539816339744828</v>
      </c>
      <c r="W12" s="6">
        <f t="shared" si="8"/>
        <v>0</v>
      </c>
      <c r="X12" s="6" t="e" vm="42">
        <f t="shared" si="8"/>
        <v>#VALUE!</v>
      </c>
      <c r="Y12" s="6">
        <f t="shared" si="8"/>
        <v>0.78539816339744828</v>
      </c>
      <c r="Z12" s="6" t="e">
        <f t="shared" si="8"/>
        <v>#VALUE!</v>
      </c>
      <c r="AA12" s="6" t="e">
        <f t="shared" si="8"/>
        <v>#N/A</v>
      </c>
      <c r="AB12" s="6" t="e">
        <f t="shared" si="8"/>
        <v>#DIV/0!</v>
      </c>
      <c r="AC12" s="6" t="e">
        <f t="shared" si="8"/>
        <v>#NAME?</v>
      </c>
      <c r="AD12" s="6" t="e">
        <f t="shared" si="8"/>
        <v>#NULL!</v>
      </c>
      <c r="AE12" s="6" t="e">
        <f t="shared" si="8"/>
        <v>#NUM!</v>
      </c>
      <c r="AF12" s="6" t="e">
        <f t="shared" si="8"/>
        <v>#REF!</v>
      </c>
      <c r="AG12" s="8"/>
      <c r="AH12" s="6">
        <f t="array" ref="AH12:AW12">ATAN(C12:Q12)</f>
        <v>0</v>
      </c>
      <c r="AI12" s="6">
        <v>0.78539816339744828</v>
      </c>
      <c r="AJ12" s="6">
        <v>1.1606689862534056</v>
      </c>
      <c r="AK12" s="6">
        <v>1.4711276743037345</v>
      </c>
      <c r="AL12" s="6">
        <v>-0.78539816339744828</v>
      </c>
      <c r="AM12" s="6">
        <v>0</v>
      </c>
      <c r="AN12" s="6" t="e" vm="42">
        <v>#VALUE!</v>
      </c>
      <c r="AO12" s="6">
        <v>0.78539816339744828</v>
      </c>
      <c r="AP12" s="6" t="e">
        <v>#VALUE!</v>
      </c>
      <c r="AQ12" s="6" t="e">
        <v>#N/A</v>
      </c>
      <c r="AR12" s="6" t="e">
        <v>#DIV/0!</v>
      </c>
      <c r="AS12" s="6" t="e">
        <v>#NAME?</v>
      </c>
      <c r="AT12" s="6" t="e">
        <v>#NULL!</v>
      </c>
      <c r="AU12" s="6" t="e">
        <v>#NUM!</v>
      </c>
      <c r="AV12" s="6" t="e">
        <v>#REF!</v>
      </c>
      <c r="AW12" s="4" t="e">
        <v>#N/A</v>
      </c>
    </row>
    <row r="13" spans="1:49" x14ac:dyDescent="0.15">
      <c r="A13" s="37" t="s">
        <v>12</v>
      </c>
      <c r="B13" s="36" t="s">
        <v>541</v>
      </c>
      <c r="C13" s="4">
        <v>0</v>
      </c>
      <c r="D13" s="4">
        <v>1</v>
      </c>
      <c r="E13" s="4">
        <v>2.2999999999999998</v>
      </c>
      <c r="F13" s="4">
        <v>10</v>
      </c>
      <c r="G13" s="4">
        <v>-1</v>
      </c>
      <c r="H13" s="6"/>
      <c r="I13" s="6" t="s">
        <v>32</v>
      </c>
      <c r="J13" s="6" t="b">
        <v>1</v>
      </c>
      <c r="K13" s="6" t="e">
        <v>#VALUE!</v>
      </c>
      <c r="L13" s="6" t="e">
        <v>#N/A</v>
      </c>
      <c r="M13" s="7" t="e">
        <v>#DIV/0!</v>
      </c>
      <c r="N13" s="7" t="e">
        <v>#NAME?</v>
      </c>
      <c r="O13" s="7" t="e">
        <v>#NULL!</v>
      </c>
      <c r="P13" s="7" t="e">
        <v>#NUM!</v>
      </c>
      <c r="Q13" s="7" t="e">
        <v>#REF!</v>
      </c>
      <c r="R13" s="6">
        <f>ATAN2(C13,D13)</f>
        <v>1.5707963267948966</v>
      </c>
      <c r="S13" s="6">
        <f>ATAN2(D13,E13)</f>
        <v>1.1606689862534056</v>
      </c>
      <c r="T13" s="6">
        <f>ATAN2(E13,F13)</f>
        <v>1.3447279388010127</v>
      </c>
      <c r="U13" s="6">
        <f>ATAN2(F13,G13)</f>
        <v>-9.9668652491162038E-2</v>
      </c>
      <c r="V13" s="6">
        <f>ATAN2(G13,F13)</f>
        <v>1.6704649792860586</v>
      </c>
      <c r="W13" s="6">
        <f>ATAN2(H13,G13)</f>
        <v>-1.5707963267948966</v>
      </c>
      <c r="X13" s="6" t="e" vm="43">
        <f>ATAN2(I13,K13)</f>
        <v>#VALUE!</v>
      </c>
      <c r="Y13" s="6" t="e">
        <f>ATAN2(J13,L13)</f>
        <v>#N/A</v>
      </c>
      <c r="Z13" s="6" t="e">
        <f t="shared" ref="Z13:AF13" si="9">ATAN2(K13,L13)</f>
        <v>#VALUE!</v>
      </c>
      <c r="AA13" s="6" t="e">
        <f t="shared" si="9"/>
        <v>#N/A</v>
      </c>
      <c r="AB13" s="6" t="e">
        <f t="shared" si="9"/>
        <v>#DIV/0!</v>
      </c>
      <c r="AC13" s="6" t="e">
        <f t="shared" si="9"/>
        <v>#NAME?</v>
      </c>
      <c r="AD13" s="6" t="e">
        <f t="shared" si="9"/>
        <v>#NULL!</v>
      </c>
      <c r="AE13" s="6" t="e">
        <f t="shared" si="9"/>
        <v>#NUM!</v>
      </c>
      <c r="AF13" s="6" t="e">
        <f t="shared" si="9"/>
        <v>#REF!</v>
      </c>
      <c r="AG13" s="8"/>
      <c r="AH13" s="6">
        <f t="array" ref="AH13:AW13">ATAN2(C13:P13,D13:Q13)</f>
        <v>1.5707963267948966</v>
      </c>
      <c r="AI13" s="6">
        <v>1.1606689862534056</v>
      </c>
      <c r="AJ13" s="6">
        <v>1.3447279388010127</v>
      </c>
      <c r="AK13" s="6">
        <v>-9.9668652491162038E-2</v>
      </c>
      <c r="AL13" s="6">
        <v>3.1415926535897931</v>
      </c>
      <c r="AM13" s="6" t="e" vm="43">
        <v>#VALUE!</v>
      </c>
      <c r="AN13" s="6" t="e" vm="43">
        <v>#VALUE!</v>
      </c>
      <c r="AO13" s="6" t="e">
        <v>#VALUE!</v>
      </c>
      <c r="AP13" s="6" t="e">
        <v>#VALUE!</v>
      </c>
      <c r="AQ13" s="6" t="e">
        <v>#N/A</v>
      </c>
      <c r="AR13" s="6" t="e">
        <v>#DIV/0!</v>
      </c>
      <c r="AS13" s="6" t="e">
        <v>#NAME?</v>
      </c>
      <c r="AT13" s="6" t="e">
        <v>#NULL!</v>
      </c>
      <c r="AU13" s="6" t="e">
        <v>#NUM!</v>
      </c>
      <c r="AV13" s="6" t="e">
        <v>#N/A</v>
      </c>
      <c r="AW13" s="4" t="e">
        <v>#N/A</v>
      </c>
    </row>
    <row r="14" spans="1:49" x14ac:dyDescent="0.15">
      <c r="A14" s="37" t="s">
        <v>13</v>
      </c>
      <c r="B14" s="36" t="s">
        <v>541</v>
      </c>
      <c r="C14" s="4">
        <v>0</v>
      </c>
      <c r="D14" s="4">
        <v>1</v>
      </c>
      <c r="E14" s="4">
        <v>0.2</v>
      </c>
      <c r="F14" s="4">
        <v>10</v>
      </c>
      <c r="G14" s="4">
        <v>-0.1</v>
      </c>
      <c r="H14" s="6"/>
      <c r="I14" s="6" t="s">
        <v>32</v>
      </c>
      <c r="J14" s="6" t="b">
        <v>1</v>
      </c>
      <c r="K14" s="6" t="e">
        <v>#VALUE!</v>
      </c>
      <c r="L14" s="6" t="e">
        <v>#N/A</v>
      </c>
      <c r="M14" s="7" t="e">
        <v>#DIV/0!</v>
      </c>
      <c r="N14" s="7" t="e">
        <v>#NAME?</v>
      </c>
      <c r="O14" s="7" t="e">
        <v>#NULL!</v>
      </c>
      <c r="P14" s="7" t="e">
        <v>#NUM!</v>
      </c>
      <c r="Q14" s="7" t="e">
        <v>#REF!</v>
      </c>
      <c r="R14" s="6">
        <f t="shared" ref="R14:AF14" si="10">ATANH(C14)</f>
        <v>0</v>
      </c>
      <c r="S14" s="6" t="e">
        <f t="shared" si="10"/>
        <v>#NUM!</v>
      </c>
      <c r="T14" s="6">
        <f t="shared" si="10"/>
        <v>0.20273255405408211</v>
      </c>
      <c r="U14" s="6" t="e">
        <f t="shared" si="10"/>
        <v>#NUM!</v>
      </c>
      <c r="V14" s="6">
        <f t="shared" si="10"/>
        <v>-0.10033534773107562</v>
      </c>
      <c r="W14" s="6">
        <f t="shared" si="10"/>
        <v>0</v>
      </c>
      <c r="X14" s="6" t="e" vm="44">
        <f t="shared" si="10"/>
        <v>#VALUE!</v>
      </c>
      <c r="Y14" s="6" t="e">
        <f t="shared" si="10"/>
        <v>#NUM!</v>
      </c>
      <c r="Z14" s="6" t="e">
        <f t="shared" si="10"/>
        <v>#VALUE!</v>
      </c>
      <c r="AA14" s="6" t="e">
        <f t="shared" si="10"/>
        <v>#N/A</v>
      </c>
      <c r="AB14" s="6" t="e">
        <f t="shared" si="10"/>
        <v>#DIV/0!</v>
      </c>
      <c r="AC14" s="6" t="e">
        <f t="shared" si="10"/>
        <v>#NAME?</v>
      </c>
      <c r="AD14" s="6" t="e">
        <f t="shared" si="10"/>
        <v>#NULL!</v>
      </c>
      <c r="AE14" s="6" t="e">
        <f t="shared" si="10"/>
        <v>#NUM!</v>
      </c>
      <c r="AF14" s="6" t="e">
        <f t="shared" si="10"/>
        <v>#REF!</v>
      </c>
      <c r="AG14" s="8"/>
      <c r="AH14" s="6">
        <f t="array" ref="AH14:AW14">ATANH(C14:Q14)</f>
        <v>0</v>
      </c>
      <c r="AI14" s="6" t="e">
        <v>#NUM!</v>
      </c>
      <c r="AJ14" s="6">
        <v>0.20273255405408211</v>
      </c>
      <c r="AK14" s="6" t="e">
        <v>#NUM!</v>
      </c>
      <c r="AL14" s="6">
        <v>-0.10033534773107562</v>
      </c>
      <c r="AM14" s="6">
        <v>0</v>
      </c>
      <c r="AN14" s="6" t="e" vm="44">
        <v>#VALUE!</v>
      </c>
      <c r="AO14" s="6" t="e">
        <v>#NUM!</v>
      </c>
      <c r="AP14" s="6" t="e">
        <v>#VALUE!</v>
      </c>
      <c r="AQ14" s="6" t="e">
        <v>#N/A</v>
      </c>
      <c r="AR14" s="6" t="e">
        <v>#DIV/0!</v>
      </c>
      <c r="AS14" s="6" t="e">
        <v>#NAME?</v>
      </c>
      <c r="AT14" s="6" t="e">
        <v>#NULL!</v>
      </c>
      <c r="AU14" s="6" t="e">
        <v>#NUM!</v>
      </c>
      <c r="AV14" s="6" t="e">
        <v>#REF!</v>
      </c>
      <c r="AW14" s="4" t="e">
        <v>#N/A</v>
      </c>
    </row>
    <row r="15" spans="1:49" x14ac:dyDescent="0.15">
      <c r="A15" s="42" t="s">
        <v>44</v>
      </c>
      <c r="H15" s="6"/>
      <c r="I15" s="6"/>
      <c r="J15" s="6"/>
      <c r="K15" s="6"/>
      <c r="L15" s="6"/>
      <c r="M15" s="7"/>
      <c r="N15" s="7"/>
      <c r="O15" s="7"/>
      <c r="P15" s="7"/>
      <c r="Q15" s="7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8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9" x14ac:dyDescent="0.15">
      <c r="A16" s="37" t="s">
        <v>46</v>
      </c>
      <c r="B16" s="36" t="s">
        <v>541</v>
      </c>
      <c r="C16" s="4">
        <v>23.3</v>
      </c>
      <c r="D16" s="4">
        <v>-255.5</v>
      </c>
      <c r="E16" s="4">
        <v>-8.1</v>
      </c>
      <c r="F16" s="4">
        <v>-5.5</v>
      </c>
      <c r="G16" s="4">
        <v>-0.6</v>
      </c>
      <c r="H16" s="6"/>
      <c r="I16" s="6" t="s">
        <v>32</v>
      </c>
      <c r="J16" s="6" t="b">
        <v>1</v>
      </c>
      <c r="K16" s="6" t="e">
        <v>#VALUE!</v>
      </c>
      <c r="L16" s="6" t="e">
        <v>#N/A</v>
      </c>
      <c r="M16" s="7" t="e">
        <v>#DIV/0!</v>
      </c>
      <c r="N16" s="7" t="e">
        <v>#NAME?</v>
      </c>
      <c r="O16" s="7" t="e">
        <v>#NULL!</v>
      </c>
      <c r="P16" s="7" t="e">
        <v>#NUM!</v>
      </c>
      <c r="Q16" s="7" t="e">
        <v>#REF!</v>
      </c>
      <c r="R16" s="6">
        <f>_xlfn.CEILING.MATH(C16, 5)</f>
        <v>25</v>
      </c>
      <c r="S16" s="6">
        <f>_xlfn.CEILING.MATH(D16,-2,TRUE)</f>
        <v>-256</v>
      </c>
      <c r="T16" s="6">
        <f>_xlfn.CEILING.MATH(E16,3)</f>
        <v>-6</v>
      </c>
      <c r="U16" s="6">
        <f>_xlfn.CEILING.MATH(F16,2,-1)</f>
        <v>-6</v>
      </c>
      <c r="V16" s="6">
        <f>_xlfn.CEILING.MATH(G16,2,2)</f>
        <v>-2</v>
      </c>
      <c r="W16" s="6">
        <f t="shared" ref="W16:AF16" si="11">_xlfn.CEILING.MATH(H16)</f>
        <v>0</v>
      </c>
      <c r="X16" s="6" t="e" vm="45">
        <f t="shared" si="11"/>
        <v>#VALUE!</v>
      </c>
      <c r="Y16" s="6">
        <f t="shared" si="11"/>
        <v>1</v>
      </c>
      <c r="Z16" s="6" t="e">
        <f t="shared" si="11"/>
        <v>#VALUE!</v>
      </c>
      <c r="AA16" s="6" t="e">
        <f t="shared" si="11"/>
        <v>#N/A</v>
      </c>
      <c r="AB16" s="6" t="e">
        <f t="shared" si="11"/>
        <v>#DIV/0!</v>
      </c>
      <c r="AC16" s="6" t="e">
        <f t="shared" si="11"/>
        <v>#NAME?</v>
      </c>
      <c r="AD16" s="6" t="e">
        <f t="shared" si="11"/>
        <v>#NULL!</v>
      </c>
      <c r="AE16" s="6" t="e">
        <f t="shared" si="11"/>
        <v>#NUM!</v>
      </c>
      <c r="AF16" s="6" t="e">
        <f t="shared" si="11"/>
        <v>#REF!</v>
      </c>
      <c r="AG16" s="8"/>
      <c r="AH16" s="6">
        <f t="array" ref="AH16:AW16">_xlfn.CEILING.MATH(C16:P16,D16:Q16)</f>
        <v>255.5</v>
      </c>
      <c r="AI16" s="6">
        <v>-251.1</v>
      </c>
      <c r="AJ16" s="6">
        <v>-5.5</v>
      </c>
      <c r="AK16" s="6">
        <v>-5.3999999999999995</v>
      </c>
      <c r="AL16" s="6">
        <v>0</v>
      </c>
      <c r="AM16" s="6" t="e" vm="45">
        <v>#VALUE!</v>
      </c>
      <c r="AN16" s="6" t="e" vm="45">
        <v>#VALUE!</v>
      </c>
      <c r="AO16" s="6" t="e">
        <v>#VALUE!</v>
      </c>
      <c r="AP16" s="6" t="e">
        <v>#VALUE!</v>
      </c>
      <c r="AQ16" s="6" t="e">
        <v>#N/A</v>
      </c>
      <c r="AR16" s="6" t="e">
        <v>#DIV/0!</v>
      </c>
      <c r="AS16" s="6" t="e">
        <v>#NAME?</v>
      </c>
      <c r="AT16" s="6" t="e">
        <v>#NULL!</v>
      </c>
      <c r="AU16" s="6" t="e">
        <v>#NUM!</v>
      </c>
      <c r="AV16" s="6" t="e">
        <v>#N/A</v>
      </c>
      <c r="AW16" s="4" t="e">
        <v>#N/A</v>
      </c>
    </row>
    <row r="17" spans="1:49" x14ac:dyDescent="0.15">
      <c r="A17" s="37" t="s">
        <v>47</v>
      </c>
      <c r="B17" s="36" t="s">
        <v>541</v>
      </c>
      <c r="C17" s="4">
        <v>4.3</v>
      </c>
      <c r="D17" s="4">
        <v>-255.5</v>
      </c>
      <c r="E17" s="4">
        <v>-8.1</v>
      </c>
      <c r="F17" s="4">
        <v>-5.5</v>
      </c>
      <c r="G17" s="4">
        <v>-0.6</v>
      </c>
      <c r="H17" s="6"/>
      <c r="I17" s="6" t="s">
        <v>32</v>
      </c>
      <c r="J17" s="6" t="b">
        <v>1</v>
      </c>
      <c r="K17" s="6" t="e">
        <v>#VALUE!</v>
      </c>
      <c r="L17" s="6" t="e">
        <v>#N/A</v>
      </c>
      <c r="M17" s="7" t="e">
        <v>#DIV/0!</v>
      </c>
      <c r="N17" s="7" t="e">
        <v>#NAME?</v>
      </c>
      <c r="O17" s="7" t="e">
        <v>#NULL!</v>
      </c>
      <c r="P17" s="7" t="e">
        <v>#NUM!</v>
      </c>
      <c r="Q17" s="7" t="e">
        <v>#REF!</v>
      </c>
      <c r="R17" s="6">
        <f>_xlfn.CEILING.PRECISE(C17, 2)</f>
        <v>6</v>
      </c>
      <c r="S17" s="6">
        <f>_xlfn.CEILING.PRECISE(D17, -2)</f>
        <v>-254</v>
      </c>
      <c r="T17" s="6">
        <f>_xlfn.CEILING.PRECISE(E17, 3)</f>
        <v>-6</v>
      </c>
      <c r="U17" s="6">
        <f>_xlfn.CEILING.PRECISE(F17, -1)</f>
        <v>-5</v>
      </c>
      <c r="V17" s="6">
        <f>_xlfn.CEILING.PRECISE(G17, 2)</f>
        <v>0</v>
      </c>
      <c r="W17" s="6">
        <f t="shared" ref="W17:AF17" si="12">_xlfn.CEILING.PRECISE(H17)</f>
        <v>0</v>
      </c>
      <c r="X17" s="6" t="e" vm="46">
        <f t="shared" si="12"/>
        <v>#VALUE!</v>
      </c>
      <c r="Y17" s="6">
        <f t="shared" si="12"/>
        <v>1</v>
      </c>
      <c r="Z17" s="6" t="e">
        <f t="shared" si="12"/>
        <v>#VALUE!</v>
      </c>
      <c r="AA17" s="6" t="e">
        <f t="shared" si="12"/>
        <v>#N/A</v>
      </c>
      <c r="AB17" s="6" t="e">
        <f t="shared" si="12"/>
        <v>#DIV/0!</v>
      </c>
      <c r="AC17" s="6" t="e">
        <f t="shared" si="12"/>
        <v>#NAME?</v>
      </c>
      <c r="AD17" s="6" t="e">
        <f t="shared" si="12"/>
        <v>#NULL!</v>
      </c>
      <c r="AE17" s="6" t="e">
        <f t="shared" si="12"/>
        <v>#NUM!</v>
      </c>
      <c r="AF17" s="6" t="e">
        <f t="shared" si="12"/>
        <v>#REF!</v>
      </c>
      <c r="AG17" s="8"/>
      <c r="AH17" s="6">
        <f t="array" ref="AH17:AW17">_xlfn.CEILING.MATH(C17:P17,D17:Q17)</f>
        <v>255.5</v>
      </c>
      <c r="AI17" s="6">
        <v>-251.1</v>
      </c>
      <c r="AJ17" s="6">
        <v>-5.5</v>
      </c>
      <c r="AK17" s="6">
        <v>-5.3999999999999995</v>
      </c>
      <c r="AL17" s="6">
        <v>0</v>
      </c>
      <c r="AM17" s="6" t="e" vm="45">
        <v>#VALUE!</v>
      </c>
      <c r="AN17" s="6" t="e" vm="45">
        <v>#VALUE!</v>
      </c>
      <c r="AO17" s="6" t="e">
        <v>#VALUE!</v>
      </c>
      <c r="AP17" s="6" t="e">
        <v>#VALUE!</v>
      </c>
      <c r="AQ17" s="6" t="e">
        <v>#N/A</v>
      </c>
      <c r="AR17" s="6" t="e">
        <v>#DIV/0!</v>
      </c>
      <c r="AS17" s="6" t="e">
        <v>#NAME?</v>
      </c>
      <c r="AT17" s="6" t="e">
        <v>#NULL!</v>
      </c>
      <c r="AU17" s="6" t="e">
        <v>#NUM!</v>
      </c>
      <c r="AV17" s="6" t="e">
        <v>#N/A</v>
      </c>
      <c r="AW17" s="4" t="e">
        <v>#N/A</v>
      </c>
    </row>
    <row r="18" spans="1:49" x14ac:dyDescent="0.15">
      <c r="A18" s="42" t="s">
        <v>48</v>
      </c>
      <c r="H18" s="6"/>
      <c r="I18" s="6"/>
      <c r="J18" s="6"/>
      <c r="K18" s="6"/>
      <c r="L18" s="6"/>
      <c r="M18" s="7"/>
      <c r="N18" s="7"/>
      <c r="O18" s="7"/>
      <c r="P18" s="7"/>
      <c r="Q18" s="7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8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9" x14ac:dyDescent="0.15">
      <c r="A19" s="42" t="s">
        <v>49</v>
      </c>
      <c r="H19" s="6"/>
      <c r="I19" s="6"/>
      <c r="J19" s="6"/>
      <c r="K19" s="6"/>
      <c r="L19" s="6"/>
      <c r="M19" s="7"/>
      <c r="N19" s="7"/>
      <c r="O19" s="7"/>
      <c r="P19" s="7"/>
      <c r="Q19" s="7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8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9" x14ac:dyDescent="0.15">
      <c r="A20" s="37" t="s">
        <v>7</v>
      </c>
      <c r="B20" s="36" t="s">
        <v>541</v>
      </c>
      <c r="C20" s="4">
        <v>0</v>
      </c>
      <c r="D20" s="4">
        <v>1</v>
      </c>
      <c r="E20" s="4">
        <v>2.2999999999999998</v>
      </c>
      <c r="F20" s="4">
        <v>10</v>
      </c>
      <c r="G20" s="4">
        <v>-1</v>
      </c>
      <c r="H20" s="6"/>
      <c r="I20" s="6" t="s">
        <v>32</v>
      </c>
      <c r="J20" s="6" t="b">
        <v>1</v>
      </c>
      <c r="K20" s="6" t="e">
        <v>#VALUE!</v>
      </c>
      <c r="L20" s="6" t="e">
        <v>#N/A</v>
      </c>
      <c r="M20" s="7" t="e">
        <v>#DIV/0!</v>
      </c>
      <c r="N20" s="7" t="e">
        <v>#NAME?</v>
      </c>
      <c r="O20" s="7" t="e">
        <v>#NULL!</v>
      </c>
      <c r="P20" s="7" t="e">
        <v>#NUM!</v>
      </c>
      <c r="Q20" s="7" t="e">
        <v>#REF!</v>
      </c>
      <c r="R20" s="6">
        <f t="shared" ref="R20:AF20" si="13">COS(C20)</f>
        <v>1</v>
      </c>
      <c r="S20" s="6">
        <f t="shared" si="13"/>
        <v>0.54030230586813977</v>
      </c>
      <c r="T20" s="6">
        <f t="shared" si="13"/>
        <v>-0.6662760212798241</v>
      </c>
      <c r="U20" s="6">
        <f t="shared" si="13"/>
        <v>-0.83907152907645244</v>
      </c>
      <c r="V20" s="6">
        <f t="shared" si="13"/>
        <v>0.54030230586813977</v>
      </c>
      <c r="W20" s="6">
        <f t="shared" si="13"/>
        <v>1</v>
      </c>
      <c r="X20" s="6" t="e" vm="47">
        <f t="shared" si="13"/>
        <v>#VALUE!</v>
      </c>
      <c r="Y20" s="6">
        <f t="shared" si="13"/>
        <v>0.54030230586813977</v>
      </c>
      <c r="Z20" s="6" t="e">
        <f t="shared" si="13"/>
        <v>#VALUE!</v>
      </c>
      <c r="AA20" s="6" t="e">
        <f t="shared" si="13"/>
        <v>#N/A</v>
      </c>
      <c r="AB20" s="6" t="e">
        <f t="shared" si="13"/>
        <v>#DIV/0!</v>
      </c>
      <c r="AC20" s="6" t="e">
        <f t="shared" si="13"/>
        <v>#NAME?</v>
      </c>
      <c r="AD20" s="6" t="e">
        <f t="shared" si="13"/>
        <v>#NULL!</v>
      </c>
      <c r="AE20" s="6" t="e">
        <f t="shared" si="13"/>
        <v>#NUM!</v>
      </c>
      <c r="AF20" s="6" t="e">
        <f t="shared" si="13"/>
        <v>#REF!</v>
      </c>
      <c r="AG20" s="8"/>
      <c r="AH20" s="6">
        <f t="array" ref="AH20:AW20">COS(C20:Q20)</f>
        <v>1</v>
      </c>
      <c r="AI20" s="6">
        <v>0.54030230586813977</v>
      </c>
      <c r="AJ20" s="6">
        <v>-0.6662760212798241</v>
      </c>
      <c r="AK20" s="6">
        <v>-0.83907152907645244</v>
      </c>
      <c r="AL20" s="6">
        <v>0.54030230586813977</v>
      </c>
      <c r="AM20" s="6">
        <v>1</v>
      </c>
      <c r="AN20" s="6" t="e" vm="47">
        <v>#VALUE!</v>
      </c>
      <c r="AO20" s="6">
        <v>0.54030230586813977</v>
      </c>
      <c r="AP20" s="6" t="e">
        <v>#VALUE!</v>
      </c>
      <c r="AQ20" s="6" t="e">
        <v>#N/A</v>
      </c>
      <c r="AR20" s="6" t="e">
        <v>#DIV/0!</v>
      </c>
      <c r="AS20" s="6" t="e">
        <v>#NAME?</v>
      </c>
      <c r="AT20" s="6" t="e">
        <v>#NULL!</v>
      </c>
      <c r="AU20" s="6" t="e">
        <v>#NUM!</v>
      </c>
      <c r="AV20" s="6" t="e">
        <v>#REF!</v>
      </c>
      <c r="AW20" s="4" t="e">
        <v>#N/A</v>
      </c>
    </row>
    <row r="21" spans="1:49" x14ac:dyDescent="0.15">
      <c r="A21" s="37" t="s">
        <v>8</v>
      </c>
      <c r="B21" s="36" t="s">
        <v>541</v>
      </c>
      <c r="C21" s="4">
        <v>0</v>
      </c>
      <c r="D21" s="4">
        <v>1</v>
      </c>
      <c r="E21" s="4">
        <v>2.2999999999999998</v>
      </c>
      <c r="F21" s="4">
        <v>10</v>
      </c>
      <c r="G21" s="4">
        <v>-1</v>
      </c>
      <c r="H21" s="6"/>
      <c r="I21" s="6" t="s">
        <v>32</v>
      </c>
      <c r="J21" s="6" t="b">
        <v>1</v>
      </c>
      <c r="K21" s="6" t="e">
        <v>#VALUE!</v>
      </c>
      <c r="L21" s="6" t="e">
        <v>#N/A</v>
      </c>
      <c r="M21" s="7" t="e">
        <v>#DIV/0!</v>
      </c>
      <c r="N21" s="7" t="e">
        <v>#NAME?</v>
      </c>
      <c r="O21" s="7" t="e">
        <v>#NULL!</v>
      </c>
      <c r="P21" s="7" t="e">
        <v>#NUM!</v>
      </c>
      <c r="Q21" s="7" t="e">
        <v>#REF!</v>
      </c>
      <c r="R21" s="6">
        <f t="shared" ref="R21:AF21" si="14">COSH(C21)</f>
        <v>1</v>
      </c>
      <c r="S21" s="6">
        <f t="shared" si="14"/>
        <v>1.5430806348152437</v>
      </c>
      <c r="T21" s="6">
        <f t="shared" si="14"/>
        <v>5.037220649268761</v>
      </c>
      <c r="U21" s="6">
        <f t="shared" si="14"/>
        <v>11013.232920103324</v>
      </c>
      <c r="V21" s="6">
        <f t="shared" si="14"/>
        <v>1.5430806348152437</v>
      </c>
      <c r="W21" s="6">
        <f t="shared" si="14"/>
        <v>1</v>
      </c>
      <c r="X21" s="6" t="e" vm="48">
        <f t="shared" si="14"/>
        <v>#VALUE!</v>
      </c>
      <c r="Y21" s="6">
        <f t="shared" si="14"/>
        <v>1.5430806348152437</v>
      </c>
      <c r="Z21" s="6" t="e">
        <f t="shared" si="14"/>
        <v>#VALUE!</v>
      </c>
      <c r="AA21" s="6" t="e">
        <f t="shared" si="14"/>
        <v>#N/A</v>
      </c>
      <c r="AB21" s="6" t="e">
        <f t="shared" si="14"/>
        <v>#DIV/0!</v>
      </c>
      <c r="AC21" s="6" t="e">
        <f t="shared" si="14"/>
        <v>#NAME?</v>
      </c>
      <c r="AD21" s="6" t="e">
        <f t="shared" si="14"/>
        <v>#NULL!</v>
      </c>
      <c r="AE21" s="6" t="e">
        <f t="shared" si="14"/>
        <v>#NUM!</v>
      </c>
      <c r="AF21" s="6" t="e">
        <f t="shared" si="14"/>
        <v>#REF!</v>
      </c>
      <c r="AG21" s="8"/>
      <c r="AH21" s="6">
        <f t="array" ref="AH21:AW21">COSH(C21:Q21)</f>
        <v>1</v>
      </c>
      <c r="AI21" s="6">
        <v>1.5430806348152437</v>
      </c>
      <c r="AJ21" s="6">
        <v>5.037220649268761</v>
      </c>
      <c r="AK21" s="6">
        <v>11013.232920103324</v>
      </c>
      <c r="AL21" s="6">
        <v>1.5430806348152437</v>
      </c>
      <c r="AM21" s="6">
        <v>1</v>
      </c>
      <c r="AN21" s="6" t="e" vm="48">
        <v>#VALUE!</v>
      </c>
      <c r="AO21" s="6">
        <v>1.5430806348152437</v>
      </c>
      <c r="AP21" s="6" t="e">
        <v>#VALUE!</v>
      </c>
      <c r="AQ21" s="6" t="e">
        <v>#N/A</v>
      </c>
      <c r="AR21" s="6" t="e">
        <v>#DIV/0!</v>
      </c>
      <c r="AS21" s="6" t="e">
        <v>#NAME?</v>
      </c>
      <c r="AT21" s="6" t="e">
        <v>#NULL!</v>
      </c>
      <c r="AU21" s="6" t="e">
        <v>#NUM!</v>
      </c>
      <c r="AV21" s="6" t="e">
        <v>#REF!</v>
      </c>
      <c r="AW21" s="4" t="e">
        <v>#N/A</v>
      </c>
    </row>
    <row r="22" spans="1:49" x14ac:dyDescent="0.15">
      <c r="A22" s="37" t="s">
        <v>50</v>
      </c>
      <c r="B22" s="36" t="s">
        <v>541</v>
      </c>
      <c r="C22" s="4">
        <v>0</v>
      </c>
      <c r="D22" s="4">
        <v>1</v>
      </c>
      <c r="E22" s="4">
        <v>2.2999999999999998</v>
      </c>
      <c r="F22" s="4">
        <v>10</v>
      </c>
      <c r="G22" s="4">
        <v>-1</v>
      </c>
      <c r="H22" s="6"/>
      <c r="I22" s="6" t="s">
        <v>32</v>
      </c>
      <c r="J22" s="6" t="b">
        <v>1</v>
      </c>
      <c r="K22" s="6" t="e">
        <v>#VALUE!</v>
      </c>
      <c r="L22" s="6" t="e">
        <v>#N/A</v>
      </c>
      <c r="M22" s="7" t="e">
        <v>#DIV/0!</v>
      </c>
      <c r="N22" s="7" t="e">
        <v>#NAME?</v>
      </c>
      <c r="O22" s="7" t="e">
        <v>#NULL!</v>
      </c>
      <c r="P22" s="7" t="e">
        <v>#NUM!</v>
      </c>
      <c r="Q22" s="7" t="e">
        <v>#REF!</v>
      </c>
      <c r="R22" s="6" t="e">
        <f t="shared" ref="R22:AF22" si="15">_xlfn.COT(C22)</f>
        <v>#DIV/0!</v>
      </c>
      <c r="S22" s="6">
        <f t="shared" si="15"/>
        <v>0.64209261593433076</v>
      </c>
      <c r="T22" s="6">
        <f t="shared" si="15"/>
        <v>-0.89348446329744458</v>
      </c>
      <c r="U22" s="6">
        <f t="shared" si="15"/>
        <v>1.5423510453569198</v>
      </c>
      <c r="V22" s="6">
        <f t="shared" si="15"/>
        <v>-0.64209261593433076</v>
      </c>
      <c r="W22" s="6" t="e">
        <f t="shared" si="15"/>
        <v>#DIV/0!</v>
      </c>
      <c r="X22" s="6" t="e" vm="49">
        <f t="shared" si="15"/>
        <v>#VALUE!</v>
      </c>
      <c r="Y22" s="6">
        <f t="shared" si="15"/>
        <v>0.64209261593433076</v>
      </c>
      <c r="Z22" s="6" t="e">
        <f t="shared" si="15"/>
        <v>#VALUE!</v>
      </c>
      <c r="AA22" s="6" t="e">
        <f t="shared" si="15"/>
        <v>#N/A</v>
      </c>
      <c r="AB22" s="6" t="e">
        <f t="shared" si="15"/>
        <v>#DIV/0!</v>
      </c>
      <c r="AC22" s="6" t="e">
        <f t="shared" si="15"/>
        <v>#NAME?</v>
      </c>
      <c r="AD22" s="6" t="e">
        <f t="shared" si="15"/>
        <v>#NULL!</v>
      </c>
      <c r="AE22" s="6" t="e">
        <f t="shared" si="15"/>
        <v>#NUM!</v>
      </c>
      <c r="AF22" s="6" t="e">
        <f t="shared" si="15"/>
        <v>#REF!</v>
      </c>
      <c r="AG22" s="8"/>
      <c r="AH22" s="6" t="e">
        <f t="array" ref="AH22:AW22">_xlfn.COT(C22:Q22)</f>
        <v>#DIV/0!</v>
      </c>
      <c r="AI22" s="6">
        <v>0.64209261593433076</v>
      </c>
      <c r="AJ22" s="6">
        <v>-0.89348446329744458</v>
      </c>
      <c r="AK22" s="6">
        <v>1.5423510453569198</v>
      </c>
      <c r="AL22" s="6">
        <v>-0.64209261593433076</v>
      </c>
      <c r="AM22" s="6" t="e">
        <v>#DIV/0!</v>
      </c>
      <c r="AN22" s="6" t="e" vm="49">
        <v>#VALUE!</v>
      </c>
      <c r="AO22" s="6">
        <v>0.64209261593433076</v>
      </c>
      <c r="AP22" s="6" t="e">
        <v>#VALUE!</v>
      </c>
      <c r="AQ22" s="6" t="e">
        <v>#N/A</v>
      </c>
      <c r="AR22" s="6" t="e">
        <v>#DIV/0!</v>
      </c>
      <c r="AS22" s="6" t="e">
        <v>#NAME?</v>
      </c>
      <c r="AT22" s="6" t="e">
        <v>#NULL!</v>
      </c>
      <c r="AU22" s="6" t="e">
        <v>#NUM!</v>
      </c>
      <c r="AV22" s="6" t="e">
        <v>#REF!</v>
      </c>
      <c r="AW22" s="4" t="e">
        <v>#N/A</v>
      </c>
    </row>
    <row r="23" spans="1:49" x14ac:dyDescent="0.15">
      <c r="A23" s="37" t="s">
        <v>51</v>
      </c>
      <c r="B23" s="36" t="s">
        <v>541</v>
      </c>
      <c r="C23" s="4">
        <v>0</v>
      </c>
      <c r="D23" s="4">
        <v>1</v>
      </c>
      <c r="E23" s="4">
        <v>2.2999999999999998</v>
      </c>
      <c r="F23" s="4">
        <v>10</v>
      </c>
      <c r="G23" s="4">
        <v>-1</v>
      </c>
      <c r="H23" s="6"/>
      <c r="I23" s="6" t="s">
        <v>32</v>
      </c>
      <c r="J23" s="6" t="b">
        <v>1</v>
      </c>
      <c r="K23" s="6" t="e">
        <v>#VALUE!</v>
      </c>
      <c r="L23" s="6" t="e">
        <v>#N/A</v>
      </c>
      <c r="M23" s="7" t="e">
        <v>#DIV/0!</v>
      </c>
      <c r="N23" s="7" t="e">
        <v>#NAME?</v>
      </c>
      <c r="O23" s="7" t="e">
        <v>#NULL!</v>
      </c>
      <c r="P23" s="7" t="e">
        <v>#NUM!</v>
      </c>
      <c r="Q23" s="7" t="e">
        <v>#REF!</v>
      </c>
      <c r="R23" s="6" t="e">
        <f t="shared" ref="R23:AF23" si="16">_xlfn.COTH(C23)</f>
        <v>#DIV/0!</v>
      </c>
      <c r="S23" s="6">
        <f t="shared" si="16"/>
        <v>1.3130352854993315</v>
      </c>
      <c r="T23" s="6">
        <f t="shared" si="16"/>
        <v>1.0203078021811263</v>
      </c>
      <c r="U23" s="6">
        <f t="shared" si="16"/>
        <v>1.0000000041223074</v>
      </c>
      <c r="V23" s="6">
        <f t="shared" si="16"/>
        <v>-1.3130352854993315</v>
      </c>
      <c r="W23" s="6" t="e">
        <f t="shared" si="16"/>
        <v>#DIV/0!</v>
      </c>
      <c r="X23" s="6" t="e" vm="50">
        <f t="shared" si="16"/>
        <v>#VALUE!</v>
      </c>
      <c r="Y23" s="6">
        <f t="shared" si="16"/>
        <v>1.3130352854993315</v>
      </c>
      <c r="Z23" s="6" t="e">
        <f t="shared" si="16"/>
        <v>#VALUE!</v>
      </c>
      <c r="AA23" s="6" t="e">
        <f t="shared" si="16"/>
        <v>#N/A</v>
      </c>
      <c r="AB23" s="6" t="e">
        <f t="shared" si="16"/>
        <v>#DIV/0!</v>
      </c>
      <c r="AC23" s="6" t="e">
        <f t="shared" si="16"/>
        <v>#NAME?</v>
      </c>
      <c r="AD23" s="6" t="e">
        <f t="shared" si="16"/>
        <v>#NULL!</v>
      </c>
      <c r="AE23" s="6" t="e">
        <f t="shared" si="16"/>
        <v>#NUM!</v>
      </c>
      <c r="AF23" s="6" t="e">
        <f t="shared" si="16"/>
        <v>#REF!</v>
      </c>
      <c r="AG23" s="8"/>
      <c r="AH23" s="6" t="e">
        <f t="array" ref="AH23:AW23">_xlfn.COTH(C23:Q23)</f>
        <v>#DIV/0!</v>
      </c>
      <c r="AI23" s="6">
        <v>1.3130352854993315</v>
      </c>
      <c r="AJ23" s="6">
        <v>1.0203078021811263</v>
      </c>
      <c r="AK23" s="6">
        <v>1.0000000041223074</v>
      </c>
      <c r="AL23" s="6">
        <v>-1.3130352854993315</v>
      </c>
      <c r="AM23" s="6" t="e">
        <v>#DIV/0!</v>
      </c>
      <c r="AN23" s="6" t="e" vm="50">
        <v>#VALUE!</v>
      </c>
      <c r="AO23" s="6">
        <v>1.3130352854993315</v>
      </c>
      <c r="AP23" s="6" t="e">
        <v>#VALUE!</v>
      </c>
      <c r="AQ23" s="6" t="e">
        <v>#N/A</v>
      </c>
      <c r="AR23" s="6" t="e">
        <v>#DIV/0!</v>
      </c>
      <c r="AS23" s="6" t="e">
        <v>#NAME?</v>
      </c>
      <c r="AT23" s="6" t="e">
        <v>#NULL!</v>
      </c>
      <c r="AU23" s="6" t="e">
        <v>#NUM!</v>
      </c>
      <c r="AV23" s="6" t="e">
        <v>#REF!</v>
      </c>
      <c r="AW23" s="4" t="e">
        <v>#N/A</v>
      </c>
    </row>
    <row r="24" spans="1:49" x14ac:dyDescent="0.15">
      <c r="A24" s="37" t="s">
        <v>52</v>
      </c>
      <c r="B24" s="36" t="s">
        <v>541</v>
      </c>
      <c r="C24" s="4">
        <v>0</v>
      </c>
      <c r="D24" s="4">
        <v>1</v>
      </c>
      <c r="E24" s="4">
        <v>2.2999999999999998</v>
      </c>
      <c r="F24" s="4">
        <v>10</v>
      </c>
      <c r="G24" s="4">
        <v>-1</v>
      </c>
      <c r="H24" s="6"/>
      <c r="I24" s="6" t="s">
        <v>32</v>
      </c>
      <c r="J24" s="6" t="b">
        <v>1</v>
      </c>
      <c r="K24" s="6" t="e">
        <v>#VALUE!</v>
      </c>
      <c r="L24" s="6" t="e">
        <v>#N/A</v>
      </c>
      <c r="M24" s="7" t="e">
        <v>#DIV/0!</v>
      </c>
      <c r="N24" s="7" t="e">
        <v>#NAME?</v>
      </c>
      <c r="O24" s="7" t="e">
        <v>#NULL!</v>
      </c>
      <c r="P24" s="7" t="e">
        <v>#NUM!</v>
      </c>
      <c r="Q24" s="7" t="e">
        <v>#REF!</v>
      </c>
      <c r="R24" s="6" t="e">
        <f t="shared" ref="R24:AF24" si="17">_xlfn.CSC(C24)</f>
        <v>#DIV/0!</v>
      </c>
      <c r="S24" s="6">
        <f t="shared" si="17"/>
        <v>1.1883951057781212</v>
      </c>
      <c r="T24" s="6">
        <f t="shared" si="17"/>
        <v>1.3410124854578807</v>
      </c>
      <c r="U24" s="6">
        <f t="shared" si="17"/>
        <v>-1.8381639608896658</v>
      </c>
      <c r="V24" s="6">
        <f t="shared" si="17"/>
        <v>-1.1883951057781212</v>
      </c>
      <c r="W24" s="6" t="e">
        <f t="shared" si="17"/>
        <v>#DIV/0!</v>
      </c>
      <c r="X24" s="6" t="e" vm="51">
        <f t="shared" si="17"/>
        <v>#VALUE!</v>
      </c>
      <c r="Y24" s="6">
        <f t="shared" si="17"/>
        <v>1.1883951057781212</v>
      </c>
      <c r="Z24" s="6" t="e">
        <f t="shared" si="17"/>
        <v>#VALUE!</v>
      </c>
      <c r="AA24" s="6" t="e">
        <f t="shared" si="17"/>
        <v>#N/A</v>
      </c>
      <c r="AB24" s="6" t="e">
        <f t="shared" si="17"/>
        <v>#DIV/0!</v>
      </c>
      <c r="AC24" s="6" t="e">
        <f t="shared" si="17"/>
        <v>#NAME?</v>
      </c>
      <c r="AD24" s="6" t="e">
        <f t="shared" si="17"/>
        <v>#NULL!</v>
      </c>
      <c r="AE24" s="6" t="e">
        <f t="shared" si="17"/>
        <v>#NUM!</v>
      </c>
      <c r="AF24" s="6" t="e">
        <f t="shared" si="17"/>
        <v>#REF!</v>
      </c>
      <c r="AG24" s="8"/>
      <c r="AH24" s="6" t="e">
        <f t="array" ref="AH24:AW24">_xlfn.CSC(C24:Q24)</f>
        <v>#DIV/0!</v>
      </c>
      <c r="AI24" s="6">
        <v>1.1883951057781212</v>
      </c>
      <c r="AJ24" s="6">
        <v>1.3410124854578807</v>
      </c>
      <c r="AK24" s="6">
        <v>-1.8381639608896658</v>
      </c>
      <c r="AL24" s="6">
        <v>-1.1883951057781212</v>
      </c>
      <c r="AM24" s="6" t="e">
        <v>#DIV/0!</v>
      </c>
      <c r="AN24" s="6" t="e" vm="51">
        <v>#VALUE!</v>
      </c>
      <c r="AO24" s="6">
        <v>1.1883951057781212</v>
      </c>
      <c r="AP24" s="6" t="e">
        <v>#VALUE!</v>
      </c>
      <c r="AQ24" s="6" t="e">
        <v>#N/A</v>
      </c>
      <c r="AR24" s="6" t="e">
        <v>#DIV/0!</v>
      </c>
      <c r="AS24" s="6" t="e">
        <v>#NAME?</v>
      </c>
      <c r="AT24" s="6" t="e">
        <v>#NULL!</v>
      </c>
      <c r="AU24" s="6" t="e">
        <v>#NUM!</v>
      </c>
      <c r="AV24" s="6" t="e">
        <v>#REF!</v>
      </c>
      <c r="AW24" s="4" t="e">
        <v>#N/A</v>
      </c>
    </row>
    <row r="25" spans="1:49" x14ac:dyDescent="0.15">
      <c r="A25" s="37" t="s">
        <v>53</v>
      </c>
      <c r="B25" s="36" t="s">
        <v>541</v>
      </c>
      <c r="C25" s="4">
        <v>0</v>
      </c>
      <c r="D25" s="4">
        <v>1</v>
      </c>
      <c r="E25" s="4">
        <v>2.2999999999999998</v>
      </c>
      <c r="F25" s="4">
        <v>10</v>
      </c>
      <c r="G25" s="4">
        <v>-1</v>
      </c>
      <c r="H25" s="6"/>
      <c r="I25" s="6" t="s">
        <v>32</v>
      </c>
      <c r="J25" s="6" t="b">
        <v>1</v>
      </c>
      <c r="K25" s="6" t="e">
        <v>#VALUE!</v>
      </c>
      <c r="L25" s="6" t="e">
        <v>#N/A</v>
      </c>
      <c r="M25" s="7" t="e">
        <v>#DIV/0!</v>
      </c>
      <c r="N25" s="7" t="e">
        <v>#NAME?</v>
      </c>
      <c r="O25" s="7" t="e">
        <v>#NULL!</v>
      </c>
      <c r="P25" s="7" t="e">
        <v>#NUM!</v>
      </c>
      <c r="Q25" s="7" t="e">
        <v>#REF!</v>
      </c>
      <c r="R25" s="6" t="e">
        <f t="shared" ref="R25:AF25" si="18">_xlfn.CSCH(C25)</f>
        <v>#DIV/0!</v>
      </c>
      <c r="S25" s="6">
        <f t="shared" si="18"/>
        <v>0.85091812823932156</v>
      </c>
      <c r="T25" s="6">
        <f t="shared" si="18"/>
        <v>0.20255372421083867</v>
      </c>
      <c r="U25" s="6">
        <f t="shared" si="18"/>
        <v>9.0799859712122167E-5</v>
      </c>
      <c r="V25" s="6">
        <f t="shared" si="18"/>
        <v>-0.85091812823932156</v>
      </c>
      <c r="W25" s="6" t="e">
        <f t="shared" si="18"/>
        <v>#DIV/0!</v>
      </c>
      <c r="X25" s="6" t="e" vm="52">
        <f t="shared" si="18"/>
        <v>#VALUE!</v>
      </c>
      <c r="Y25" s="6">
        <f t="shared" si="18"/>
        <v>0.85091812823932156</v>
      </c>
      <c r="Z25" s="6" t="e">
        <f t="shared" si="18"/>
        <v>#VALUE!</v>
      </c>
      <c r="AA25" s="6" t="e">
        <f t="shared" si="18"/>
        <v>#N/A</v>
      </c>
      <c r="AB25" s="6" t="e">
        <f t="shared" si="18"/>
        <v>#DIV/0!</v>
      </c>
      <c r="AC25" s="6" t="e">
        <f t="shared" si="18"/>
        <v>#NAME?</v>
      </c>
      <c r="AD25" s="6" t="e">
        <f t="shared" si="18"/>
        <v>#NULL!</v>
      </c>
      <c r="AE25" s="6" t="e">
        <f t="shared" si="18"/>
        <v>#NUM!</v>
      </c>
      <c r="AF25" s="6" t="e">
        <f t="shared" si="18"/>
        <v>#REF!</v>
      </c>
      <c r="AG25" s="8"/>
      <c r="AH25" s="6" t="e">
        <f t="array" ref="AH25:AW25">_xlfn.CSCH(C25:Q25)</f>
        <v>#DIV/0!</v>
      </c>
      <c r="AI25" s="6">
        <v>0.85091812823932156</v>
      </c>
      <c r="AJ25" s="6">
        <v>0.20255372421083867</v>
      </c>
      <c r="AK25" s="6">
        <v>9.0799859712122167E-5</v>
      </c>
      <c r="AL25" s="6">
        <v>-0.85091812823932156</v>
      </c>
      <c r="AM25" s="6" t="e">
        <v>#DIV/0!</v>
      </c>
      <c r="AN25" s="6" t="e" vm="52">
        <v>#VALUE!</v>
      </c>
      <c r="AO25" s="6">
        <v>0.85091812823932156</v>
      </c>
      <c r="AP25" s="6" t="e">
        <v>#VALUE!</v>
      </c>
      <c r="AQ25" s="6" t="e">
        <v>#N/A</v>
      </c>
      <c r="AR25" s="6" t="e">
        <v>#DIV/0!</v>
      </c>
      <c r="AS25" s="6" t="e">
        <v>#NAME?</v>
      </c>
      <c r="AT25" s="6" t="e">
        <v>#NULL!</v>
      </c>
      <c r="AU25" s="6" t="e">
        <v>#NUM!</v>
      </c>
      <c r="AV25" s="6" t="e">
        <v>#REF!</v>
      </c>
      <c r="AW25" s="4" t="e">
        <v>#N/A</v>
      </c>
    </row>
    <row r="26" spans="1:49" x14ac:dyDescent="0.15">
      <c r="A26" s="37" t="s">
        <v>54</v>
      </c>
      <c r="B26" s="36" t="s">
        <v>541</v>
      </c>
      <c r="C26" s="4">
        <v>16.600000000000001</v>
      </c>
      <c r="D26" s="4">
        <v>15</v>
      </c>
      <c r="E26" s="4">
        <v>2.5</v>
      </c>
      <c r="F26" s="4">
        <v>100</v>
      </c>
      <c r="G26" s="4">
        <v>2</v>
      </c>
      <c r="H26" s="6"/>
      <c r="I26" s="6" t="s">
        <v>32</v>
      </c>
      <c r="J26" s="6" t="b">
        <v>1</v>
      </c>
      <c r="K26" s="6" t="e">
        <v>#VALUE!</v>
      </c>
      <c r="L26" s="6" t="e">
        <v>#N/A</v>
      </c>
      <c r="M26" s="7" t="e">
        <v>#DIV/0!</v>
      </c>
      <c r="N26" s="7" t="e">
        <v>#NAME?</v>
      </c>
      <c r="O26" s="7" t="e">
        <v>#NULL!</v>
      </c>
      <c r="P26" s="7" t="e">
        <v>#NUM!</v>
      </c>
      <c r="Q26" s="7" t="e">
        <v>#REF!</v>
      </c>
      <c r="R26" s="6">
        <f>_xlfn.DECIMAL("FF",C26)</f>
        <v>255</v>
      </c>
      <c r="S26" s="6" t="e">
        <f>_xlfn.DECIMAL("FF",D26)</f>
        <v>#NUM!</v>
      </c>
      <c r="T26" s="6">
        <f>_xlfn.DECIMAL(111,E26)</f>
        <v>7</v>
      </c>
      <c r="U26" s="6" t="e">
        <f>_xlfn.DECIMAL("FF",F26)</f>
        <v>#NUM!</v>
      </c>
      <c r="V26" s="6" t="e">
        <f>_xlfn.DECIMAL(113,G26)</f>
        <v>#NUM!</v>
      </c>
      <c r="W26" s="6" t="e">
        <f t="shared" ref="W26:AF26" si="19">_xlfn.DECIMAL("FF",H26)</f>
        <v>#NUM!</v>
      </c>
      <c r="X26" s="6" t="e" vm="53">
        <f t="shared" si="19"/>
        <v>#VALUE!</v>
      </c>
      <c r="Y26" s="6" t="e">
        <f t="shared" si="19"/>
        <v>#NUM!</v>
      </c>
      <c r="Z26" s="6" t="e">
        <f t="shared" si="19"/>
        <v>#VALUE!</v>
      </c>
      <c r="AA26" s="6" t="e">
        <f t="shared" si="19"/>
        <v>#N/A</v>
      </c>
      <c r="AB26" s="6" t="e">
        <f t="shared" si="19"/>
        <v>#DIV/0!</v>
      </c>
      <c r="AC26" s="6" t="e">
        <f t="shared" si="19"/>
        <v>#NAME?</v>
      </c>
      <c r="AD26" s="6" t="e">
        <f t="shared" si="19"/>
        <v>#NULL!</v>
      </c>
      <c r="AE26" s="6" t="e">
        <f t="shared" si="19"/>
        <v>#NUM!</v>
      </c>
      <c r="AF26" s="6" t="e">
        <f t="shared" si="19"/>
        <v>#REF!</v>
      </c>
      <c r="AG26" s="8"/>
      <c r="AH26" s="6">
        <f t="array" ref="AH26:AW26">_xlfn.DECIMAL("FF",C26:Q26)</f>
        <v>255</v>
      </c>
      <c r="AI26" s="6" t="e">
        <v>#NUM!</v>
      </c>
      <c r="AJ26" s="6" t="e">
        <v>#NUM!</v>
      </c>
      <c r="AK26" s="6" t="e">
        <v>#NUM!</v>
      </c>
      <c r="AL26" s="6" t="e">
        <v>#NUM!</v>
      </c>
      <c r="AM26" s="6" t="e">
        <v>#NUM!</v>
      </c>
      <c r="AN26" s="6" t="e" vm="53">
        <v>#VALUE!</v>
      </c>
      <c r="AO26" s="6" t="e">
        <v>#NUM!</v>
      </c>
      <c r="AP26" s="6" t="e">
        <v>#VALUE!</v>
      </c>
      <c r="AQ26" s="6" t="e">
        <v>#N/A</v>
      </c>
      <c r="AR26" s="6" t="e">
        <v>#DIV/0!</v>
      </c>
      <c r="AS26" s="6" t="e">
        <v>#NAME?</v>
      </c>
      <c r="AT26" s="6" t="e">
        <v>#NULL!</v>
      </c>
      <c r="AU26" s="6" t="e">
        <v>#NUM!</v>
      </c>
      <c r="AV26" s="6" t="e">
        <v>#REF!</v>
      </c>
      <c r="AW26" s="4" t="e">
        <v>#N/A</v>
      </c>
    </row>
    <row r="27" spans="1:49" x14ac:dyDescent="0.15">
      <c r="A27" s="37" t="s">
        <v>21</v>
      </c>
      <c r="B27" s="36" t="s">
        <v>541</v>
      </c>
      <c r="C27" s="4">
        <v>0</v>
      </c>
      <c r="D27" s="4">
        <v>1</v>
      </c>
      <c r="E27" s="4">
        <v>2.2999999999999998</v>
      </c>
      <c r="F27" s="4">
        <v>10</v>
      </c>
      <c r="G27" s="4">
        <v>-1</v>
      </c>
      <c r="H27" s="6"/>
      <c r="I27" s="6" t="s">
        <v>32</v>
      </c>
      <c r="J27" s="6" t="b">
        <v>1</v>
      </c>
      <c r="K27" s="6" t="e">
        <v>#VALUE!</v>
      </c>
      <c r="L27" s="6" t="e">
        <v>#N/A</v>
      </c>
      <c r="M27" s="7" t="e">
        <v>#DIV/0!</v>
      </c>
      <c r="N27" s="7" t="e">
        <v>#NAME?</v>
      </c>
      <c r="O27" s="7" t="e">
        <v>#NULL!</v>
      </c>
      <c r="P27" s="7" t="e">
        <v>#NUM!</v>
      </c>
      <c r="Q27" s="7" t="e">
        <v>#REF!</v>
      </c>
      <c r="R27" s="6">
        <f t="shared" ref="R27:AF27" si="20">DEGREES(C27)</f>
        <v>0</v>
      </c>
      <c r="S27" s="6">
        <f t="shared" si="20"/>
        <v>57.295779513082323</v>
      </c>
      <c r="T27" s="6">
        <f t="shared" si="20"/>
        <v>131.78029288008932</v>
      </c>
      <c r="U27" s="6">
        <f t="shared" si="20"/>
        <v>572.95779513082323</v>
      </c>
      <c r="V27" s="6">
        <f t="shared" si="20"/>
        <v>-57.295779513082323</v>
      </c>
      <c r="W27" s="6">
        <f t="shared" si="20"/>
        <v>0</v>
      </c>
      <c r="X27" s="6" t="e" vm="54">
        <f t="shared" si="20"/>
        <v>#VALUE!</v>
      </c>
      <c r="Y27" s="6">
        <f t="shared" si="20"/>
        <v>57.295779513082323</v>
      </c>
      <c r="Z27" s="6" t="e">
        <f t="shared" si="20"/>
        <v>#VALUE!</v>
      </c>
      <c r="AA27" s="6" t="e">
        <f t="shared" si="20"/>
        <v>#N/A</v>
      </c>
      <c r="AB27" s="6" t="e">
        <f t="shared" si="20"/>
        <v>#DIV/0!</v>
      </c>
      <c r="AC27" s="6" t="e">
        <f t="shared" si="20"/>
        <v>#NAME?</v>
      </c>
      <c r="AD27" s="6" t="e">
        <f t="shared" si="20"/>
        <v>#NULL!</v>
      </c>
      <c r="AE27" s="6" t="e">
        <f t="shared" si="20"/>
        <v>#NUM!</v>
      </c>
      <c r="AF27" s="6" t="e">
        <f t="shared" si="20"/>
        <v>#REF!</v>
      </c>
      <c r="AG27" s="8"/>
      <c r="AH27" s="6">
        <f t="array" ref="AH27:AW27">DEGREES(C27:Q27)</f>
        <v>0</v>
      </c>
      <c r="AI27" s="6">
        <v>57.295779513082323</v>
      </c>
      <c r="AJ27" s="6">
        <v>131.78029288008932</v>
      </c>
      <c r="AK27" s="6">
        <v>572.95779513082323</v>
      </c>
      <c r="AL27" s="6">
        <v>-57.295779513082323</v>
      </c>
      <c r="AM27" s="6">
        <v>0</v>
      </c>
      <c r="AN27" s="6" t="e" vm="54">
        <v>#VALUE!</v>
      </c>
      <c r="AO27" s="6">
        <v>57.295779513082323</v>
      </c>
      <c r="AP27" s="6" t="e">
        <v>#VALUE!</v>
      </c>
      <c r="AQ27" s="6" t="e">
        <v>#N/A</v>
      </c>
      <c r="AR27" s="6" t="e">
        <v>#DIV/0!</v>
      </c>
      <c r="AS27" s="6" t="e">
        <v>#NAME?</v>
      </c>
      <c r="AT27" s="6" t="e">
        <v>#NULL!</v>
      </c>
      <c r="AU27" s="6" t="e">
        <v>#NUM!</v>
      </c>
      <c r="AV27" s="6" t="e">
        <v>#REF!</v>
      </c>
      <c r="AW27" s="4" t="e">
        <v>#N/A</v>
      </c>
    </row>
    <row r="28" spans="1:49" x14ac:dyDescent="0.15">
      <c r="A28" s="37" t="s">
        <v>55</v>
      </c>
      <c r="B28" s="36" t="s">
        <v>541</v>
      </c>
      <c r="C28" s="4">
        <v>0</v>
      </c>
      <c r="D28" s="4">
        <v>1</v>
      </c>
      <c r="E28" s="4">
        <v>2.2999999999999998</v>
      </c>
      <c r="F28" s="4">
        <v>-0.2</v>
      </c>
      <c r="G28" s="4">
        <v>-1</v>
      </c>
      <c r="H28" s="6"/>
      <c r="I28" s="6" t="s">
        <v>32</v>
      </c>
      <c r="J28" s="6" t="b">
        <v>1</v>
      </c>
      <c r="K28" s="6" t="e">
        <v>#VALUE!</v>
      </c>
      <c r="L28" s="6" t="e">
        <v>#N/A</v>
      </c>
      <c r="M28" s="7" t="e">
        <v>#DIV/0!</v>
      </c>
      <c r="N28" s="7" t="e">
        <v>#NAME?</v>
      </c>
      <c r="O28" s="7" t="e">
        <v>#NULL!</v>
      </c>
      <c r="P28" s="7" t="e">
        <v>#NUM!</v>
      </c>
      <c r="Q28" s="7" t="e">
        <v>#REF!</v>
      </c>
      <c r="R28" s="6">
        <f t="shared" ref="R28:AF28" si="21">EVEN(C28)</f>
        <v>0</v>
      </c>
      <c r="S28" s="6">
        <f t="shared" si="21"/>
        <v>2</v>
      </c>
      <c r="T28" s="6">
        <f t="shared" si="21"/>
        <v>4</v>
      </c>
      <c r="U28" s="6">
        <f t="shared" si="21"/>
        <v>-2</v>
      </c>
      <c r="V28" s="6">
        <f t="shared" si="21"/>
        <v>-2</v>
      </c>
      <c r="W28" s="6">
        <f t="shared" si="21"/>
        <v>0</v>
      </c>
      <c r="X28" s="6" t="e" vm="55">
        <f t="shared" si="21"/>
        <v>#VALUE!</v>
      </c>
      <c r="Y28" s="6">
        <f t="shared" si="21"/>
        <v>2</v>
      </c>
      <c r="Z28" s="6" t="e">
        <f t="shared" si="21"/>
        <v>#VALUE!</v>
      </c>
      <c r="AA28" s="6" t="e">
        <f t="shared" si="21"/>
        <v>#N/A</v>
      </c>
      <c r="AB28" s="6" t="e">
        <f t="shared" si="21"/>
        <v>#DIV/0!</v>
      </c>
      <c r="AC28" s="6" t="e">
        <f t="shared" si="21"/>
        <v>#NAME?</v>
      </c>
      <c r="AD28" s="6" t="e">
        <f t="shared" si="21"/>
        <v>#NULL!</v>
      </c>
      <c r="AE28" s="6" t="e">
        <f t="shared" si="21"/>
        <v>#NUM!</v>
      </c>
      <c r="AF28" s="6" t="e">
        <f t="shared" si="21"/>
        <v>#REF!</v>
      </c>
      <c r="AG28" s="8"/>
      <c r="AH28" s="6">
        <f t="array" ref="AH28:AW28">EVEN(C28:Q28)</f>
        <v>0</v>
      </c>
      <c r="AI28" s="6">
        <v>2</v>
      </c>
      <c r="AJ28" s="6">
        <v>4</v>
      </c>
      <c r="AK28" s="6">
        <v>-2</v>
      </c>
      <c r="AL28" s="6">
        <v>-2</v>
      </c>
      <c r="AM28" s="6">
        <v>0</v>
      </c>
      <c r="AN28" s="6" t="e" vm="55">
        <v>#VALUE!</v>
      </c>
      <c r="AO28" s="6">
        <v>2</v>
      </c>
      <c r="AP28" s="6" t="e">
        <v>#VALUE!</v>
      </c>
      <c r="AQ28" s="6" t="e">
        <v>#N/A</v>
      </c>
      <c r="AR28" s="6" t="e">
        <v>#DIV/0!</v>
      </c>
      <c r="AS28" s="6" t="e">
        <v>#NAME?</v>
      </c>
      <c r="AT28" s="6" t="e">
        <v>#NULL!</v>
      </c>
      <c r="AU28" s="6" t="e">
        <v>#NUM!</v>
      </c>
      <c r="AV28" s="6" t="e">
        <v>#REF!</v>
      </c>
      <c r="AW28" s="4" t="e">
        <v>#N/A</v>
      </c>
    </row>
    <row r="29" spans="1:49" x14ac:dyDescent="0.15">
      <c r="A29" s="37" t="s">
        <v>3</v>
      </c>
      <c r="B29" s="36" t="s">
        <v>541</v>
      </c>
      <c r="C29" s="4">
        <v>0</v>
      </c>
      <c r="D29" s="4">
        <v>1</v>
      </c>
      <c r="E29" s="4">
        <v>2.2999999999999998</v>
      </c>
      <c r="F29" s="4">
        <v>10</v>
      </c>
      <c r="G29" s="4">
        <v>-1</v>
      </c>
      <c r="H29" s="6"/>
      <c r="I29" s="6" t="s">
        <v>32</v>
      </c>
      <c r="J29" s="6" t="b">
        <v>1</v>
      </c>
      <c r="K29" s="6" t="e">
        <v>#VALUE!</v>
      </c>
      <c r="L29" s="6" t="e">
        <v>#N/A</v>
      </c>
      <c r="M29" s="7" t="e">
        <v>#DIV/0!</v>
      </c>
      <c r="N29" s="7" t="e">
        <v>#NAME?</v>
      </c>
      <c r="O29" s="7" t="e">
        <v>#NULL!</v>
      </c>
      <c r="P29" s="7" t="e">
        <v>#NUM!</v>
      </c>
      <c r="Q29" s="7" t="e">
        <v>#REF!</v>
      </c>
      <c r="R29" s="6">
        <f t="shared" ref="R29:AF29" si="22">EXP(C29)</f>
        <v>1</v>
      </c>
      <c r="S29" s="6">
        <f t="shared" si="22"/>
        <v>2.7182818284590451</v>
      </c>
      <c r="T29" s="6">
        <f t="shared" si="22"/>
        <v>9.9741824548147182</v>
      </c>
      <c r="U29" s="6">
        <f t="shared" si="22"/>
        <v>22026.465794806718</v>
      </c>
      <c r="V29" s="6">
        <f t="shared" si="22"/>
        <v>0.36787944117144233</v>
      </c>
      <c r="W29" s="6">
        <f t="shared" si="22"/>
        <v>1</v>
      </c>
      <c r="X29" s="6" t="e" vm="56">
        <f t="shared" si="22"/>
        <v>#VALUE!</v>
      </c>
      <c r="Y29" s="6">
        <f t="shared" si="22"/>
        <v>2.7182818284590451</v>
      </c>
      <c r="Z29" s="6" t="e">
        <f t="shared" si="22"/>
        <v>#VALUE!</v>
      </c>
      <c r="AA29" s="6" t="e">
        <f t="shared" si="22"/>
        <v>#N/A</v>
      </c>
      <c r="AB29" s="6" t="e">
        <f t="shared" si="22"/>
        <v>#DIV/0!</v>
      </c>
      <c r="AC29" s="6" t="e">
        <f t="shared" si="22"/>
        <v>#NAME?</v>
      </c>
      <c r="AD29" s="6" t="e">
        <f t="shared" si="22"/>
        <v>#NULL!</v>
      </c>
      <c r="AE29" s="6" t="e">
        <f t="shared" si="22"/>
        <v>#NUM!</v>
      </c>
      <c r="AF29" s="6" t="e">
        <f t="shared" si="22"/>
        <v>#REF!</v>
      </c>
      <c r="AG29" s="8"/>
      <c r="AH29" s="6">
        <f t="array" ref="AH29:AW29">EXP(C29:Q29)</f>
        <v>1</v>
      </c>
      <c r="AI29" s="6">
        <v>2.7182818284590451</v>
      </c>
      <c r="AJ29" s="6">
        <v>9.9741824548147182</v>
      </c>
      <c r="AK29" s="6">
        <v>22026.465794806718</v>
      </c>
      <c r="AL29" s="6">
        <v>0.36787944117144233</v>
      </c>
      <c r="AM29" s="6">
        <v>1</v>
      </c>
      <c r="AN29" s="6" t="e" vm="56">
        <v>#VALUE!</v>
      </c>
      <c r="AO29" s="6">
        <v>2.7182818284590451</v>
      </c>
      <c r="AP29" s="6" t="e">
        <v>#VALUE!</v>
      </c>
      <c r="AQ29" s="6" t="e">
        <v>#N/A</v>
      </c>
      <c r="AR29" s="6" t="e">
        <v>#DIV/0!</v>
      </c>
      <c r="AS29" s="6" t="e">
        <v>#NAME?</v>
      </c>
      <c r="AT29" s="6" t="e">
        <v>#NULL!</v>
      </c>
      <c r="AU29" s="6" t="e">
        <v>#NUM!</v>
      </c>
      <c r="AV29" s="6" t="e">
        <v>#REF!</v>
      </c>
      <c r="AW29" s="4" t="e">
        <v>#N/A</v>
      </c>
    </row>
    <row r="30" spans="1:49" x14ac:dyDescent="0.15">
      <c r="A30" s="37" t="s">
        <v>56</v>
      </c>
      <c r="B30" s="36" t="s">
        <v>541</v>
      </c>
      <c r="C30" s="4">
        <v>0</v>
      </c>
      <c r="D30" s="4">
        <v>1</v>
      </c>
      <c r="E30" s="4">
        <v>2.2999999999999998</v>
      </c>
      <c r="F30" s="4">
        <v>5</v>
      </c>
      <c r="G30" s="4">
        <v>-1</v>
      </c>
      <c r="H30" s="6"/>
      <c r="I30" s="6" t="s">
        <v>32</v>
      </c>
      <c r="J30" s="6" t="b">
        <v>1</v>
      </c>
      <c r="K30" s="6" t="e">
        <v>#VALUE!</v>
      </c>
      <c r="L30" s="6" t="e">
        <v>#N/A</v>
      </c>
      <c r="M30" s="7" t="e">
        <v>#DIV/0!</v>
      </c>
      <c r="N30" s="7" t="e">
        <v>#NAME?</v>
      </c>
      <c r="O30" s="7" t="e">
        <v>#NULL!</v>
      </c>
      <c r="P30" s="7" t="e">
        <v>#NUM!</v>
      </c>
      <c r="Q30" s="7" t="e">
        <v>#REF!</v>
      </c>
      <c r="R30" s="6">
        <f t="shared" ref="R30:AF30" si="23">FACT(C30)</f>
        <v>1</v>
      </c>
      <c r="S30" s="6">
        <f t="shared" si="23"/>
        <v>1</v>
      </c>
      <c r="T30" s="6">
        <f t="shared" si="23"/>
        <v>2</v>
      </c>
      <c r="U30" s="6">
        <f t="shared" si="23"/>
        <v>120</v>
      </c>
      <c r="V30" s="6" t="e">
        <f t="shared" si="23"/>
        <v>#NUM!</v>
      </c>
      <c r="W30" s="6">
        <f t="shared" si="23"/>
        <v>1</v>
      </c>
      <c r="X30" s="6" t="e" vm="57">
        <f t="shared" si="23"/>
        <v>#VALUE!</v>
      </c>
      <c r="Y30" s="6">
        <f t="shared" si="23"/>
        <v>1</v>
      </c>
      <c r="Z30" s="6" t="e">
        <f t="shared" si="23"/>
        <v>#VALUE!</v>
      </c>
      <c r="AA30" s="6" t="e">
        <f t="shared" si="23"/>
        <v>#N/A</v>
      </c>
      <c r="AB30" s="6" t="e">
        <f t="shared" si="23"/>
        <v>#DIV/0!</v>
      </c>
      <c r="AC30" s="6" t="e">
        <f t="shared" si="23"/>
        <v>#NAME?</v>
      </c>
      <c r="AD30" s="6" t="e">
        <f t="shared" si="23"/>
        <v>#NULL!</v>
      </c>
      <c r="AE30" s="6" t="e">
        <f t="shared" si="23"/>
        <v>#NUM!</v>
      </c>
      <c r="AF30" s="6" t="e">
        <f t="shared" si="23"/>
        <v>#REF!</v>
      </c>
      <c r="AG30" s="8"/>
      <c r="AH30" s="6">
        <f t="array" ref="AH30:AW30">FACT(C30:Q30)</f>
        <v>1</v>
      </c>
      <c r="AI30" s="6">
        <v>1</v>
      </c>
      <c r="AJ30" s="6">
        <v>2</v>
      </c>
      <c r="AK30" s="6">
        <v>120</v>
      </c>
      <c r="AL30" s="6" t="e">
        <v>#NUM!</v>
      </c>
      <c r="AM30" s="6">
        <v>1</v>
      </c>
      <c r="AN30" s="6" t="e" vm="57">
        <v>#VALUE!</v>
      </c>
      <c r="AO30" s="6">
        <v>1</v>
      </c>
      <c r="AP30" s="6" t="e">
        <v>#VALUE!</v>
      </c>
      <c r="AQ30" s="6" t="e">
        <v>#N/A</v>
      </c>
      <c r="AR30" s="6" t="e">
        <v>#DIV/0!</v>
      </c>
      <c r="AS30" s="6" t="e">
        <v>#NAME?</v>
      </c>
      <c r="AT30" s="6" t="e">
        <v>#NULL!</v>
      </c>
      <c r="AU30" s="6" t="e">
        <v>#NUM!</v>
      </c>
      <c r="AV30" s="6" t="e">
        <v>#REF!</v>
      </c>
      <c r="AW30" s="4" t="e">
        <v>#N/A</v>
      </c>
    </row>
    <row r="31" spans="1:49" x14ac:dyDescent="0.15">
      <c r="A31" s="37" t="s">
        <v>57</v>
      </c>
      <c r="B31" s="36" t="s">
        <v>541</v>
      </c>
      <c r="C31" s="4">
        <v>0</v>
      </c>
      <c r="D31" s="4">
        <v>2.2999999999999998</v>
      </c>
      <c r="E31" s="4">
        <v>-1.1000000000000001</v>
      </c>
      <c r="F31" s="4">
        <v>5</v>
      </c>
      <c r="G31" s="4">
        <v>-1</v>
      </c>
      <c r="H31" s="6"/>
      <c r="I31" s="6" t="s">
        <v>32</v>
      </c>
      <c r="J31" s="6" t="b">
        <v>1</v>
      </c>
      <c r="K31" s="6" t="e">
        <v>#VALUE!</v>
      </c>
      <c r="L31" s="6" t="e">
        <v>#N/A</v>
      </c>
      <c r="M31" s="7" t="e">
        <v>#DIV/0!</v>
      </c>
      <c r="N31" s="7" t="e">
        <v>#NAME?</v>
      </c>
      <c r="O31" s="7" t="e">
        <v>#NULL!</v>
      </c>
      <c r="P31" s="7" t="e">
        <v>#NUM!</v>
      </c>
      <c r="Q31" s="7" t="e">
        <v>#REF!</v>
      </c>
      <c r="R31" s="6">
        <f>FACTDOUBLE(C31)</f>
        <v>1</v>
      </c>
      <c r="S31" s="6">
        <f>FACTDOUBLE("2.3")</f>
        <v>2</v>
      </c>
      <c r="T31" s="6" t="e">
        <f t="shared" ref="T31:AF31" si="24">FACTDOUBLE(E31)</f>
        <v>#NUM!</v>
      </c>
      <c r="U31" s="6">
        <f t="shared" si="24"/>
        <v>15</v>
      </c>
      <c r="V31" s="6">
        <f t="shared" si="24"/>
        <v>1</v>
      </c>
      <c r="W31" s="6">
        <f t="shared" si="24"/>
        <v>1</v>
      </c>
      <c r="X31" s="6" t="e">
        <f t="shared" si="24"/>
        <v>#VALUE!</v>
      </c>
      <c r="Y31" s="6" t="e">
        <f t="shared" si="24"/>
        <v>#VALUE!</v>
      </c>
      <c r="Z31" s="6" t="e">
        <f t="shared" si="24"/>
        <v>#VALUE!</v>
      </c>
      <c r="AA31" s="6" t="e">
        <f t="shared" si="24"/>
        <v>#N/A</v>
      </c>
      <c r="AB31" s="6" t="e">
        <f t="shared" si="24"/>
        <v>#DIV/0!</v>
      </c>
      <c r="AC31" s="6" t="e">
        <f t="shared" si="24"/>
        <v>#NAME?</v>
      </c>
      <c r="AD31" s="6" t="e">
        <f t="shared" si="24"/>
        <v>#NULL!</v>
      </c>
      <c r="AE31" s="6" t="e">
        <f t="shared" si="24"/>
        <v>#NUM!</v>
      </c>
      <c r="AF31" s="6" t="e">
        <f t="shared" si="24"/>
        <v>#REF!</v>
      </c>
      <c r="AG31" s="8"/>
      <c r="AH31" s="6" t="e">
        <f t="array" ref="AH31:AW31">FACTDOUBLE(C31:Q31)</f>
        <v>#VALUE!</v>
      </c>
      <c r="AI31" s="6" t="e">
        <v>#VALUE!</v>
      </c>
      <c r="AJ31" s="6" t="e">
        <v>#VALUE!</v>
      </c>
      <c r="AK31" s="6" t="e">
        <v>#VALUE!</v>
      </c>
      <c r="AL31" s="6" t="e">
        <v>#VALUE!</v>
      </c>
      <c r="AM31" s="6" t="e">
        <v>#VALUE!</v>
      </c>
      <c r="AN31" s="6" t="e">
        <v>#VALUE!</v>
      </c>
      <c r="AO31" s="6" t="e">
        <v>#VALUE!</v>
      </c>
      <c r="AP31" s="6" t="e">
        <v>#VALUE!</v>
      </c>
      <c r="AQ31" s="6" t="e">
        <v>#VALUE!</v>
      </c>
      <c r="AR31" s="6" t="e">
        <v>#VALUE!</v>
      </c>
      <c r="AS31" s="6" t="e">
        <v>#VALUE!</v>
      </c>
      <c r="AT31" s="6" t="e">
        <v>#VALUE!</v>
      </c>
      <c r="AU31" s="6" t="e">
        <v>#VALUE!</v>
      </c>
      <c r="AV31" s="6" t="e">
        <v>#VALUE!</v>
      </c>
      <c r="AW31" s="4" t="e">
        <v>#VALUE!</v>
      </c>
    </row>
    <row r="32" spans="1:49" x14ac:dyDescent="0.15">
      <c r="A32" s="37" t="s">
        <v>59</v>
      </c>
      <c r="B32" s="36" t="s">
        <v>541</v>
      </c>
      <c r="C32" s="4">
        <v>23.3</v>
      </c>
      <c r="D32" s="4">
        <v>-255.5</v>
      </c>
      <c r="E32" s="4">
        <v>-8.1</v>
      </c>
      <c r="F32" s="4">
        <v>-5.5</v>
      </c>
      <c r="G32" s="4">
        <v>-0.6</v>
      </c>
      <c r="H32" s="6"/>
      <c r="I32" s="6" t="s">
        <v>32</v>
      </c>
      <c r="J32" s="6" t="b">
        <v>1</v>
      </c>
      <c r="K32" s="6" t="e">
        <v>#VALUE!</v>
      </c>
      <c r="L32" s="6" t="e">
        <v>#N/A</v>
      </c>
      <c r="M32" s="7" t="e">
        <v>#DIV/0!</v>
      </c>
      <c r="N32" s="7" t="e">
        <v>#NAME?</v>
      </c>
      <c r="O32" s="7" t="e">
        <v>#NULL!</v>
      </c>
      <c r="P32" s="7" t="e">
        <v>#NUM!</v>
      </c>
      <c r="Q32" s="7" t="e">
        <v>#REF!</v>
      </c>
      <c r="R32" s="6">
        <f>_xlfn.FLOOR.MATH(C32, 5)</f>
        <v>20</v>
      </c>
      <c r="S32" s="6">
        <f>_xlfn.FLOOR.MATH(D32,1,TRUE)</f>
        <v>-255</v>
      </c>
      <c r="T32" s="6">
        <f>_xlfn.FLOOR.MATH(E32,3)</f>
        <v>-9</v>
      </c>
      <c r="U32" s="6">
        <f>_xlfn.FLOOR.MATH(F32,2,-1)</f>
        <v>-4</v>
      </c>
      <c r="V32" s="6">
        <f>_xlfn.FLOOR.MATH(G32,2,2)</f>
        <v>0</v>
      </c>
      <c r="W32" s="6">
        <f>_xlfn.FLOOR.MATH(H32)</f>
        <v>0</v>
      </c>
      <c r="X32" s="6" t="e" vm="58">
        <f>_xlfn.FLOOR.MATH(I32)</f>
        <v>#VALUE!</v>
      </c>
      <c r="Y32" s="6">
        <f>_xlfn.FLOOR.MATH(J32)</f>
        <v>1</v>
      </c>
      <c r="Z32" s="6" t="e">
        <f>_xlfn.FLOOR.MATH(K32)</f>
        <v>#VALUE!</v>
      </c>
      <c r="AA32" s="6" t="e">
        <f t="shared" ref="AA32:AF32" si="25">_xlfn.FLOOR.MATH(L32)</f>
        <v>#N/A</v>
      </c>
      <c r="AB32" s="6" t="e">
        <f t="shared" si="25"/>
        <v>#DIV/0!</v>
      </c>
      <c r="AC32" s="6" t="e">
        <f t="shared" si="25"/>
        <v>#NAME?</v>
      </c>
      <c r="AD32" s="6" t="e">
        <f t="shared" si="25"/>
        <v>#NULL!</v>
      </c>
      <c r="AE32" s="6" t="e">
        <f t="shared" si="25"/>
        <v>#NUM!</v>
      </c>
      <c r="AF32" s="6" t="e">
        <f t="shared" si="25"/>
        <v>#REF!</v>
      </c>
      <c r="AG32" s="8"/>
      <c r="AH32" s="6">
        <f t="array" ref="AH32:AW32">_xlfn.FLOOR.MATH(C32:P32,D32:Q32)</f>
        <v>0</v>
      </c>
      <c r="AI32" s="6">
        <v>-259.2</v>
      </c>
      <c r="AJ32" s="6">
        <v>-11</v>
      </c>
      <c r="AK32" s="6">
        <v>-6</v>
      </c>
      <c r="AL32" s="6">
        <v>0</v>
      </c>
      <c r="AM32" s="6" t="e" vm="58">
        <v>#VALUE!</v>
      </c>
      <c r="AN32" s="6" t="e" vm="58">
        <v>#VALUE!</v>
      </c>
      <c r="AO32" s="6" t="e">
        <v>#VALUE!</v>
      </c>
      <c r="AP32" s="6" t="e">
        <v>#VALUE!</v>
      </c>
      <c r="AQ32" s="6" t="e">
        <v>#N/A</v>
      </c>
      <c r="AR32" s="6" t="e">
        <v>#DIV/0!</v>
      </c>
      <c r="AS32" s="6" t="e">
        <v>#NAME?</v>
      </c>
      <c r="AT32" s="6" t="e">
        <v>#NULL!</v>
      </c>
      <c r="AU32" s="6" t="e">
        <v>#NUM!</v>
      </c>
      <c r="AV32" s="6" t="e">
        <v>#N/A</v>
      </c>
      <c r="AW32" s="4" t="e">
        <v>#N/A</v>
      </c>
    </row>
    <row r="33" spans="1:49" x14ac:dyDescent="0.15">
      <c r="A33" s="37" t="s">
        <v>60</v>
      </c>
      <c r="B33" s="36" t="s">
        <v>541</v>
      </c>
      <c r="C33" s="4">
        <v>4.3</v>
      </c>
      <c r="D33" s="4">
        <v>-255.5</v>
      </c>
      <c r="E33" s="4">
        <v>-8.1</v>
      </c>
      <c r="F33" s="4">
        <v>-5.5</v>
      </c>
      <c r="G33" s="4">
        <v>-0.6</v>
      </c>
      <c r="H33" s="6"/>
      <c r="I33" s="6" t="s">
        <v>32</v>
      </c>
      <c r="J33" s="6" t="b">
        <v>1</v>
      </c>
      <c r="K33" s="6" t="e">
        <v>#VALUE!</v>
      </c>
      <c r="L33" s="6" t="e">
        <v>#N/A</v>
      </c>
      <c r="M33" s="7" t="e">
        <v>#DIV/0!</v>
      </c>
      <c r="N33" s="7" t="e">
        <v>#NAME?</v>
      </c>
      <c r="O33" s="7" t="e">
        <v>#NULL!</v>
      </c>
      <c r="P33" s="7" t="e">
        <v>#NUM!</v>
      </c>
      <c r="Q33" s="7" t="e">
        <v>#REF!</v>
      </c>
      <c r="R33" s="6">
        <f>_xlfn.FLOOR.PRECISE(C33, 2)</f>
        <v>4</v>
      </c>
      <c r="S33" s="6">
        <f>_xlfn.FLOOR.PRECISE(D33, 1)</f>
        <v>-256</v>
      </c>
      <c r="T33" s="6">
        <f>_xlfn.FLOOR.PRECISE(E33, 3)</f>
        <v>-9</v>
      </c>
      <c r="U33" s="6">
        <f>_xlfn.FLOOR.PRECISE(F33, -1)</f>
        <v>-6</v>
      </c>
      <c r="V33" s="6">
        <f>_xlfn.FLOOR.PRECISE(G33, 2)</f>
        <v>-2</v>
      </c>
      <c r="W33" s="6">
        <f>_xlfn.FLOOR.PRECISE(H33)</f>
        <v>0</v>
      </c>
      <c r="X33" s="6" t="e" vm="59">
        <f>_xlfn.FLOOR.PRECISE(I33)</f>
        <v>#VALUE!</v>
      </c>
      <c r="Y33" s="6">
        <f>_xlfn.FLOOR.PRECISE(J33)</f>
        <v>1</v>
      </c>
      <c r="Z33" s="6" t="e">
        <f>_xlfn.FLOOR.PRECISE(K33)</f>
        <v>#VALUE!</v>
      </c>
      <c r="AA33" s="6" t="e">
        <f t="shared" ref="AA33:AF33" si="26">_xlfn.FLOOR.PRECISE(L33)</f>
        <v>#N/A</v>
      </c>
      <c r="AB33" s="6" t="e">
        <f t="shared" si="26"/>
        <v>#DIV/0!</v>
      </c>
      <c r="AC33" s="6" t="e">
        <f t="shared" si="26"/>
        <v>#NAME?</v>
      </c>
      <c r="AD33" s="6" t="e">
        <f t="shared" si="26"/>
        <v>#NULL!</v>
      </c>
      <c r="AE33" s="6" t="e">
        <f t="shared" si="26"/>
        <v>#NUM!</v>
      </c>
      <c r="AF33" s="6" t="e">
        <f t="shared" si="26"/>
        <v>#REF!</v>
      </c>
      <c r="AG33" s="8"/>
      <c r="AH33" s="6">
        <f t="array" ref="AH33:AW33">_xlfn.FLOOR.MATH(C33:P33,D33:Q33)</f>
        <v>0</v>
      </c>
      <c r="AI33" s="6">
        <v>-259.2</v>
      </c>
      <c r="AJ33" s="6">
        <v>-11</v>
      </c>
      <c r="AK33" s="6">
        <v>-6</v>
      </c>
      <c r="AL33" s="6">
        <v>0</v>
      </c>
      <c r="AM33" s="6" t="e" vm="58">
        <v>#VALUE!</v>
      </c>
      <c r="AN33" s="6" t="e" vm="58">
        <v>#VALUE!</v>
      </c>
      <c r="AO33" s="6" t="e">
        <v>#VALUE!</v>
      </c>
      <c r="AP33" s="6" t="e">
        <v>#VALUE!</v>
      </c>
      <c r="AQ33" s="6" t="e">
        <v>#N/A</v>
      </c>
      <c r="AR33" s="6" t="e">
        <v>#DIV/0!</v>
      </c>
      <c r="AS33" s="6" t="e">
        <v>#NAME?</v>
      </c>
      <c r="AT33" s="6" t="e">
        <v>#NULL!</v>
      </c>
      <c r="AU33" s="6" t="e">
        <v>#NUM!</v>
      </c>
      <c r="AV33" s="6" t="e">
        <v>#N/A</v>
      </c>
      <c r="AW33" s="4" t="e">
        <v>#N/A</v>
      </c>
    </row>
    <row r="34" spans="1:49" x14ac:dyDescent="0.15">
      <c r="A34" s="37" t="s">
        <v>61</v>
      </c>
      <c r="B34" s="36" t="s">
        <v>541</v>
      </c>
      <c r="C34" s="4">
        <v>0</v>
      </c>
      <c r="D34" s="4">
        <v>5.7</v>
      </c>
      <c r="E34" s="4">
        <v>15.7</v>
      </c>
      <c r="F34" s="4">
        <v>63</v>
      </c>
      <c r="G34" s="4">
        <v>-0.4</v>
      </c>
      <c r="H34" s="6"/>
      <c r="I34" s="6" t="s">
        <v>32</v>
      </c>
      <c r="J34" s="6" t="b">
        <v>1</v>
      </c>
      <c r="K34" s="6" t="e">
        <v>#VALUE!</v>
      </c>
      <c r="L34" s="6" t="e">
        <v>#N/A</v>
      </c>
      <c r="M34" s="7" t="e">
        <v>#DIV/0!</v>
      </c>
      <c r="N34" s="7" t="e">
        <v>#NAME?</v>
      </c>
      <c r="O34" s="7" t="e">
        <v>#NULL!</v>
      </c>
      <c r="P34" s="7" t="e">
        <v>#NUM!</v>
      </c>
      <c r="Q34" s="7" t="e">
        <v>#REF!</v>
      </c>
      <c r="R34" s="6">
        <f>GCD(C34)</f>
        <v>0</v>
      </c>
      <c r="S34" s="6">
        <f>GCD(D34)</f>
        <v>5</v>
      </c>
      <c r="T34" s="6">
        <f>GCD(E34,F34)</f>
        <v>3</v>
      </c>
      <c r="U34" s="6" t="e">
        <f>GCD(G34)</f>
        <v>#NUM!</v>
      </c>
      <c r="V34" s="6">
        <f>GCD(C34,F34,E34)</f>
        <v>3</v>
      </c>
      <c r="W34" s="6" t="e">
        <f>GCD(H34)</f>
        <v>#VALUE!</v>
      </c>
      <c r="X34" s="6" t="e">
        <f t="shared" ref="X34:AE34" si="27">GCD(I34)</f>
        <v>#VALUE!</v>
      </c>
      <c r="Y34" s="6" t="e">
        <f>GCD(G34,J34)</f>
        <v>#VALUE!</v>
      </c>
      <c r="Z34" s="6" t="e">
        <f t="shared" si="27"/>
        <v>#VALUE!</v>
      </c>
      <c r="AA34" s="6" t="e">
        <f t="shared" si="27"/>
        <v>#N/A</v>
      </c>
      <c r="AB34" s="6" t="e">
        <f t="shared" si="27"/>
        <v>#DIV/0!</v>
      </c>
      <c r="AC34" s="6" t="e">
        <f t="shared" si="27"/>
        <v>#NAME?</v>
      </c>
      <c r="AD34" s="6" t="e">
        <f t="shared" si="27"/>
        <v>#NULL!</v>
      </c>
      <c r="AE34" s="6" t="e">
        <f t="shared" si="27"/>
        <v>#NUM!</v>
      </c>
      <c r="AF34" s="6" t="e">
        <f>GCD(Q34)</f>
        <v>#REF!</v>
      </c>
      <c r="AG34" s="8"/>
      <c r="AH34" s="6">
        <f t="array" ref="AH34:AK34">GCD(C34:F34)</f>
        <v>1</v>
      </c>
      <c r="AI34" s="6">
        <v>1</v>
      </c>
      <c r="AJ34" s="6">
        <v>1</v>
      </c>
      <c r="AK34" s="6">
        <v>1</v>
      </c>
      <c r="AL34" s="6">
        <f t="array" ref="AL34:AM34">GCD(D34:E34,D34)</f>
        <v>5</v>
      </c>
      <c r="AM34" s="6">
        <v>5</v>
      </c>
      <c r="AN34" s="6">
        <f t="array" ref="AN34:AO34">GCD(C34:D34,E34:F34)</f>
        <v>1</v>
      </c>
      <c r="AO34" s="6">
        <v>1</v>
      </c>
      <c r="AP34" s="6" t="e">
        <f t="array" ref="AP34:AQ34">GCD(C34:D34,F34:G34)</f>
        <v>#NUM!</v>
      </c>
      <c r="AQ34" s="6" t="e">
        <v>#NUM!</v>
      </c>
      <c r="AR34" s="6" t="e">
        <f>GCD(G34:Q34)</f>
        <v>#VALUE!</v>
      </c>
      <c r="AS34" s="6" t="e">
        <f>GCD(N34,K34:L34)</f>
        <v>#NAME?</v>
      </c>
      <c r="AT34" s="6" t="e">
        <f>GCD(J34:M34)</f>
        <v>#VALUE!</v>
      </c>
      <c r="AU34" s="6" t="e">
        <f>GCD(P34:AC34,Q34:AD34)</f>
        <v>#NUM!</v>
      </c>
      <c r="AV34" s="6" t="e">
        <f>GCD(Q34:AD34,R34:AE34)</f>
        <v>#REF!</v>
      </c>
      <c r="AW34" s="4" t="e">
        <f>GCD(R34:AE34,S34:AF34)</f>
        <v>#NUM!</v>
      </c>
    </row>
    <row r="35" spans="1:49" x14ac:dyDescent="0.15">
      <c r="A35" s="37" t="s">
        <v>35</v>
      </c>
      <c r="B35" s="36" t="s">
        <v>541</v>
      </c>
      <c r="C35" s="4">
        <v>0</v>
      </c>
      <c r="D35" s="4">
        <v>1</v>
      </c>
      <c r="E35" s="4">
        <v>2.2999999999999998</v>
      </c>
      <c r="F35" s="4">
        <v>10</v>
      </c>
      <c r="G35" s="4">
        <v>-1</v>
      </c>
      <c r="H35" s="6"/>
      <c r="I35" s="6" t="s">
        <v>32</v>
      </c>
      <c r="J35" s="6" t="b">
        <v>1</v>
      </c>
      <c r="K35" s="6" t="e">
        <v>#VALUE!</v>
      </c>
      <c r="L35" s="6" t="e">
        <v>#N/A</v>
      </c>
      <c r="M35" s="7" t="e">
        <v>#DIV/0!</v>
      </c>
      <c r="N35" s="7" t="e">
        <v>#NAME?</v>
      </c>
      <c r="O35" s="7" t="e">
        <v>#NULL!</v>
      </c>
      <c r="P35" s="7" t="e">
        <v>#NUM!</v>
      </c>
      <c r="Q35" s="7" t="e">
        <v>#REF!</v>
      </c>
      <c r="R35" s="6">
        <f t="shared" ref="R35:AF35" si="28">INT(C35)</f>
        <v>0</v>
      </c>
      <c r="S35" s="6">
        <f t="shared" si="28"/>
        <v>1</v>
      </c>
      <c r="T35" s="6">
        <f t="shared" si="28"/>
        <v>2</v>
      </c>
      <c r="U35" s="6">
        <f t="shared" si="28"/>
        <v>10</v>
      </c>
      <c r="V35" s="6">
        <f t="shared" si="28"/>
        <v>-1</v>
      </c>
      <c r="W35" s="6">
        <f t="shared" si="28"/>
        <v>0</v>
      </c>
      <c r="X35" s="6" t="e" vm="60">
        <f t="shared" si="28"/>
        <v>#VALUE!</v>
      </c>
      <c r="Y35" s="6">
        <f t="shared" si="28"/>
        <v>1</v>
      </c>
      <c r="Z35" s="6" t="e">
        <f t="shared" si="28"/>
        <v>#VALUE!</v>
      </c>
      <c r="AA35" s="6" t="e">
        <f t="shared" si="28"/>
        <v>#N/A</v>
      </c>
      <c r="AB35" s="6" t="e">
        <f t="shared" si="28"/>
        <v>#DIV/0!</v>
      </c>
      <c r="AC35" s="6" t="e">
        <f t="shared" si="28"/>
        <v>#NAME?</v>
      </c>
      <c r="AD35" s="6" t="e">
        <f t="shared" si="28"/>
        <v>#NULL!</v>
      </c>
      <c r="AE35" s="6" t="e">
        <f t="shared" si="28"/>
        <v>#NUM!</v>
      </c>
      <c r="AF35" s="6" t="e">
        <f t="shared" si="28"/>
        <v>#REF!</v>
      </c>
      <c r="AG35" s="8"/>
      <c r="AH35" s="6">
        <f t="array" ref="AH35:AW35">INT(C35:Q35)</f>
        <v>0</v>
      </c>
      <c r="AI35" s="6">
        <v>1</v>
      </c>
      <c r="AJ35" s="6">
        <v>2</v>
      </c>
      <c r="AK35" s="6">
        <v>10</v>
      </c>
      <c r="AL35" s="6">
        <v>-1</v>
      </c>
      <c r="AM35" s="6">
        <v>0</v>
      </c>
      <c r="AN35" s="6" t="e" vm="60">
        <v>#VALUE!</v>
      </c>
      <c r="AO35" s="6">
        <v>1</v>
      </c>
      <c r="AP35" s="6" t="e">
        <v>#VALUE!</v>
      </c>
      <c r="AQ35" s="6" t="e">
        <v>#N/A</v>
      </c>
      <c r="AR35" s="6" t="e">
        <v>#DIV/0!</v>
      </c>
      <c r="AS35" s="6" t="e">
        <v>#NAME?</v>
      </c>
      <c r="AT35" s="6" t="e">
        <v>#NULL!</v>
      </c>
      <c r="AU35" s="6" t="e">
        <v>#NUM!</v>
      </c>
      <c r="AV35" s="6" t="e">
        <v>#REF!</v>
      </c>
      <c r="AW35" s="4" t="e">
        <v>#N/A</v>
      </c>
    </row>
    <row r="36" spans="1:49" x14ac:dyDescent="0.15">
      <c r="A36" s="37" t="s">
        <v>62</v>
      </c>
      <c r="B36" s="36" t="s">
        <v>541</v>
      </c>
      <c r="C36" s="4">
        <v>2.5</v>
      </c>
      <c r="D36" s="4">
        <v>-255.5</v>
      </c>
      <c r="E36" s="4">
        <v>-2.5</v>
      </c>
      <c r="F36" s="4">
        <v>5</v>
      </c>
      <c r="G36" s="4">
        <v>0.23400000000000001</v>
      </c>
      <c r="H36" s="6"/>
      <c r="I36" s="6" t="s">
        <v>32</v>
      </c>
      <c r="J36" s="6" t="b">
        <v>1</v>
      </c>
      <c r="K36" s="6" t="e">
        <v>#VALUE!</v>
      </c>
      <c r="L36" s="6" t="e">
        <v>#N/A</v>
      </c>
      <c r="M36" s="7" t="e">
        <v>#DIV/0!</v>
      </c>
      <c r="N36" s="7" t="e">
        <v>#NAME?</v>
      </c>
      <c r="O36" s="7" t="e">
        <v>#NULL!</v>
      </c>
      <c r="P36" s="7" t="e">
        <v>#NUM!</v>
      </c>
      <c r="Q36" s="7" t="e">
        <v>#REF!</v>
      </c>
      <c r="R36" s="6">
        <f>ISO.CEILING(C36,1.3)</f>
        <v>2.6</v>
      </c>
      <c r="S36" s="6">
        <f>ISO.CEILING(D36,-2.2)</f>
        <v>-255.20000000000002</v>
      </c>
      <c r="T36" s="6">
        <f>ISO.CEILING(E36,2.3)</f>
        <v>-2.2999999999999998</v>
      </c>
      <c r="U36" s="6">
        <f>ISO.CEILING(F36,0)</f>
        <v>0</v>
      </c>
      <c r="V36" s="6">
        <f>ISO.CEILING(G36,0.01)</f>
        <v>0.24</v>
      </c>
      <c r="W36" s="6">
        <f>ISO.CEILING(H36,-2)</f>
        <v>0</v>
      </c>
      <c r="X36" s="6" t="e" vm="61">
        <f>ISO.CEILING(I36,0)</f>
        <v>#VALUE!</v>
      </c>
      <c r="Y36" s="6">
        <f>ISO.CEILING(J36,0)</f>
        <v>0</v>
      </c>
      <c r="Z36" s="6" t="e">
        <f t="shared" ref="Z36:AF36" si="29">ISO.CEILING(2.3,K36)</f>
        <v>#VALUE!</v>
      </c>
      <c r="AA36" s="6" t="e">
        <f t="shared" si="29"/>
        <v>#N/A</v>
      </c>
      <c r="AB36" s="6" t="e">
        <f t="shared" si="29"/>
        <v>#DIV/0!</v>
      </c>
      <c r="AC36" s="6" t="e">
        <f t="shared" si="29"/>
        <v>#NAME?</v>
      </c>
      <c r="AD36" s="6" t="e">
        <f t="shared" si="29"/>
        <v>#NULL!</v>
      </c>
      <c r="AE36" s="6" t="e">
        <f t="shared" si="29"/>
        <v>#NUM!</v>
      </c>
      <c r="AF36" s="6" t="e">
        <f t="shared" si="29"/>
        <v>#REF!</v>
      </c>
      <c r="AG36" s="8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9" x14ac:dyDescent="0.15">
      <c r="A37" s="37" t="s">
        <v>63</v>
      </c>
      <c r="B37" s="36" t="s">
        <v>541</v>
      </c>
      <c r="C37" s="4">
        <v>0</v>
      </c>
      <c r="D37" s="4">
        <v>5.7</v>
      </c>
      <c r="E37" s="4">
        <v>15.7</v>
      </c>
      <c r="F37" s="4">
        <v>63</v>
      </c>
      <c r="G37" s="4">
        <v>-0.4</v>
      </c>
      <c r="H37" s="6"/>
      <c r="I37" s="6" t="s">
        <v>32</v>
      </c>
      <c r="J37" s="6" t="b">
        <v>1</v>
      </c>
      <c r="K37" s="6" t="e">
        <v>#VALUE!</v>
      </c>
      <c r="L37" s="6" t="e">
        <v>#N/A</v>
      </c>
      <c r="M37" s="7" t="e">
        <v>#DIV/0!</v>
      </c>
      <c r="N37" s="7" t="e">
        <v>#NAME?</v>
      </c>
      <c r="O37" s="7" t="e">
        <v>#NULL!</v>
      </c>
      <c r="P37" s="7" t="e">
        <v>#NUM!</v>
      </c>
      <c r="Q37" s="7" t="e">
        <v>#REF!</v>
      </c>
      <c r="R37" s="6">
        <f>LCM(C37)</f>
        <v>0</v>
      </c>
      <c r="S37" s="6">
        <f>LCM(D37)</f>
        <v>5</v>
      </c>
      <c r="T37" s="6">
        <f>LCM(E37,F37)</f>
        <v>315</v>
      </c>
      <c r="U37" s="6" t="e">
        <f>LCM(G37)</f>
        <v>#NUM!</v>
      </c>
      <c r="V37" s="6">
        <f>LCM(C37,F37,E37)</f>
        <v>0</v>
      </c>
      <c r="W37" s="6" t="e">
        <f>LCM(H37)</f>
        <v>#VALUE!</v>
      </c>
      <c r="X37" s="6" t="e">
        <f>LCM(I37)</f>
        <v>#VALUE!</v>
      </c>
      <c r="Y37" s="6" t="e">
        <f>LCM(G37,J37)</f>
        <v>#VALUE!</v>
      </c>
      <c r="Z37" s="6" t="e">
        <f t="shared" ref="Z37:AF37" si="30">LCM(K37)</f>
        <v>#VALUE!</v>
      </c>
      <c r="AA37" s="6" t="e">
        <f t="shared" si="30"/>
        <v>#N/A</v>
      </c>
      <c r="AB37" s="6" t="e">
        <f t="shared" si="30"/>
        <v>#DIV/0!</v>
      </c>
      <c r="AC37" s="6" t="e">
        <f t="shared" si="30"/>
        <v>#NAME?</v>
      </c>
      <c r="AD37" s="6" t="e">
        <f t="shared" si="30"/>
        <v>#NULL!</v>
      </c>
      <c r="AE37" s="6" t="e">
        <f t="shared" si="30"/>
        <v>#NUM!</v>
      </c>
      <c r="AF37" s="6" t="e">
        <f t="shared" si="30"/>
        <v>#REF!</v>
      </c>
      <c r="AG37" s="8"/>
      <c r="AH37" s="6">
        <f t="array" ref="AH37:AK37">LCM(C37:F37)</f>
        <v>0</v>
      </c>
      <c r="AI37" s="6">
        <v>0</v>
      </c>
      <c r="AJ37" s="6">
        <v>0</v>
      </c>
      <c r="AK37" s="6">
        <v>0</v>
      </c>
      <c r="AL37" s="6">
        <f t="array" ref="AL37:AM37">LCM(D37:E37,D37)</f>
        <v>15</v>
      </c>
      <c r="AM37" s="6">
        <v>15</v>
      </c>
      <c r="AN37" s="6">
        <f t="array" ref="AN37:AO37">LCM(C37:D37,E37:F37)</f>
        <v>0</v>
      </c>
      <c r="AO37" s="6">
        <v>0</v>
      </c>
      <c r="AP37" s="6" t="e">
        <f t="array" ref="AP37:AW37">LCM(C34:D34,F34:G34)</f>
        <v>#NUM!</v>
      </c>
      <c r="AQ37" s="6" t="e">
        <v>#NUM!</v>
      </c>
      <c r="AR37" s="6" t="e">
        <v>#NUM!</v>
      </c>
      <c r="AS37" s="6" t="e">
        <v>#NUM!</v>
      </c>
      <c r="AT37" s="6" t="e">
        <v>#NUM!</v>
      </c>
      <c r="AU37" s="6" t="e">
        <v>#NUM!</v>
      </c>
      <c r="AV37" s="6" t="e">
        <v>#NUM!</v>
      </c>
      <c r="AW37" s="4" t="e">
        <v>#NUM!</v>
      </c>
    </row>
    <row r="38" spans="1:49" x14ac:dyDescent="0.15">
      <c r="A38" s="37" t="s">
        <v>1</v>
      </c>
      <c r="B38" s="36" t="s">
        <v>541</v>
      </c>
      <c r="C38" s="4">
        <v>0</v>
      </c>
      <c r="D38" s="4">
        <v>1</v>
      </c>
      <c r="E38" s="4">
        <v>2.2999999999999998</v>
      </c>
      <c r="F38" s="4">
        <v>10</v>
      </c>
      <c r="G38" s="4">
        <v>-1</v>
      </c>
      <c r="H38" s="6"/>
      <c r="I38" s="6" t="s">
        <v>32</v>
      </c>
      <c r="J38" s="6" t="b">
        <v>1</v>
      </c>
      <c r="K38" s="6" t="e">
        <v>#VALUE!</v>
      </c>
      <c r="L38" s="6" t="e">
        <v>#N/A</v>
      </c>
      <c r="M38" s="7" t="e">
        <v>#DIV/0!</v>
      </c>
      <c r="N38" s="7" t="e">
        <v>#NAME?</v>
      </c>
      <c r="O38" s="7" t="e">
        <v>#NULL!</v>
      </c>
      <c r="P38" s="7" t="e">
        <v>#NUM!</v>
      </c>
      <c r="Q38" s="7" t="e">
        <v>#REF!</v>
      </c>
      <c r="R38" s="6" t="e">
        <f t="shared" ref="R38:AF38" si="31">LN(C38)</f>
        <v>#NUM!</v>
      </c>
      <c r="S38" s="6">
        <f t="shared" si="31"/>
        <v>0</v>
      </c>
      <c r="T38" s="6">
        <f t="shared" si="31"/>
        <v>0.83290912293510388</v>
      </c>
      <c r="U38" s="6">
        <f t="shared" si="31"/>
        <v>2.3025850929940459</v>
      </c>
      <c r="V38" s="6" t="e">
        <f t="shared" si="31"/>
        <v>#NUM!</v>
      </c>
      <c r="W38" s="6" t="e">
        <f t="shared" si="31"/>
        <v>#NUM!</v>
      </c>
      <c r="X38" s="6" t="e" vm="62">
        <f t="shared" si="31"/>
        <v>#VALUE!</v>
      </c>
      <c r="Y38" s="6">
        <f t="shared" si="31"/>
        <v>0</v>
      </c>
      <c r="Z38" s="6" t="e">
        <f t="shared" si="31"/>
        <v>#VALUE!</v>
      </c>
      <c r="AA38" s="6" t="e">
        <f t="shared" si="31"/>
        <v>#N/A</v>
      </c>
      <c r="AB38" s="6" t="e">
        <f t="shared" si="31"/>
        <v>#DIV/0!</v>
      </c>
      <c r="AC38" s="6" t="e">
        <f t="shared" si="31"/>
        <v>#NAME?</v>
      </c>
      <c r="AD38" s="6" t="e">
        <f t="shared" si="31"/>
        <v>#NULL!</v>
      </c>
      <c r="AE38" s="6" t="e">
        <f t="shared" si="31"/>
        <v>#NUM!</v>
      </c>
      <c r="AF38" s="6" t="e">
        <f t="shared" si="31"/>
        <v>#REF!</v>
      </c>
      <c r="AG38" s="8"/>
      <c r="AH38" s="6" t="e">
        <f t="array" ref="AH38:AW38">LN(C38:Q38)</f>
        <v>#NUM!</v>
      </c>
      <c r="AI38" s="6">
        <v>0</v>
      </c>
      <c r="AJ38" s="6">
        <v>0.83290912293510388</v>
      </c>
      <c r="AK38" s="6">
        <v>2.3025850929940459</v>
      </c>
      <c r="AL38" s="6" t="e">
        <v>#NUM!</v>
      </c>
      <c r="AM38" s="6" t="e">
        <v>#NUM!</v>
      </c>
      <c r="AN38" s="6" t="e" vm="62">
        <v>#VALUE!</v>
      </c>
      <c r="AO38" s="6">
        <v>0</v>
      </c>
      <c r="AP38" s="6" t="e">
        <v>#VALUE!</v>
      </c>
      <c r="AQ38" s="6" t="e">
        <v>#N/A</v>
      </c>
      <c r="AR38" s="6" t="e">
        <v>#DIV/0!</v>
      </c>
      <c r="AS38" s="6" t="e">
        <v>#NAME?</v>
      </c>
      <c r="AT38" s="6" t="e">
        <v>#NULL!</v>
      </c>
      <c r="AU38" s="6" t="e">
        <v>#NUM!</v>
      </c>
      <c r="AV38" s="6" t="e">
        <v>#REF!</v>
      </c>
      <c r="AW38" s="4" t="e">
        <v>#N/A</v>
      </c>
    </row>
    <row r="39" spans="1:49" x14ac:dyDescent="0.15">
      <c r="A39" s="37" t="s">
        <v>2</v>
      </c>
      <c r="B39" s="36" t="s">
        <v>541</v>
      </c>
      <c r="C39" s="4">
        <v>0</v>
      </c>
      <c r="D39" s="4">
        <v>1</v>
      </c>
      <c r="E39" s="4">
        <v>2.2999999999999998</v>
      </c>
      <c r="F39" s="4">
        <v>10</v>
      </c>
      <c r="G39" s="4">
        <v>-1</v>
      </c>
      <c r="H39" s="6"/>
      <c r="I39" s="6" t="s">
        <v>32</v>
      </c>
      <c r="J39" s="6" t="b">
        <v>1</v>
      </c>
      <c r="K39" s="6" t="e">
        <v>#VALUE!</v>
      </c>
      <c r="L39" s="6" t="e">
        <v>#N/A</v>
      </c>
      <c r="M39" s="7" t="e">
        <v>#DIV/0!</v>
      </c>
      <c r="N39" s="7" t="e">
        <v>#NAME?</v>
      </c>
      <c r="O39" s="7" t="e">
        <v>#NULL!</v>
      </c>
      <c r="P39" s="7" t="e">
        <v>#NUM!</v>
      </c>
      <c r="Q39" s="7" t="e">
        <v>#REF!</v>
      </c>
      <c r="R39" s="6" t="e">
        <f>LOG(C39,3)</f>
        <v>#NUM!</v>
      </c>
      <c r="S39" s="6">
        <f>LOG(D39,3)</f>
        <v>0</v>
      </c>
      <c r="T39" s="6" t="e">
        <f>LOG(E39,0)</f>
        <v>#NUM!</v>
      </c>
      <c r="U39" s="6">
        <f>LOG(F39,3)</f>
        <v>2.0959032742893848</v>
      </c>
      <c r="V39" s="6" t="e">
        <f>LOG(G39,3)</f>
        <v>#NUM!</v>
      </c>
      <c r="W39" s="6" t="e">
        <f>LOG(H39,3)</f>
        <v>#NUM!</v>
      </c>
      <c r="X39" s="6" t="e" vm="63">
        <f>LOG(I39,3)</f>
        <v>#VALUE!</v>
      </c>
      <c r="Y39" s="6">
        <f>LOG(J39,3)</f>
        <v>0</v>
      </c>
      <c r="Z39" s="6" t="e">
        <f t="shared" ref="Z39:AF39" si="32">LOG(K39,3)</f>
        <v>#VALUE!</v>
      </c>
      <c r="AA39" s="6" t="e">
        <f t="shared" si="32"/>
        <v>#N/A</v>
      </c>
      <c r="AB39" s="6" t="e">
        <f t="shared" si="32"/>
        <v>#DIV/0!</v>
      </c>
      <c r="AC39" s="6" t="e">
        <f t="shared" si="32"/>
        <v>#NAME?</v>
      </c>
      <c r="AD39" s="6" t="e">
        <f t="shared" si="32"/>
        <v>#NULL!</v>
      </c>
      <c r="AE39" s="6" t="e">
        <f t="shared" si="32"/>
        <v>#NUM!</v>
      </c>
      <c r="AF39" s="6" t="e">
        <f t="shared" si="32"/>
        <v>#REF!</v>
      </c>
      <c r="AG39" s="8"/>
      <c r="AH39" s="6" t="e">
        <f t="array" ref="AH39:AW39">LOG(C39:P39,D39:Q39)</f>
        <v>#NUM!</v>
      </c>
      <c r="AI39" s="6">
        <v>0</v>
      </c>
      <c r="AJ39" s="6">
        <v>0.36172783601759279</v>
      </c>
      <c r="AK39" s="6" t="e">
        <v>#NUM!</v>
      </c>
      <c r="AL39" s="6" t="e">
        <v>#NUM!</v>
      </c>
      <c r="AM39" s="6" t="e" vm="63">
        <v>#VALUE!</v>
      </c>
      <c r="AN39" s="6" t="e" vm="63">
        <v>#VALUE!</v>
      </c>
      <c r="AO39" s="6" t="e">
        <v>#VALUE!</v>
      </c>
      <c r="AP39" s="6" t="e">
        <v>#VALUE!</v>
      </c>
      <c r="AQ39" s="6" t="e">
        <v>#N/A</v>
      </c>
      <c r="AR39" s="6" t="e">
        <v>#DIV/0!</v>
      </c>
      <c r="AS39" s="6" t="e">
        <v>#NAME?</v>
      </c>
      <c r="AT39" s="6" t="e">
        <v>#NULL!</v>
      </c>
      <c r="AU39" s="6" t="e">
        <v>#NUM!</v>
      </c>
      <c r="AV39" s="6" t="e">
        <v>#N/A</v>
      </c>
      <c r="AW39" s="4" t="e">
        <v>#N/A</v>
      </c>
    </row>
    <row r="40" spans="1:49" x14ac:dyDescent="0.15">
      <c r="A40" s="37" t="s">
        <v>64</v>
      </c>
      <c r="B40" s="36" t="s">
        <v>541</v>
      </c>
      <c r="C40" s="4">
        <v>0</v>
      </c>
      <c r="D40" s="4">
        <v>1</v>
      </c>
      <c r="E40" s="4">
        <v>2.2999999999999998</v>
      </c>
      <c r="F40" s="4">
        <v>10</v>
      </c>
      <c r="G40" s="4">
        <v>-1</v>
      </c>
      <c r="H40" s="6"/>
      <c r="I40" s="6" t="s">
        <v>32</v>
      </c>
      <c r="J40" s="6" t="b">
        <v>1</v>
      </c>
      <c r="K40" s="6" t="e">
        <v>#VALUE!</v>
      </c>
      <c r="L40" s="6" t="e">
        <v>#N/A</v>
      </c>
      <c r="M40" s="7" t="e">
        <v>#DIV/0!</v>
      </c>
      <c r="N40" s="7" t="e">
        <v>#NAME?</v>
      </c>
      <c r="O40" s="7" t="e">
        <v>#NULL!</v>
      </c>
      <c r="P40" s="7" t="e">
        <v>#NUM!</v>
      </c>
      <c r="Q40" s="7" t="e">
        <v>#REF!</v>
      </c>
      <c r="R40" s="6" t="e">
        <f t="shared" ref="R40:Y40" si="33">LOG10(C40)</f>
        <v>#NUM!</v>
      </c>
      <c r="S40" s="6">
        <f t="shared" si="33"/>
        <v>0</v>
      </c>
      <c r="T40" s="6">
        <f t="shared" si="33"/>
        <v>0.36172783601759284</v>
      </c>
      <c r="U40" s="6">
        <f t="shared" si="33"/>
        <v>1</v>
      </c>
      <c r="V40" s="6" t="e">
        <f t="shared" si="33"/>
        <v>#NUM!</v>
      </c>
      <c r="W40" s="6" t="e">
        <f t="shared" si="33"/>
        <v>#NUM!</v>
      </c>
      <c r="X40" s="6" t="e" vm="64">
        <f t="shared" si="33"/>
        <v>#VALUE!</v>
      </c>
      <c r="Y40" s="6">
        <f t="shared" si="33"/>
        <v>0</v>
      </c>
      <c r="Z40" s="6" t="e">
        <f t="shared" ref="Z40:AF40" si="34">LOG10(K40)</f>
        <v>#VALUE!</v>
      </c>
      <c r="AA40" s="6" t="e">
        <f t="shared" si="34"/>
        <v>#N/A</v>
      </c>
      <c r="AB40" s="6" t="e">
        <f t="shared" si="34"/>
        <v>#DIV/0!</v>
      </c>
      <c r="AC40" s="6" t="e">
        <f t="shared" si="34"/>
        <v>#NAME?</v>
      </c>
      <c r="AD40" s="6" t="e">
        <f t="shared" si="34"/>
        <v>#NULL!</v>
      </c>
      <c r="AE40" s="6" t="e">
        <f t="shared" si="34"/>
        <v>#NUM!</v>
      </c>
      <c r="AF40" s="6" t="e">
        <f t="shared" si="34"/>
        <v>#REF!</v>
      </c>
      <c r="AG40" s="8"/>
      <c r="AH40" s="6" t="e">
        <f t="array" ref="AH40:AW40">LOG10(C40:Q40)</f>
        <v>#NUM!</v>
      </c>
      <c r="AI40" s="6">
        <v>0</v>
      </c>
      <c r="AJ40" s="6">
        <v>0.36172783601759284</v>
      </c>
      <c r="AK40" s="6">
        <v>1</v>
      </c>
      <c r="AL40" s="6" t="e">
        <v>#NUM!</v>
      </c>
      <c r="AM40" s="6" t="e">
        <v>#NUM!</v>
      </c>
      <c r="AN40" s="6" t="e" vm="64">
        <v>#VALUE!</v>
      </c>
      <c r="AO40" s="6">
        <v>0</v>
      </c>
      <c r="AP40" s="6" t="e">
        <v>#VALUE!</v>
      </c>
      <c r="AQ40" s="6" t="e">
        <v>#N/A</v>
      </c>
      <c r="AR40" s="6" t="e">
        <v>#DIV/0!</v>
      </c>
      <c r="AS40" s="6" t="e">
        <v>#NAME?</v>
      </c>
      <c r="AT40" s="6" t="e">
        <v>#NULL!</v>
      </c>
      <c r="AU40" s="6" t="e">
        <v>#NUM!</v>
      </c>
      <c r="AV40" s="6" t="e">
        <v>#REF!</v>
      </c>
      <c r="AW40" s="4" t="e">
        <v>#N/A</v>
      </c>
    </row>
    <row r="41" spans="1:49" x14ac:dyDescent="0.15">
      <c r="A41" s="37" t="s">
        <v>65</v>
      </c>
      <c r="B41" s="36" t="s">
        <v>541</v>
      </c>
      <c r="C41" s="4">
        <v>1</v>
      </c>
      <c r="D41" s="4">
        <v>1</v>
      </c>
      <c r="E41" s="4">
        <v>2.2999999999999998</v>
      </c>
      <c r="F41" s="4">
        <v>10</v>
      </c>
      <c r="G41" s="4">
        <v>-1</v>
      </c>
      <c r="H41" s="6"/>
      <c r="I41" s="6" t="s">
        <v>32</v>
      </c>
      <c r="J41" s="6" t="b">
        <v>1</v>
      </c>
      <c r="K41" s="6" t="e">
        <v>#VALUE!</v>
      </c>
      <c r="L41" s="6" t="e">
        <v>#N/A</v>
      </c>
      <c r="M41" s="7" t="e">
        <v>#DIV/0!</v>
      </c>
      <c r="N41" s="7" t="e">
        <v>#NAME?</v>
      </c>
      <c r="O41" s="7" t="e">
        <v>#NULL!</v>
      </c>
      <c r="P41" s="7" t="e">
        <v>#NUM!</v>
      </c>
      <c r="Q41" s="7" t="e">
        <v>#REF!</v>
      </c>
      <c r="R41" s="6">
        <f>MDETERM(C41:D42)</f>
        <v>0</v>
      </c>
      <c r="S41" s="6">
        <f>MDETERM(D41:E42)</f>
        <v>0</v>
      </c>
      <c r="T41" s="6">
        <f t="shared" ref="T41:AF41" si="35">MDETERM(E41:F42)</f>
        <v>0</v>
      </c>
      <c r="U41" s="6">
        <f t="shared" si="35"/>
        <v>0</v>
      </c>
      <c r="V41" s="6" t="e">
        <f t="shared" si="35"/>
        <v>#VALUE!</v>
      </c>
      <c r="W41" s="6" t="e">
        <f t="shared" si="35"/>
        <v>#VALUE!</v>
      </c>
      <c r="X41" s="6" t="e">
        <f t="shared" si="35"/>
        <v>#VALUE!</v>
      </c>
      <c r="Y41" s="6" t="e">
        <f t="shared" si="35"/>
        <v>#VALUE!</v>
      </c>
      <c r="Z41" s="6" t="e">
        <f t="shared" si="35"/>
        <v>#VALUE!</v>
      </c>
      <c r="AA41" s="6" t="e">
        <f t="shared" si="35"/>
        <v>#N/A</v>
      </c>
      <c r="AB41" s="6" t="e">
        <f t="shared" si="35"/>
        <v>#DIV/0!</v>
      </c>
      <c r="AC41" s="6" t="e">
        <f t="shared" si="35"/>
        <v>#NAME?</v>
      </c>
      <c r="AD41" s="6" t="e">
        <f t="shared" si="35"/>
        <v>#NULL!</v>
      </c>
      <c r="AE41" s="6" t="e">
        <f t="shared" si="35"/>
        <v>#NUM!</v>
      </c>
      <c r="AF41" s="6" t="e">
        <f t="shared" si="35"/>
        <v>#REF!</v>
      </c>
      <c r="AG41" s="8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9" x14ac:dyDescent="0.15">
      <c r="A42" s="37" t="s">
        <v>66</v>
      </c>
      <c r="B42" s="36" t="s">
        <v>541</v>
      </c>
      <c r="C42" s="4">
        <v>1</v>
      </c>
      <c r="D42" s="4">
        <v>1</v>
      </c>
      <c r="E42" s="4">
        <v>2.2999999999999998</v>
      </c>
      <c r="F42" s="4">
        <v>10</v>
      </c>
      <c r="G42" s="4">
        <v>-1</v>
      </c>
      <c r="H42" s="6"/>
      <c r="I42" s="6" t="s">
        <v>32</v>
      </c>
      <c r="J42" s="6" t="b">
        <v>1</v>
      </c>
      <c r="K42" s="6" t="e">
        <v>#VALUE!</v>
      </c>
      <c r="L42" s="6" t="e">
        <v>#N/A</v>
      </c>
      <c r="M42" s="7" t="e">
        <v>#DIV/0!</v>
      </c>
      <c r="N42" s="7" t="e">
        <v>#NAME?</v>
      </c>
      <c r="O42" s="7" t="e">
        <v>#NULL!</v>
      </c>
      <c r="P42" s="7" t="e">
        <v>#NUM!</v>
      </c>
      <c r="Q42" s="7" t="e">
        <v>#REF!</v>
      </c>
      <c r="R42" s="6">
        <f t="array" ref="R42">MINVERSE(C42:D43)</f>
        <v>1</v>
      </c>
      <c r="S42" s="6"/>
      <c r="T42" s="6" t="e" cm="1">
        <f t="array" ref="T42">MINVERSE(E42:F43)</f>
        <v>#NUM!</v>
      </c>
      <c r="U42" s="6" t="e" cm="1">
        <f t="array" ref="U42">MINVERSE(F42:G43)</f>
        <v>#NUM!</v>
      </c>
      <c r="V42" s="6" t="e">
        <f>SUM(MINVERSE({1,1;1,1}))</f>
        <v>#NUM!</v>
      </c>
      <c r="W42" s="6" t="e" cm="1">
        <f t="array" ref="W42">MINVERSE({1,3,8,5;1,3,6,1})</f>
        <v>#VALUE!</v>
      </c>
      <c r="X42" s="6" t="e" cm="1">
        <f t="array" ref="X42">MINVERSE(F42:G43)</f>
        <v>#NUM!</v>
      </c>
      <c r="Y42" s="6" t="e" cm="1">
        <f t="array" ref="Y42">MINVERSE(G42:H43)</f>
        <v>#VALUE!</v>
      </c>
      <c r="Z42" s="6" t="e" cm="1">
        <f t="array" ref="Z42">MINVERSE(H42:I43)</f>
        <v>#VALUE!</v>
      </c>
      <c r="AA42" s="6" t="e" cm="1">
        <f t="array" ref="AA42">MINVERSE(I42:J43)</f>
        <v>#VALUE!</v>
      </c>
      <c r="AB42" s="6" t="e" cm="1">
        <f t="array" ref="AB42">MINVERSE(J42:K43)</f>
        <v>#VALUE!</v>
      </c>
      <c r="AC42" s="6" t="e" cm="1">
        <f t="array" ref="AC42">MINVERSE(K42:L43)</f>
        <v>#VALUE!</v>
      </c>
      <c r="AD42" s="6" t="e" cm="1">
        <f t="array" ref="AD42">MINVERSE(L42:M43)</f>
        <v>#N/A</v>
      </c>
      <c r="AE42" s="6" t="e" cm="1">
        <f t="array" ref="AE42">MINVERSE(M42:N43)</f>
        <v>#DIV/0!</v>
      </c>
      <c r="AF42" s="6" t="e" cm="1">
        <f t="array" ref="AF42">MINVERSE(N42:O43)</f>
        <v>#NAME?</v>
      </c>
      <c r="AG42" s="8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9" x14ac:dyDescent="0.15">
      <c r="A43" s="37" t="s">
        <v>67</v>
      </c>
      <c r="B43" s="36" t="s">
        <v>541</v>
      </c>
      <c r="C43" s="4">
        <v>0</v>
      </c>
      <c r="D43" s="4">
        <v>1</v>
      </c>
      <c r="E43" s="4">
        <v>2.2999999999999998</v>
      </c>
      <c r="F43" s="4">
        <v>10</v>
      </c>
      <c r="G43" s="4">
        <v>-1</v>
      </c>
      <c r="H43" s="6"/>
      <c r="I43" s="6" t="s">
        <v>32</v>
      </c>
      <c r="J43" s="6" t="b">
        <v>1</v>
      </c>
      <c r="K43" s="6" t="e">
        <v>#VALUE!</v>
      </c>
      <c r="L43" s="6" t="e">
        <v>#N/A</v>
      </c>
      <c r="M43" s="7" t="e">
        <v>#DIV/0!</v>
      </c>
      <c r="N43" s="7" t="e">
        <v>#NAME?</v>
      </c>
      <c r="O43" s="7" t="e">
        <v>#NULL!</v>
      </c>
      <c r="P43" s="7" t="e">
        <v>#NUM!</v>
      </c>
      <c r="Q43" s="7" t="e">
        <v>#REF!</v>
      </c>
      <c r="R43" s="6" t="e" cm="1">
        <f t="array" ref="R43">MMULT(C43:D44,E43:F43)</f>
        <v>#VALUE!</v>
      </c>
      <c r="S43" s="6">
        <f t="array" ref="S43">MMULT(D43:E44,F43:F44)</f>
        <v>33</v>
      </c>
      <c r="T43" s="6" cm="1">
        <f t="array" ref="T43">MMULT(E43:F43,G43:G44)</f>
        <v>-32.299999999999997</v>
      </c>
      <c r="U43" s="6" t="e" cm="1">
        <f t="array" ref="U43">MMULT(F43:G43,H43:H44)</f>
        <v>#VALUE!</v>
      </c>
      <c r="V43" s="6" t="e" cm="1">
        <f t="array" ref="V43">MMULT(G43:H43,I43:I44)</f>
        <v>#VALUE!</v>
      </c>
      <c r="W43" s="6" t="e" cm="1">
        <f t="array" ref="W43">MMULT(H43:I43,J43:J44)</f>
        <v>#VALUE!</v>
      </c>
      <c r="X43" s="6" t="e" cm="1">
        <f t="array" ref="X43">MMULT(I43:J43,K43:K44)</f>
        <v>#VALUE!</v>
      </c>
      <c r="Y43" s="6" t="e" cm="1">
        <f t="array" ref="Y43">MMULT(J43:K43,L43:L44)</f>
        <v>#VALUE!</v>
      </c>
      <c r="Z43" s="6" t="e" cm="1">
        <f t="array" ref="Z43">MMULT(K43:L43,M43:M44)</f>
        <v>#VALUE!</v>
      </c>
      <c r="AA43" s="6" t="e" cm="1">
        <f t="array" ref="AA43">MMULT(L43:M43,N43:N44)</f>
        <v>#N/A</v>
      </c>
      <c r="AB43" s="6" t="e" cm="1">
        <f t="array" ref="AB43">MMULT(M43:N43,O43:O44)</f>
        <v>#DIV/0!</v>
      </c>
      <c r="AC43" s="6" t="e" cm="1">
        <f t="array" ref="AC43">MMULT(N43:O43,P43:P44)</f>
        <v>#NAME?</v>
      </c>
      <c r="AD43" s="6" t="e" cm="1">
        <f t="array" ref="AD43">MMULT(O43:P43,Q43:Q44)</f>
        <v>#NULL!</v>
      </c>
      <c r="AE43" s="6" t="e" cm="1">
        <f t="array" ref="AE43">MMULT(P43:Q43,R43:R44)</f>
        <v>#NUM!</v>
      </c>
      <c r="AF43" s="6" t="e" cm="1">
        <f t="array" ref="AF43">MMULT(Q43:R43,S43:S44)</f>
        <v>#REF!</v>
      </c>
      <c r="AG43" s="6" cm="1">
        <f t="array" ref="AG43">MMULT(E43:G43,G43:G45)</f>
        <v>-32.533999999999999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9" x14ac:dyDescent="0.15">
      <c r="A44" s="37" t="s">
        <v>23</v>
      </c>
      <c r="B44" s="36" t="s">
        <v>541</v>
      </c>
      <c r="C44" s="4">
        <v>0</v>
      </c>
      <c r="D44" s="4">
        <v>1</v>
      </c>
      <c r="E44" s="4">
        <v>-2.2000000000000002</v>
      </c>
      <c r="F44" s="4">
        <v>10</v>
      </c>
      <c r="G44" s="4">
        <v>-3</v>
      </c>
      <c r="H44" s="6"/>
      <c r="I44" s="6" t="s">
        <v>32</v>
      </c>
      <c r="J44" s="6" t="b">
        <v>1</v>
      </c>
      <c r="K44" s="6" t="e">
        <v>#VALUE!</v>
      </c>
      <c r="L44" s="6" t="e">
        <v>#N/A</v>
      </c>
      <c r="M44" s="7" t="e">
        <v>#DIV/0!</v>
      </c>
      <c r="N44" s="7" t="e">
        <v>#NAME?</v>
      </c>
      <c r="O44" s="7" t="e">
        <v>#NULL!</v>
      </c>
      <c r="P44" s="7" t="e">
        <v>#NUM!</v>
      </c>
      <c r="Q44" s="7" t="e">
        <v>#REF!</v>
      </c>
      <c r="R44" s="6" t="e">
        <f>MOD(D44,C44)</f>
        <v>#DIV/0!</v>
      </c>
      <c r="S44" s="6">
        <f>MOD(C44,D44)</f>
        <v>0</v>
      </c>
      <c r="T44" s="6">
        <f>MOD(E44,D44)</f>
        <v>0.79999999999999982</v>
      </c>
      <c r="U44" s="6">
        <f>MOD(G44,F44)</f>
        <v>7</v>
      </c>
      <c r="V44" s="6">
        <f>MOD(C44,G44)</f>
        <v>0</v>
      </c>
      <c r="W44" s="6" t="e">
        <f>MOD(D44,H44)</f>
        <v>#DIV/0!</v>
      </c>
      <c r="X44" s="6" t="e" vm="65">
        <f>MOD(D44,I44)</f>
        <v>#VALUE!</v>
      </c>
      <c r="Y44" s="6">
        <f>MOD(E44,J44)</f>
        <v>0.79999999999999982</v>
      </c>
      <c r="Z44" s="6" t="e">
        <f t="shared" ref="Z44:AE44" si="36">MOD(K44,L44)</f>
        <v>#VALUE!</v>
      </c>
      <c r="AA44" s="6" t="e">
        <f t="shared" si="36"/>
        <v>#N/A</v>
      </c>
      <c r="AB44" s="6" t="e">
        <f t="shared" si="36"/>
        <v>#DIV/0!</v>
      </c>
      <c r="AC44" s="6" t="e">
        <f t="shared" si="36"/>
        <v>#NAME?</v>
      </c>
      <c r="AD44" s="6" t="e">
        <f t="shared" si="36"/>
        <v>#NULL!</v>
      </c>
      <c r="AE44" s="6" t="e">
        <f t="shared" si="36"/>
        <v>#NUM!</v>
      </c>
      <c r="AF44" s="6" t="e">
        <f>MOD(Q44,G44)</f>
        <v>#REF!</v>
      </c>
      <c r="AG44" s="8"/>
      <c r="AH44" s="6" t="e">
        <f t="array" ref="AH44:AW44">MOD(D44:Q44,C44:P44)</f>
        <v>#DIV/0!</v>
      </c>
      <c r="AI44" s="6">
        <v>0.79999999999999982</v>
      </c>
      <c r="AJ44" s="6">
        <v>-1.0000000000000009</v>
      </c>
      <c r="AK44" s="6">
        <v>7</v>
      </c>
      <c r="AL44" s="6">
        <v>0</v>
      </c>
      <c r="AM44" s="6" t="e" vm="65">
        <v>#VALUE!</v>
      </c>
      <c r="AN44" s="6" t="e" vm="65">
        <v>#VALUE!</v>
      </c>
      <c r="AO44" s="6" t="e">
        <v>#VALUE!</v>
      </c>
      <c r="AP44" s="6" t="e">
        <v>#N/A</v>
      </c>
      <c r="AQ44" s="6" t="e">
        <v>#DIV/0!</v>
      </c>
      <c r="AR44" s="6" t="e">
        <v>#NAME?</v>
      </c>
      <c r="AS44" s="6" t="e">
        <v>#NULL!</v>
      </c>
      <c r="AT44" s="6" t="e">
        <v>#NUM!</v>
      </c>
      <c r="AU44" s="6" t="e">
        <v>#REF!</v>
      </c>
      <c r="AV44" s="6" t="e">
        <v>#N/A</v>
      </c>
      <c r="AW44" s="4" t="e">
        <v>#N/A</v>
      </c>
    </row>
    <row r="45" spans="1:49" x14ac:dyDescent="0.15">
      <c r="A45" s="37" t="s">
        <v>68</v>
      </c>
      <c r="B45" s="36" t="s">
        <v>541</v>
      </c>
      <c r="C45" s="4">
        <v>2.5499999999999998</v>
      </c>
      <c r="D45" s="4">
        <v>-222.5</v>
      </c>
      <c r="E45" s="4">
        <v>-2.5499999999999998</v>
      </c>
      <c r="F45" s="4">
        <v>1.5</v>
      </c>
      <c r="G45" s="4">
        <v>0.23400000000000001</v>
      </c>
      <c r="H45" s="6"/>
      <c r="I45" s="6" t="s">
        <v>32</v>
      </c>
      <c r="J45" s="6" t="b">
        <v>1</v>
      </c>
      <c r="K45" s="6" t="e">
        <v>#VALUE!</v>
      </c>
      <c r="L45" s="6" t="e">
        <v>#N/A</v>
      </c>
      <c r="M45" s="7" t="e">
        <v>#DIV/0!</v>
      </c>
      <c r="N45" s="7" t="e">
        <v>#NAME?</v>
      </c>
      <c r="O45" s="7" t="e">
        <v>#NULL!</v>
      </c>
      <c r="P45" s="7" t="e">
        <v>#NUM!</v>
      </c>
      <c r="Q45" s="7" t="e">
        <v>#REF!</v>
      </c>
      <c r="R45" s="6">
        <f>MROUND(C45,"1.4")</f>
        <v>2.8</v>
      </c>
      <c r="S45" s="6">
        <f>MROUND(D45,-2)</f>
        <v>-222</v>
      </c>
      <c r="T45" s="6" t="e">
        <f>MROUND(E45,1)</f>
        <v>#NUM!</v>
      </c>
      <c r="U45" s="6" t="e">
        <f>MROUND(F45,-1)</f>
        <v>#NUM!</v>
      </c>
      <c r="V45" s="6">
        <f>MROUND(G45,1.9)</f>
        <v>0</v>
      </c>
      <c r="W45" s="6">
        <f>MROUND(H45,-2)</f>
        <v>0</v>
      </c>
      <c r="X45" s="6" t="e">
        <f>MROUND(I45,0)</f>
        <v>#VALUE!</v>
      </c>
      <c r="Y45" s="6" t="e">
        <f>MROUND(J45,0)</f>
        <v>#VALUE!</v>
      </c>
      <c r="Z45" s="6" t="e">
        <f>MROUND(K45,J45)</f>
        <v>#VALUE!</v>
      </c>
      <c r="AA45" s="6" t="e">
        <f t="shared" ref="AA45:AF45" si="37">MROUND(L45,K45)</f>
        <v>#N/A</v>
      </c>
      <c r="AB45" s="6" t="e">
        <f t="shared" si="37"/>
        <v>#DIV/0!</v>
      </c>
      <c r="AC45" s="6" t="e">
        <f t="shared" si="37"/>
        <v>#NAME?</v>
      </c>
      <c r="AD45" s="6" t="e">
        <f t="shared" si="37"/>
        <v>#NULL!</v>
      </c>
      <c r="AE45" s="6" t="e">
        <f t="shared" si="37"/>
        <v>#NUM!</v>
      </c>
      <c r="AF45" s="6" t="e">
        <f t="shared" si="37"/>
        <v>#REF!</v>
      </c>
      <c r="AG45" s="8"/>
      <c r="AH45" s="6" t="e">
        <f t="array" ref="AH45:AL45">MROUND(C45:G45,2)</f>
        <v>#VALUE!</v>
      </c>
      <c r="AI45" s="6" t="e">
        <v>#VALUE!</v>
      </c>
      <c r="AJ45" s="6" t="e">
        <v>#VALUE!</v>
      </c>
      <c r="AK45" s="6" t="e">
        <v>#VALUE!</v>
      </c>
      <c r="AL45" s="6" t="e">
        <v>#VALUE!</v>
      </c>
      <c r="AM45" s="6" t="e">
        <f t="array" ref="AM45:AW45">MROUND(K45:Q45,2)</f>
        <v>#VALUE!</v>
      </c>
      <c r="AN45" s="6" t="e">
        <v>#VALUE!</v>
      </c>
      <c r="AO45" s="6" t="e">
        <v>#VALUE!</v>
      </c>
      <c r="AP45" s="6" t="e">
        <v>#VALUE!</v>
      </c>
      <c r="AQ45" s="6" t="e">
        <v>#VALUE!</v>
      </c>
      <c r="AR45" s="6" t="e">
        <v>#VALUE!</v>
      </c>
      <c r="AS45" s="6" t="e">
        <v>#VALUE!</v>
      </c>
      <c r="AT45" s="6" t="e">
        <v>#VALUE!</v>
      </c>
      <c r="AU45" s="6" t="e">
        <v>#VALUE!</v>
      </c>
      <c r="AV45" s="6" t="e">
        <v>#VALUE!</v>
      </c>
      <c r="AW45" s="4" t="e">
        <v>#VALUE!</v>
      </c>
    </row>
    <row r="46" spans="1:49" x14ac:dyDescent="0.15">
      <c r="A46" s="37" t="s">
        <v>69</v>
      </c>
      <c r="B46" s="36" t="s">
        <v>541</v>
      </c>
      <c r="C46" s="4">
        <v>1.8</v>
      </c>
      <c r="D46" s="4">
        <v>1</v>
      </c>
      <c r="E46" s="4">
        <v>-2.2000000000000002</v>
      </c>
      <c r="F46" s="4">
        <v>10</v>
      </c>
      <c r="G46" s="4">
        <v>2.7</v>
      </c>
      <c r="H46" s="6"/>
      <c r="I46" s="16" t="s">
        <v>443</v>
      </c>
      <c r="J46" s="6" t="b">
        <v>1</v>
      </c>
      <c r="K46" s="6" t="e">
        <v>#VALUE!</v>
      </c>
      <c r="L46" s="6" t="e">
        <v>#N/A</v>
      </c>
      <c r="M46" s="7" t="e">
        <v>#DIV/0!</v>
      </c>
      <c r="N46" s="7" t="e">
        <v>#NAME?</v>
      </c>
      <c r="O46" s="7" t="e">
        <v>#NULL!</v>
      </c>
      <c r="P46" s="7" t="e">
        <v>#NUM!</v>
      </c>
      <c r="Q46" s="7" t="e">
        <v>#REF!</v>
      </c>
      <c r="R46" s="6">
        <f>MULTINOMIAL(C46:D46)</f>
        <v>2</v>
      </c>
      <c r="S46" s="6">
        <f>MULTINOMIAL(C46:D46,3)</f>
        <v>19.999999999999996</v>
      </c>
      <c r="T46" s="6" t="e">
        <f>MULTINOMIAL(E46:F46)</f>
        <v>#NUM!</v>
      </c>
      <c r="U46" s="6">
        <f t="shared" ref="S46:V46" si="38">MULTINOMIAL(F46:G46)</f>
        <v>65.999999999999915</v>
      </c>
      <c r="V46" s="6">
        <f>MULTINOMIAL(G46:H46)</f>
        <v>1</v>
      </c>
      <c r="W46" s="6">
        <f t="shared" ref="W46" si="39">MULTINOMIAL(H46:I46)</f>
        <v>1</v>
      </c>
      <c r="X46" s="6" t="e">
        <f>MULTINOMIAL(I46:J46)</f>
        <v>#VALUE!</v>
      </c>
      <c r="Y46" s="6" t="e">
        <f t="shared" ref="Y46" si="40">MULTINOMIAL(J46:K46)</f>
        <v>#VALUE!</v>
      </c>
      <c r="Z46" s="6" t="e">
        <f t="shared" ref="Z46" si="41">MULTINOMIAL(K46:L46)</f>
        <v>#VALUE!</v>
      </c>
      <c r="AA46" s="6" t="e">
        <f t="shared" ref="AA46" si="42">MULTINOMIAL(L46:M46)</f>
        <v>#N/A</v>
      </c>
      <c r="AB46" s="6" t="e">
        <f t="shared" ref="AB46" si="43">MULTINOMIAL(M46:N46)</f>
        <v>#DIV/0!</v>
      </c>
      <c r="AC46" s="6" t="e">
        <f t="shared" ref="AC46" si="44">MULTINOMIAL(N46:O46)</f>
        <v>#NAME?</v>
      </c>
      <c r="AD46" s="6" t="e">
        <f t="shared" ref="AD46" si="45">MULTINOMIAL(O46:P46)</f>
        <v>#NULL!</v>
      </c>
      <c r="AE46" s="6" t="e">
        <f t="shared" ref="AE46" si="46">MULTINOMIAL(P46:Q46)</f>
        <v>#NUM!</v>
      </c>
      <c r="AF46" s="6" t="e">
        <f>MULTINOMIAL(Q46:R46)</f>
        <v>#REF!</v>
      </c>
      <c r="AG46" s="8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9" x14ac:dyDescent="0.15">
      <c r="A47" s="37" t="s">
        <v>70</v>
      </c>
      <c r="B47" s="36" t="s">
        <v>541</v>
      </c>
      <c r="C47" s="4">
        <v>0</v>
      </c>
      <c r="D47" s="4">
        <v>2</v>
      </c>
      <c r="E47" s="4">
        <v>2.2999999999999998</v>
      </c>
      <c r="F47" s="4">
        <v>-0.2</v>
      </c>
      <c r="G47" s="4">
        <v>-2</v>
      </c>
      <c r="H47" s="6"/>
      <c r="I47" s="6" t="s">
        <v>32</v>
      </c>
      <c r="J47" s="6" t="b">
        <v>1</v>
      </c>
      <c r="K47" s="6" t="e">
        <v>#VALUE!</v>
      </c>
      <c r="L47" s="6" t="e">
        <v>#N/A</v>
      </c>
      <c r="M47" s="7" t="e">
        <v>#DIV/0!</v>
      </c>
      <c r="N47" s="7" t="e">
        <v>#NAME?</v>
      </c>
      <c r="O47" s="7" t="e">
        <v>#NULL!</v>
      </c>
      <c r="P47" s="7" t="e">
        <v>#NUM!</v>
      </c>
      <c r="Q47" s="7" t="e">
        <v>#REF!</v>
      </c>
      <c r="R47" s="6" t="e" cm="1">
        <f t="array" ref="R47">_xlfn.MUNIT(C47)</f>
        <v>#VALUE!</v>
      </c>
      <c r="S47" s="6">
        <f t="array" ref="S47">_xlfn.MUNIT(D47)</f>
        <v>1</v>
      </c>
      <c r="T47" s="6">
        <f t="array" ref="T47">_xlfn.MUNIT(E47)</f>
        <v>1</v>
      </c>
      <c r="U47" s="6" t="e" cm="1">
        <f t="array" ref="U47">_xlfn.MUNIT(F47)</f>
        <v>#VALUE!</v>
      </c>
      <c r="V47" s="6" t="e" cm="1">
        <f t="array" ref="V47">_xlfn.MUNIT(G47)</f>
        <v>#VALUE!</v>
      </c>
      <c r="W47" s="6" t="e" cm="1">
        <f t="array" ref="W47">_xlfn.MUNIT(H47)</f>
        <v>#VALUE!</v>
      </c>
      <c r="X47" s="6" t="e" cm="1" vm="66">
        <f t="array" ref="X47">_xlfn.MUNIT(I47)</f>
        <v>#VALUE!</v>
      </c>
      <c r="Y47" s="6" cm="1">
        <f t="array" ref="Y47">_xlfn.MUNIT(J47)</f>
        <v>1</v>
      </c>
      <c r="Z47" s="6" t="e" cm="1">
        <f t="array" ref="Z47">_xlfn.MUNIT(K47)</f>
        <v>#VALUE!</v>
      </c>
      <c r="AA47" s="6" t="e" cm="1">
        <f t="array" ref="AA47">_xlfn.MUNIT(L47)</f>
        <v>#N/A</v>
      </c>
      <c r="AB47" s="6" t="e" cm="1">
        <f t="array" ref="AB47">_xlfn.MUNIT(M47)</f>
        <v>#DIV/0!</v>
      </c>
      <c r="AC47" s="6" t="e" cm="1">
        <f t="array" ref="AC47">_xlfn.MUNIT(N47)</f>
        <v>#NAME?</v>
      </c>
      <c r="AD47" s="6" t="e" cm="1">
        <f t="array" ref="AD47">_xlfn.MUNIT(O47)</f>
        <v>#NULL!</v>
      </c>
      <c r="AE47" s="6" t="e" cm="1">
        <f t="array" ref="AE47">_xlfn.MUNIT(P47)</f>
        <v>#NUM!</v>
      </c>
      <c r="AF47" s="6" t="e" cm="1">
        <f t="array" ref="AF47">_xlfn.MUNIT(Q47)</f>
        <v>#REF!</v>
      </c>
      <c r="AG47" s="8" t="e">
        <f t="array" ref="AG47">_xlfn.MUNIT(C47:Q47)</f>
        <v>#VALUE!</v>
      </c>
      <c r="AH47" s="6" t="e">
        <f t="array" ref="AH47:AW47">_xlfn.MUNIT(C47:Q47)</f>
        <v>#VALUE!</v>
      </c>
      <c r="AI47" s="6">
        <v>1</v>
      </c>
      <c r="AJ47" s="6">
        <v>1</v>
      </c>
      <c r="AK47" s="6" t="e">
        <v>#VALUE!</v>
      </c>
      <c r="AL47" s="6" t="e">
        <v>#VALUE!</v>
      </c>
      <c r="AM47" s="6" t="e">
        <v>#VALUE!</v>
      </c>
      <c r="AN47" s="6" t="e" vm="66">
        <v>#VALUE!</v>
      </c>
      <c r="AO47" s="6">
        <v>1</v>
      </c>
      <c r="AP47" s="6" t="e">
        <v>#VALUE!</v>
      </c>
      <c r="AQ47" s="6" t="e">
        <v>#N/A</v>
      </c>
      <c r="AR47" s="6" t="e">
        <v>#DIV/0!</v>
      </c>
      <c r="AS47" s="6" t="e">
        <v>#NAME?</v>
      </c>
      <c r="AT47" s="6" t="e">
        <v>#NULL!</v>
      </c>
      <c r="AU47" s="6" t="e">
        <v>#NUM!</v>
      </c>
      <c r="AV47" s="6" t="e">
        <v>#REF!</v>
      </c>
      <c r="AW47" s="4" t="e">
        <v>#N/A</v>
      </c>
    </row>
    <row r="48" spans="1:49" x14ac:dyDescent="0.15">
      <c r="A48" s="37" t="s">
        <v>71</v>
      </c>
      <c r="B48" s="36" t="s">
        <v>541</v>
      </c>
      <c r="C48" s="4">
        <v>0</v>
      </c>
      <c r="D48" s="4">
        <v>2</v>
      </c>
      <c r="E48" s="4">
        <v>2.2999999999999998</v>
      </c>
      <c r="F48" s="4">
        <v>-0.2</v>
      </c>
      <c r="G48" s="4">
        <v>-2</v>
      </c>
      <c r="H48" s="6"/>
      <c r="I48" s="6" t="s">
        <v>32</v>
      </c>
      <c r="J48" s="6" t="b">
        <v>1</v>
      </c>
      <c r="K48" s="6" t="e">
        <v>#VALUE!</v>
      </c>
      <c r="L48" s="6" t="e">
        <v>#N/A</v>
      </c>
      <c r="M48" s="7" t="e">
        <v>#DIV/0!</v>
      </c>
      <c r="N48" s="7" t="e">
        <v>#NAME?</v>
      </c>
      <c r="O48" s="7" t="e">
        <v>#NULL!</v>
      </c>
      <c r="P48" s="7" t="e">
        <v>#NUM!</v>
      </c>
      <c r="Q48" s="7" t="e">
        <v>#REF!</v>
      </c>
      <c r="R48" s="6">
        <f>ODD(C48)</f>
        <v>1</v>
      </c>
      <c r="S48" s="6">
        <f t="shared" ref="S48:AF48" si="47">ODD(D48)</f>
        <v>3</v>
      </c>
      <c r="T48" s="6">
        <f t="shared" si="47"/>
        <v>3</v>
      </c>
      <c r="U48" s="6">
        <f t="shared" si="47"/>
        <v>-1</v>
      </c>
      <c r="V48" s="6">
        <f t="shared" si="47"/>
        <v>-3</v>
      </c>
      <c r="W48" s="6">
        <f t="shared" si="47"/>
        <v>1</v>
      </c>
      <c r="X48" s="6" t="e" vm="67">
        <f t="shared" si="47"/>
        <v>#VALUE!</v>
      </c>
      <c r="Y48" s="6">
        <f t="shared" si="47"/>
        <v>1</v>
      </c>
      <c r="Z48" s="6" t="e">
        <f t="shared" si="47"/>
        <v>#VALUE!</v>
      </c>
      <c r="AA48" s="6" t="e">
        <f t="shared" si="47"/>
        <v>#N/A</v>
      </c>
      <c r="AB48" s="6" t="e">
        <f t="shared" si="47"/>
        <v>#DIV/0!</v>
      </c>
      <c r="AC48" s="6" t="e">
        <f t="shared" si="47"/>
        <v>#NAME?</v>
      </c>
      <c r="AD48" s="6" t="e">
        <f t="shared" si="47"/>
        <v>#NULL!</v>
      </c>
      <c r="AE48" s="6" t="e">
        <f t="shared" si="47"/>
        <v>#NUM!</v>
      </c>
      <c r="AF48" s="6" t="e">
        <f t="shared" si="47"/>
        <v>#REF!</v>
      </c>
      <c r="AG48" s="8"/>
      <c r="AH48" s="6">
        <f t="array" ref="AH48:AW48">ODD(C48:Q48)</f>
        <v>1</v>
      </c>
      <c r="AI48" s="6">
        <v>3</v>
      </c>
      <c r="AJ48" s="6">
        <v>3</v>
      </c>
      <c r="AK48" s="6">
        <v>-1</v>
      </c>
      <c r="AL48" s="6">
        <v>-3</v>
      </c>
      <c r="AM48" s="6">
        <v>1</v>
      </c>
      <c r="AN48" s="6" t="e" vm="67">
        <v>#VALUE!</v>
      </c>
      <c r="AO48" s="6">
        <v>1</v>
      </c>
      <c r="AP48" s="6" t="e">
        <v>#VALUE!</v>
      </c>
      <c r="AQ48" s="6" t="e">
        <v>#N/A</v>
      </c>
      <c r="AR48" s="6" t="e">
        <v>#DIV/0!</v>
      </c>
      <c r="AS48" s="6" t="e">
        <v>#NAME?</v>
      </c>
      <c r="AT48" s="6" t="e">
        <v>#NULL!</v>
      </c>
      <c r="AU48" s="6" t="e">
        <v>#NUM!</v>
      </c>
      <c r="AV48" s="6" t="e">
        <v>#REF!</v>
      </c>
      <c r="AW48" s="4" t="e">
        <v>#N/A</v>
      </c>
    </row>
    <row r="49" spans="1:49" x14ac:dyDescent="0.15">
      <c r="A49" s="37" t="s">
        <v>558</v>
      </c>
      <c r="B49" s="36" t="s">
        <v>541</v>
      </c>
      <c r="C49" s="4">
        <v>0</v>
      </c>
      <c r="D49" s="4">
        <v>2</v>
      </c>
      <c r="E49" s="4">
        <v>2.2999999999999998</v>
      </c>
      <c r="F49" s="4">
        <v>-0.2</v>
      </c>
      <c r="G49" s="4">
        <v>-2</v>
      </c>
      <c r="H49" s="6"/>
      <c r="I49" s="6" t="s">
        <v>32</v>
      </c>
      <c r="J49" s="6" t="b">
        <v>1</v>
      </c>
      <c r="K49" s="6" t="e">
        <v>#VALUE!</v>
      </c>
      <c r="L49" s="6" t="e">
        <v>#N/A</v>
      </c>
      <c r="M49" s="7" t="e">
        <v>#DIV/0!</v>
      </c>
      <c r="N49" s="7" t="e">
        <v>#NAME?</v>
      </c>
      <c r="O49" s="7" t="e">
        <v>#NULL!</v>
      </c>
      <c r="P49" s="7" t="e">
        <v>#NUM!</v>
      </c>
      <c r="Q49" s="7" t="e">
        <v>#REF!</v>
      </c>
      <c r="R49" s="6">
        <f>_xlfn.PERCENTOF(C49:E49,D49:G49)</f>
        <v>2.0476190476190479</v>
      </c>
      <c r="S49" s="6">
        <f>_xlfn.PERCENTOF(D49:F49,E49:H49)</f>
        <v>41.000000000000142</v>
      </c>
      <c r="T49" s="6">
        <f t="shared" ref="T49:AE49" si="48">_xlfn.PERCENTOF(E49:G49,F49:I49)</f>
        <v>-4.5454545454545289E-2</v>
      </c>
      <c r="U49" s="6">
        <f t="shared" si="48"/>
        <v>1.1000000000000001</v>
      </c>
      <c r="V49" s="6">
        <f>_xlfn.PERCENTOF(G49:I49,F49:I49)</f>
        <v>0.90909090909090906</v>
      </c>
      <c r="W49" s="6" t="e">
        <f>_xlfn.PERCENTOF(H49:J49,I49:L49)</f>
        <v>#NUM!</v>
      </c>
      <c r="X49" s="6" t="e">
        <f t="shared" si="48"/>
        <v>#NUM!</v>
      </c>
      <c r="Y49" s="6" t="e">
        <f>_xlfn.PERCENTOF(K49:L49,D49:G49)</f>
        <v>#NUM!</v>
      </c>
      <c r="Z49" s="6" t="e">
        <f t="shared" si="48"/>
        <v>#NUM!</v>
      </c>
      <c r="AA49" s="6" t="e">
        <f t="shared" si="48"/>
        <v>#NUM!</v>
      </c>
      <c r="AB49" s="6" t="e">
        <f t="shared" si="48"/>
        <v>#NUM!</v>
      </c>
      <c r="AC49" s="6" t="e">
        <f t="shared" si="48"/>
        <v>#NUM!</v>
      </c>
      <c r="AD49" s="6" t="e">
        <f t="shared" si="48"/>
        <v>#NUM!</v>
      </c>
      <c r="AE49" s="6" t="e">
        <f t="shared" si="48"/>
        <v>#NUM!</v>
      </c>
      <c r="AF49" s="6" t="e">
        <f>_xlfn.PERCENTOF(Q49:S49,R49:U49)</f>
        <v>#NUM!</v>
      </c>
      <c r="AG49" s="8"/>
      <c r="AH49" s="6">
        <f t="array" ref="AH49:AW49">_xlfn.PERCENTOF(D49:F49,E49:H49)</f>
        <v>41.000000000000142</v>
      </c>
      <c r="AI49" s="6">
        <v>41.000000000000142</v>
      </c>
      <c r="AJ49" s="6">
        <v>41.000000000000142</v>
      </c>
      <c r="AK49" s="6">
        <v>41.000000000000142</v>
      </c>
      <c r="AL49" s="6">
        <v>41.000000000000142</v>
      </c>
      <c r="AM49" s="6">
        <v>41.000000000000142</v>
      </c>
      <c r="AN49" s="6">
        <v>41.000000000000142</v>
      </c>
      <c r="AO49" s="6">
        <v>41.000000000000142</v>
      </c>
      <c r="AP49" s="6">
        <v>41.000000000000142</v>
      </c>
      <c r="AQ49" s="6">
        <v>41.000000000000142</v>
      </c>
      <c r="AR49" s="6">
        <v>41.000000000000142</v>
      </c>
      <c r="AS49" s="6">
        <v>41.000000000000142</v>
      </c>
      <c r="AT49" s="6">
        <v>41.000000000000142</v>
      </c>
      <c r="AU49" s="6">
        <v>41.000000000000142</v>
      </c>
      <c r="AV49" s="6">
        <v>41.000000000000142</v>
      </c>
      <c r="AW49" s="4">
        <v>41.000000000000142</v>
      </c>
    </row>
    <row r="50" spans="1:49" x14ac:dyDescent="0.15">
      <c r="A50" s="37" t="s">
        <v>72</v>
      </c>
      <c r="B50" s="36" t="s">
        <v>541</v>
      </c>
      <c r="C50" s="5"/>
      <c r="D50" s="5">
        <v>0</v>
      </c>
      <c r="E50" s="5">
        <v>0</v>
      </c>
      <c r="F50" s="5"/>
      <c r="G50" s="5"/>
      <c r="H50" s="8"/>
      <c r="I50" s="8">
        <f>MULTINOMIAL(D50:E50)</f>
        <v>1</v>
      </c>
      <c r="J50" s="8"/>
      <c r="K50" s="8"/>
      <c r="L50" s="8"/>
      <c r="M50" s="9"/>
      <c r="N50" s="9"/>
      <c r="O50" s="9"/>
      <c r="P50" s="9"/>
      <c r="Q50" s="9"/>
      <c r="R50" s="8"/>
      <c r="S50" s="8"/>
      <c r="T50" s="8"/>
      <c r="U50" s="8"/>
      <c r="V50" s="8"/>
      <c r="W50" s="6">
        <f>PI()</f>
        <v>3.1415926535897931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6">
        <f t="array" ref="AH50:AW50">PI()</f>
        <v>3.1415926535897931</v>
      </c>
      <c r="AI50" s="6">
        <v>3.1415926535897931</v>
      </c>
      <c r="AJ50" s="6">
        <v>3.1415926535897931</v>
      </c>
      <c r="AK50" s="6">
        <v>3.1415926535897931</v>
      </c>
      <c r="AL50" s="6">
        <v>3.1415926535897931</v>
      </c>
      <c r="AM50" s="6">
        <v>3.1415926535897931</v>
      </c>
      <c r="AN50" s="6">
        <v>3.1415926535897931</v>
      </c>
      <c r="AO50" s="6">
        <v>3.1415926535897931</v>
      </c>
      <c r="AP50" s="6">
        <v>3.1415926535897931</v>
      </c>
      <c r="AQ50" s="6">
        <v>3.1415926535897931</v>
      </c>
      <c r="AR50" s="6">
        <v>3.1415926535897931</v>
      </c>
      <c r="AS50" s="6">
        <v>3.1415926535897931</v>
      </c>
      <c r="AT50" s="6">
        <v>3.1415926535897931</v>
      </c>
      <c r="AU50" s="6">
        <v>3.1415926535897931</v>
      </c>
      <c r="AV50" s="6">
        <v>3.1415926535897931</v>
      </c>
      <c r="AW50" s="6">
        <v>3.1415926535897931</v>
      </c>
    </row>
    <row r="51" spans="1:49" x14ac:dyDescent="0.15">
      <c r="A51" s="37" t="s">
        <v>22</v>
      </c>
      <c r="B51" s="36" t="s">
        <v>541</v>
      </c>
      <c r="C51" s="4">
        <v>0</v>
      </c>
      <c r="D51" s="4">
        <v>1</v>
      </c>
      <c r="E51" s="4">
        <v>2.2999999999999998</v>
      </c>
      <c r="F51" s="4">
        <v>10</v>
      </c>
      <c r="G51" s="4">
        <v>-1</v>
      </c>
      <c r="H51" s="6"/>
      <c r="I51" s="6" t="s">
        <v>32</v>
      </c>
      <c r="J51" s="6" t="b">
        <v>1</v>
      </c>
      <c r="K51" s="6" t="e">
        <v>#VALUE!</v>
      </c>
      <c r="L51" s="6" t="e">
        <v>#N/A</v>
      </c>
      <c r="M51" s="7" t="e">
        <v>#DIV/0!</v>
      </c>
      <c r="N51" s="7" t="e">
        <v>#NAME?</v>
      </c>
      <c r="O51" s="7" t="e">
        <v>#NULL!</v>
      </c>
      <c r="P51" s="7" t="e">
        <v>#NUM!</v>
      </c>
      <c r="Q51" s="7" t="e">
        <v>#REF!</v>
      </c>
      <c r="R51" s="6">
        <f>POWER(C51,D51)</f>
        <v>0</v>
      </c>
      <c r="S51" s="6">
        <f>POWER(F51,E51)</f>
        <v>199.52623149688802</v>
      </c>
      <c r="T51" s="6" t="e">
        <f>POWER(C51,C51)</f>
        <v>#NUM!</v>
      </c>
      <c r="U51" s="6" t="e">
        <f>POWER(C51,G51)</f>
        <v>#DIV/0!</v>
      </c>
      <c r="V51" s="6">
        <f>POWER(G51,C51)</f>
        <v>1</v>
      </c>
      <c r="W51" s="6">
        <f>POWER(H51,D51)</f>
        <v>0</v>
      </c>
      <c r="X51" s="6" t="e" vm="68">
        <f>POWER(I51,D51)</f>
        <v>#VALUE!</v>
      </c>
      <c r="Y51" s="6">
        <f>POWER(J51,E51)</f>
        <v>1</v>
      </c>
      <c r="Z51" s="6" t="e">
        <f t="shared" ref="Z51:AE51" si="49">POWER(K51,L51)</f>
        <v>#VALUE!</v>
      </c>
      <c r="AA51" s="6" t="e">
        <f t="shared" si="49"/>
        <v>#N/A</v>
      </c>
      <c r="AB51" s="6" t="e">
        <f t="shared" si="49"/>
        <v>#DIV/0!</v>
      </c>
      <c r="AC51" s="6" t="e">
        <f t="shared" si="49"/>
        <v>#NAME?</v>
      </c>
      <c r="AD51" s="6" t="e">
        <f t="shared" si="49"/>
        <v>#NULL!</v>
      </c>
      <c r="AE51" s="6" t="e">
        <f t="shared" si="49"/>
        <v>#NUM!</v>
      </c>
      <c r="AF51" s="6" t="e">
        <f>POWER(Q51,P51)</f>
        <v>#REF!</v>
      </c>
      <c r="AG51" s="8"/>
      <c r="AH51" s="6">
        <f t="array" ref="AH51:AW51">POWER(D51:Q51,C51:P51)</f>
        <v>1</v>
      </c>
      <c r="AI51" s="6">
        <v>2.2999999999999998</v>
      </c>
      <c r="AJ51" s="6">
        <v>199.52623149688802</v>
      </c>
      <c r="AK51" s="6">
        <v>1</v>
      </c>
      <c r="AL51" s="6" t="e">
        <v>#DIV/0!</v>
      </c>
      <c r="AM51" s="6" t="e" vm="68">
        <v>#VALUE!</v>
      </c>
      <c r="AN51" s="6" t="e" vm="68">
        <v>#VALUE!</v>
      </c>
      <c r="AO51" s="6" t="e">
        <v>#VALUE!</v>
      </c>
      <c r="AP51" s="6" t="e">
        <v>#N/A</v>
      </c>
      <c r="AQ51" s="6" t="e">
        <v>#DIV/0!</v>
      </c>
      <c r="AR51" s="6" t="e">
        <v>#NAME?</v>
      </c>
      <c r="AS51" s="6" t="e">
        <v>#NULL!</v>
      </c>
      <c r="AT51" s="6" t="e">
        <v>#NUM!</v>
      </c>
      <c r="AU51" s="6" t="e">
        <v>#REF!</v>
      </c>
      <c r="AV51" s="6" t="e">
        <v>#N/A</v>
      </c>
      <c r="AW51" s="4" t="e">
        <v>#N/A</v>
      </c>
    </row>
    <row r="52" spans="1:49" x14ac:dyDescent="0.15">
      <c r="A52" s="37" t="s">
        <v>73</v>
      </c>
      <c r="B52" s="36" t="s">
        <v>541</v>
      </c>
      <c r="C52" s="4">
        <v>0.2</v>
      </c>
      <c r="D52" s="4">
        <v>1</v>
      </c>
      <c r="E52" s="4">
        <v>2.2999999999999998</v>
      </c>
      <c r="F52" s="4">
        <v>10</v>
      </c>
      <c r="G52" s="4">
        <v>-1</v>
      </c>
      <c r="H52" s="6"/>
      <c r="I52" s="6" t="s">
        <v>32</v>
      </c>
      <c r="J52" s="6" t="b">
        <v>1</v>
      </c>
      <c r="K52" s="6" t="e">
        <v>#VALUE!</v>
      </c>
      <c r="L52" s="6" t="e">
        <v>#N/A</v>
      </c>
      <c r="M52" s="7" t="e">
        <v>#DIV/0!</v>
      </c>
      <c r="N52" s="7" t="e">
        <v>#NAME?</v>
      </c>
      <c r="O52" s="7" t="e">
        <v>#NULL!</v>
      </c>
      <c r="P52" s="7" t="e">
        <v>#NUM!</v>
      </c>
      <c r="Q52" s="7" t="e">
        <v>#REF!</v>
      </c>
      <c r="R52" s="6">
        <f>PRODUCT(C52:D52,D52:E52,E52:F52)</f>
        <v>10.579999999999998</v>
      </c>
      <c r="S52" s="6">
        <f>PRODUCT(D52:E52,E52:F52,F52:G52)</f>
        <v>-528.99999999999989</v>
      </c>
      <c r="T52" s="6">
        <f>PRODUCT(F52:G52,F52:G52,D52:E52)</f>
        <v>229.99999999999997</v>
      </c>
      <c r="U52" s="6">
        <f>PRODUCT(F52:G52,C52:D52,D52:E52)</f>
        <v>-4.5999999999999996</v>
      </c>
      <c r="V52" s="6">
        <f>PRODUCT(E52:G52,C52:E52,D52:F52)</f>
        <v>-243.34</v>
      </c>
      <c r="W52" s="6">
        <f>PRODUCT(F52:G52,G52:H52,E52:F52)</f>
        <v>230</v>
      </c>
      <c r="X52" s="6">
        <f>PRODUCT(H52:I52,E52:F52,F52:G52)</f>
        <v>-230</v>
      </c>
      <c r="Y52" s="6">
        <f>PRODUCT(I52:J52,F52:G52,G52:H52)</f>
        <v>10</v>
      </c>
      <c r="Z52" s="6" t="e">
        <f>PRODUCT(K52:L52,C52:D52,D52:E52)</f>
        <v>#VALUE!</v>
      </c>
      <c r="AA52" s="6" t="e">
        <f>PRODUCT(L52:M52,D52:E52,E52:F52)</f>
        <v>#N/A</v>
      </c>
      <c r="AB52" s="6" t="e">
        <f>PRODUCT(M52:N52,E52:F52,F52:G52)</f>
        <v>#DIV/0!</v>
      </c>
      <c r="AC52" s="6" t="e">
        <f>PRODUCT(N52:O52,F52:G52,G52:H52)</f>
        <v>#NAME?</v>
      </c>
      <c r="AD52" s="6" t="e">
        <f>PRODUCT(O52:P52,G52:H52,H52:I52)</f>
        <v>#NULL!</v>
      </c>
      <c r="AE52" s="6" t="e">
        <f>PRODUCT(P52:Q52,H52:I52,I52:K52)</f>
        <v>#NUM!</v>
      </c>
      <c r="AF52" s="6" t="e">
        <f>PRODUCT(Q52:R52,I52:K52,K52:L52)</f>
        <v>#REF!</v>
      </c>
      <c r="AG52" s="6">
        <f>PRODUCT(D52:H52,D52:G52)</f>
        <v>529</v>
      </c>
      <c r="AH52" s="6">
        <f t="array" ref="AH52:AL52">PRODUCT(D52:H52,C52:G52)</f>
        <v>105.8</v>
      </c>
      <c r="AI52" s="6">
        <v>105.8</v>
      </c>
      <c r="AJ52" s="6">
        <v>105.8</v>
      </c>
      <c r="AK52" s="6">
        <v>105.8</v>
      </c>
      <c r="AL52" s="6">
        <v>105.8</v>
      </c>
      <c r="AM52" s="6">
        <f>PRODUCT(D52:I52,C52:H52)</f>
        <v>105.8</v>
      </c>
      <c r="AN52" s="6" t="e">
        <f t="array" ref="AN52:AW52">PRODUCT(L52:Q52,K52:P52)</f>
        <v>#N/A</v>
      </c>
      <c r="AO52" s="6" t="e">
        <v>#N/A</v>
      </c>
      <c r="AP52" s="6" t="e">
        <v>#N/A</v>
      </c>
      <c r="AQ52" s="6" t="e">
        <v>#N/A</v>
      </c>
      <c r="AR52" s="6" t="e">
        <v>#N/A</v>
      </c>
      <c r="AS52" s="6" t="e">
        <v>#N/A</v>
      </c>
      <c r="AT52" s="6" t="e">
        <v>#N/A</v>
      </c>
      <c r="AU52" s="6" t="e">
        <v>#N/A</v>
      </c>
      <c r="AV52" s="6" t="e">
        <v>#N/A</v>
      </c>
      <c r="AW52" s="4" t="e">
        <v>#N/A</v>
      </c>
    </row>
    <row r="53" spans="1:49" x14ac:dyDescent="0.15">
      <c r="A53" s="42" t="s">
        <v>74</v>
      </c>
      <c r="H53" s="6"/>
      <c r="I53" s="6"/>
      <c r="J53" s="6"/>
      <c r="K53" s="6"/>
      <c r="L53" s="6"/>
      <c r="M53" s="7"/>
      <c r="N53" s="7"/>
      <c r="O53" s="7"/>
      <c r="P53" s="7"/>
      <c r="Q53" s="7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8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9" x14ac:dyDescent="0.15">
      <c r="A54" s="37" t="s">
        <v>20</v>
      </c>
      <c r="B54" s="36" t="s">
        <v>541</v>
      </c>
      <c r="C54" s="4">
        <v>0</v>
      </c>
      <c r="D54" s="4">
        <v>1</v>
      </c>
      <c r="E54" s="4">
        <v>2.2999999999999998</v>
      </c>
      <c r="F54" s="4">
        <v>10</v>
      </c>
      <c r="G54" s="4">
        <v>-1</v>
      </c>
      <c r="H54" s="6"/>
      <c r="I54" s="6" t="s">
        <v>32</v>
      </c>
      <c r="J54" s="6" t="b">
        <v>1</v>
      </c>
      <c r="K54" s="6" t="e">
        <v>#VALUE!</v>
      </c>
      <c r="L54" s="6" t="e">
        <v>#N/A</v>
      </c>
      <c r="M54" s="7" t="e">
        <v>#DIV/0!</v>
      </c>
      <c r="N54" s="7" t="e">
        <v>#NAME?</v>
      </c>
      <c r="O54" s="7" t="e">
        <v>#NULL!</v>
      </c>
      <c r="P54" s="7" t="e">
        <v>#NUM!</v>
      </c>
      <c r="Q54" s="7" t="e">
        <v>#REF!</v>
      </c>
      <c r="R54" s="6">
        <f t="shared" ref="R54:AF54" si="50">RADIANS(C54)</f>
        <v>0</v>
      </c>
      <c r="S54" s="6">
        <f t="shared" si="50"/>
        <v>1.7453292519943295E-2</v>
      </c>
      <c r="T54" s="6">
        <f t="shared" si="50"/>
        <v>4.014257279586958E-2</v>
      </c>
      <c r="U54" s="6">
        <f t="shared" si="50"/>
        <v>0.17453292519943295</v>
      </c>
      <c r="V54" s="6">
        <f t="shared" si="50"/>
        <v>-1.7453292519943295E-2</v>
      </c>
      <c r="W54" s="6">
        <f t="shared" si="50"/>
        <v>0</v>
      </c>
      <c r="X54" s="6" t="e" vm="69">
        <f t="shared" si="50"/>
        <v>#VALUE!</v>
      </c>
      <c r="Y54" s="6">
        <f t="shared" si="50"/>
        <v>1.7453292519943295E-2</v>
      </c>
      <c r="Z54" s="6" t="e">
        <f t="shared" si="50"/>
        <v>#VALUE!</v>
      </c>
      <c r="AA54" s="6" t="e">
        <f t="shared" si="50"/>
        <v>#N/A</v>
      </c>
      <c r="AB54" s="6" t="e">
        <f t="shared" si="50"/>
        <v>#DIV/0!</v>
      </c>
      <c r="AC54" s="6" t="e">
        <f t="shared" si="50"/>
        <v>#NAME?</v>
      </c>
      <c r="AD54" s="6" t="e">
        <f t="shared" si="50"/>
        <v>#NULL!</v>
      </c>
      <c r="AE54" s="6" t="e">
        <f t="shared" si="50"/>
        <v>#NUM!</v>
      </c>
      <c r="AF54" s="6" t="e">
        <f t="shared" si="50"/>
        <v>#REF!</v>
      </c>
      <c r="AG54" s="8"/>
      <c r="AH54" s="6">
        <f t="array" ref="AH54:AW54">RADIANS(C54:Q54)</f>
        <v>0</v>
      </c>
      <c r="AI54" s="6">
        <v>1.7453292519943295E-2</v>
      </c>
      <c r="AJ54" s="6">
        <v>4.014257279586958E-2</v>
      </c>
      <c r="AK54" s="6">
        <v>0.17453292519943295</v>
      </c>
      <c r="AL54" s="6">
        <v>-1.7453292519943295E-2</v>
      </c>
      <c r="AM54" s="6">
        <v>0</v>
      </c>
      <c r="AN54" s="6" t="e" vm="69">
        <v>#VALUE!</v>
      </c>
      <c r="AO54" s="6">
        <v>1.7453292519943295E-2</v>
      </c>
      <c r="AP54" s="6" t="e">
        <v>#VALUE!</v>
      </c>
      <c r="AQ54" s="6" t="e">
        <v>#N/A</v>
      </c>
      <c r="AR54" s="6" t="e">
        <v>#DIV/0!</v>
      </c>
      <c r="AS54" s="6" t="e">
        <v>#NAME?</v>
      </c>
      <c r="AT54" s="6" t="e">
        <v>#NULL!</v>
      </c>
      <c r="AU54" s="6" t="e">
        <v>#NUM!</v>
      </c>
      <c r="AV54" s="6" t="e">
        <v>#REF!</v>
      </c>
      <c r="AW54" s="4" t="e">
        <v>#N/A</v>
      </c>
    </row>
    <row r="55" spans="1:49" x14ac:dyDescent="0.15">
      <c r="A55" s="37" t="s">
        <v>75</v>
      </c>
      <c r="B55" s="36" t="s">
        <v>541</v>
      </c>
      <c r="C55" s="5"/>
      <c r="D55" s="5"/>
      <c r="E55" s="5"/>
      <c r="F55" s="5"/>
      <c r="G55" s="5"/>
      <c r="H55" s="8"/>
      <c r="I55" s="8"/>
      <c r="J55" s="8"/>
      <c r="K55" s="8"/>
      <c r="L55" s="8"/>
      <c r="M55" s="9"/>
      <c r="N55" s="9"/>
      <c r="O55" s="9"/>
      <c r="P55" s="9"/>
      <c r="Q55" s="9"/>
      <c r="R55" s="8"/>
      <c r="S55" s="8"/>
      <c r="T55" s="8"/>
      <c r="U55" s="8"/>
      <c r="V55" s="8"/>
      <c r="W55" s="10" t="b">
        <f ca="1">RAND()&lt;=1</f>
        <v>1</v>
      </c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5"/>
    </row>
    <row r="56" spans="1:49" x14ac:dyDescent="0.15">
      <c r="A56" s="42" t="s">
        <v>506</v>
      </c>
      <c r="H56" s="6"/>
      <c r="I56" s="6"/>
      <c r="J56" s="6"/>
      <c r="K56" s="6"/>
      <c r="L56" s="6"/>
      <c r="M56" s="7"/>
      <c r="N56" s="7"/>
      <c r="O56" s="7"/>
      <c r="P56" s="7"/>
      <c r="Q56" s="7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8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9" x14ac:dyDescent="0.15">
      <c r="A57" s="37" t="s">
        <v>76</v>
      </c>
      <c r="B57" s="36" t="s">
        <v>541</v>
      </c>
      <c r="C57" s="4">
        <v>1</v>
      </c>
      <c r="D57" s="4">
        <v>4</v>
      </c>
      <c r="E57" s="4">
        <v>4</v>
      </c>
      <c r="F57" s="4">
        <v>-5</v>
      </c>
      <c r="G57" s="4">
        <v>-3</v>
      </c>
      <c r="H57" s="6"/>
      <c r="I57" s="6" t="s">
        <v>32</v>
      </c>
      <c r="J57" s="6" t="b">
        <v>1</v>
      </c>
      <c r="K57" s="6" t="e">
        <v>#VALUE!</v>
      </c>
      <c r="L57" s="6" t="e">
        <v>#N/A</v>
      </c>
      <c r="M57" s="7" t="e">
        <v>#DIV/0!</v>
      </c>
      <c r="N57" s="7" t="e">
        <v>#NAME?</v>
      </c>
      <c r="O57" s="7" t="e">
        <v>#NULL!</v>
      </c>
      <c r="P57" s="7" t="e">
        <v>#NUM!</v>
      </c>
      <c r="Q57" s="7" t="e">
        <v>#REF!</v>
      </c>
      <c r="R57" s="6" t="b">
        <f ca="1">RANDBETWEEN(C57,D57)&gt;=C57</f>
        <v>1</v>
      </c>
      <c r="S57" s="6">
        <f ca="1">RANDBETWEEN(D57,E57)</f>
        <v>4</v>
      </c>
      <c r="T57" s="6" t="e">
        <f ca="1">RANDBETWEEN(E57,F57)</f>
        <v>#NUM!</v>
      </c>
      <c r="U57" s="6" t="b">
        <f ca="1">RANDBETWEEN(F57,G57)&gt;=F57</f>
        <v>1</v>
      </c>
      <c r="V57" s="6">
        <f ca="1">RANDBETWEEN(H57,H57)</f>
        <v>0</v>
      </c>
      <c r="W57" s="6" t="e">
        <f ca="1">RANDBETWEEN(H57,I57)</f>
        <v>#VALUE!</v>
      </c>
      <c r="X57" s="6" t="e">
        <f ca="1">RANDBETWEEN(G57,J57)</f>
        <v>#VALUE!</v>
      </c>
      <c r="Y57" s="6" t="e">
        <f t="shared" ref="Y57:AE57" ca="1" si="51">RANDBETWEEN(J57,K57)</f>
        <v>#VALUE!</v>
      </c>
      <c r="Z57" s="6" t="e">
        <f ca="1">RANDBETWEEN(K57,L57)</f>
        <v>#VALUE!</v>
      </c>
      <c r="AA57" s="6" t="e">
        <f ca="1">RANDBETWEEN(L57,M57)</f>
        <v>#N/A</v>
      </c>
      <c r="AB57" s="6" t="e">
        <f ca="1">RANDBETWEEN(M57,N57)</f>
        <v>#DIV/0!</v>
      </c>
      <c r="AC57" s="6" t="e">
        <f ca="1">RANDBETWEEN(N57,O57)</f>
        <v>#NAME?</v>
      </c>
      <c r="AD57" s="6" t="e">
        <f t="shared" ca="1" si="51"/>
        <v>#NULL!</v>
      </c>
      <c r="AE57" s="6" t="e">
        <f t="shared" ca="1" si="51"/>
        <v>#NUM!</v>
      </c>
      <c r="AF57" s="6" t="e">
        <f ca="1">RANDBETWEEN(Q57,P57)</f>
        <v>#REF!</v>
      </c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5"/>
    </row>
    <row r="58" spans="1:49" x14ac:dyDescent="0.15">
      <c r="A58" s="37" t="s">
        <v>77</v>
      </c>
      <c r="B58" s="36" t="s">
        <v>541</v>
      </c>
      <c r="C58" s="4">
        <v>0</v>
      </c>
      <c r="D58" s="4">
        <v>1.9</v>
      </c>
      <c r="E58" s="4">
        <v>2.9</v>
      </c>
      <c r="F58" s="4">
        <v>3.9</v>
      </c>
      <c r="G58" s="4">
        <v>4.9000000000000004</v>
      </c>
      <c r="H58" s="6"/>
      <c r="I58" s="6" t="s">
        <v>32</v>
      </c>
      <c r="J58" s="6" t="b">
        <v>1</v>
      </c>
      <c r="K58" s="6" t="e">
        <v>#VALUE!</v>
      </c>
      <c r="L58" s="6" t="e">
        <v>#N/A</v>
      </c>
      <c r="M58" s="7" t="e">
        <v>#DIV/0!</v>
      </c>
      <c r="N58" s="7" t="e">
        <v>#NAME?</v>
      </c>
      <c r="O58" s="7" t="e">
        <v>#NULL!</v>
      </c>
      <c r="P58" s="7" t="e">
        <v>#NUM!</v>
      </c>
      <c r="Q58" s="7" t="e">
        <v>#REF!</v>
      </c>
      <c r="R58" s="6" t="str">
        <f>ROMAN(999.9)</f>
        <v>CMXCIX</v>
      </c>
      <c r="S58" s="6" t="str">
        <f>ROMAN(999.9,D58)</f>
        <v>LMVLIV</v>
      </c>
      <c r="T58" s="6" t="str">
        <f t="shared" ref="T58:AF58" si="52">ROMAN(999.9,E58)</f>
        <v>XMIX</v>
      </c>
      <c r="U58" s="6" t="str">
        <f t="shared" si="52"/>
        <v>VMIV</v>
      </c>
      <c r="V58" s="6" t="str">
        <f t="shared" si="52"/>
        <v>IM</v>
      </c>
      <c r="W58" s="6" t="str">
        <f>ROMAN(999.9,H58)</f>
        <v>CMXCIX</v>
      </c>
      <c r="X58" s="6" t="e" vm="70">
        <f t="shared" si="52"/>
        <v>#VALUE!</v>
      </c>
      <c r="Y58" s="6" t="str">
        <f>ROMAN(999.9,J58)</f>
        <v>CMXCIX</v>
      </c>
      <c r="Z58" s="6" t="e">
        <f t="shared" si="52"/>
        <v>#VALUE!</v>
      </c>
      <c r="AA58" s="6" t="e">
        <f t="shared" si="52"/>
        <v>#N/A</v>
      </c>
      <c r="AB58" s="6" t="e">
        <f t="shared" si="52"/>
        <v>#DIV/0!</v>
      </c>
      <c r="AC58" s="6" t="e">
        <f t="shared" si="52"/>
        <v>#NAME?</v>
      </c>
      <c r="AD58" s="6" t="e">
        <f t="shared" si="52"/>
        <v>#NULL!</v>
      </c>
      <c r="AE58" s="6" t="e">
        <f t="shared" si="52"/>
        <v>#NUM!</v>
      </c>
      <c r="AF58" s="6" t="e">
        <f t="shared" si="52"/>
        <v>#REF!</v>
      </c>
      <c r="AG58" s="8"/>
      <c r="AH58" s="6" t="str">
        <f t="array" ref="AH58:AW58">ROMAN(C58:Q58)</f>
        <v/>
      </c>
      <c r="AI58" s="6" t="str">
        <v>I</v>
      </c>
      <c r="AJ58" s="6" t="str">
        <v>II</v>
      </c>
      <c r="AK58" s="6" t="str">
        <v>III</v>
      </c>
      <c r="AL58" s="6" t="str">
        <v>IV</v>
      </c>
      <c r="AM58" s="6" t="str">
        <v/>
      </c>
      <c r="AN58" s="6" t="e" vm="70">
        <v>#VALUE!</v>
      </c>
      <c r="AO58" s="6" t="str">
        <v>I</v>
      </c>
      <c r="AP58" s="6" t="e">
        <v>#VALUE!</v>
      </c>
      <c r="AQ58" s="6" t="e">
        <v>#N/A</v>
      </c>
      <c r="AR58" s="6" t="e">
        <v>#DIV/0!</v>
      </c>
      <c r="AS58" s="6" t="e">
        <v>#NAME?</v>
      </c>
      <c r="AT58" s="6" t="e">
        <v>#NULL!</v>
      </c>
      <c r="AU58" s="6" t="e">
        <v>#NUM!</v>
      </c>
      <c r="AV58" s="6" t="e">
        <v>#REF!</v>
      </c>
      <c r="AW58" s="4" t="e">
        <v>#N/A</v>
      </c>
    </row>
    <row r="59" spans="1:49" x14ac:dyDescent="0.15">
      <c r="A59" s="37" t="s">
        <v>78</v>
      </c>
      <c r="B59" s="36" t="s">
        <v>541</v>
      </c>
      <c r="C59" s="4">
        <v>2.5499999999999998</v>
      </c>
      <c r="D59" s="4">
        <v>-222.5</v>
      </c>
      <c r="E59" s="4">
        <v>-2.5499999999999998</v>
      </c>
      <c r="F59" s="4">
        <v>1.5</v>
      </c>
      <c r="G59" s="4">
        <v>0.23400000000000001</v>
      </c>
      <c r="H59" s="6"/>
      <c r="I59" s="6" t="s">
        <v>32</v>
      </c>
      <c r="J59" s="6" t="b">
        <v>1</v>
      </c>
      <c r="K59" s="6" t="e">
        <v>#VALUE!</v>
      </c>
      <c r="L59" s="6" t="e">
        <v>#N/A</v>
      </c>
      <c r="M59" s="7" t="e">
        <v>#DIV/0!</v>
      </c>
      <c r="N59" s="7" t="e">
        <v>#NAME?</v>
      </c>
      <c r="O59" s="7" t="e">
        <v>#NULL!</v>
      </c>
      <c r="P59" s="7" t="e">
        <v>#NUM!</v>
      </c>
      <c r="Q59" s="7" t="e">
        <v>#REF!</v>
      </c>
      <c r="R59" s="6">
        <f>ROUND(C59,1)</f>
        <v>2.6</v>
      </c>
      <c r="S59" s="6">
        <f>ROUND(D59,-2)</f>
        <v>-200</v>
      </c>
      <c r="T59" s="6">
        <f>ROUND(E59,1)</f>
        <v>-2.6</v>
      </c>
      <c r="U59" s="6">
        <f>ROUND(F59,0)</f>
        <v>2</v>
      </c>
      <c r="V59" s="6">
        <f>ROUND(G59,1.9)</f>
        <v>0.2</v>
      </c>
      <c r="W59" s="6">
        <f>ROUND(H59,-2)</f>
        <v>0</v>
      </c>
      <c r="X59" s="6" t="e" vm="71">
        <f>ROUND(I59,0)</f>
        <v>#VALUE!</v>
      </c>
      <c r="Y59" s="6">
        <f>ROUND(J59,0)</f>
        <v>1</v>
      </c>
      <c r="Z59" s="6" t="e">
        <f t="shared" ref="Z59:AF59" si="53">ROUND(K59,J59)</f>
        <v>#VALUE!</v>
      </c>
      <c r="AA59" s="6" t="e">
        <f t="shared" si="53"/>
        <v>#N/A</v>
      </c>
      <c r="AB59" s="6" t="e">
        <f t="shared" si="53"/>
        <v>#DIV/0!</v>
      </c>
      <c r="AC59" s="6" t="e">
        <f t="shared" si="53"/>
        <v>#NAME?</v>
      </c>
      <c r="AD59" s="6" t="e">
        <f t="shared" si="53"/>
        <v>#NULL!</v>
      </c>
      <c r="AE59" s="6" t="e">
        <f t="shared" si="53"/>
        <v>#NUM!</v>
      </c>
      <c r="AF59" s="6" t="e">
        <f t="shared" si="53"/>
        <v>#REF!</v>
      </c>
      <c r="AG59" s="8"/>
      <c r="AH59" s="6">
        <f t="array" ref="AH59:AW59">ROUND(C59:P59,D59:Q59)</f>
        <v>0</v>
      </c>
      <c r="AI59" s="6">
        <v>-200</v>
      </c>
      <c r="AJ59" s="6">
        <v>-2.6</v>
      </c>
      <c r="AK59" s="6">
        <v>2</v>
      </c>
      <c r="AL59" s="6">
        <v>0</v>
      </c>
      <c r="AM59" s="6" t="e" vm="71">
        <v>#VALUE!</v>
      </c>
      <c r="AN59" s="6" t="e" vm="71">
        <v>#VALUE!</v>
      </c>
      <c r="AO59" s="6" t="e">
        <v>#VALUE!</v>
      </c>
      <c r="AP59" s="6" t="e">
        <v>#VALUE!</v>
      </c>
      <c r="AQ59" s="6" t="e">
        <v>#N/A</v>
      </c>
      <c r="AR59" s="6" t="e">
        <v>#DIV/0!</v>
      </c>
      <c r="AS59" s="6" t="e">
        <v>#NAME?</v>
      </c>
      <c r="AT59" s="6" t="e">
        <v>#NULL!</v>
      </c>
      <c r="AU59" s="6" t="e">
        <v>#NUM!</v>
      </c>
      <c r="AV59" s="6" t="e">
        <v>#N/A</v>
      </c>
      <c r="AW59" s="4" t="e">
        <v>#N/A</v>
      </c>
    </row>
    <row r="60" spans="1:49" x14ac:dyDescent="0.15">
      <c r="A60" s="37" t="s">
        <v>79</v>
      </c>
      <c r="B60" s="36" t="s">
        <v>541</v>
      </c>
      <c r="C60" s="4">
        <v>2.5499999999999998</v>
      </c>
      <c r="D60" s="4">
        <v>-255.5</v>
      </c>
      <c r="E60" s="4">
        <v>-2.5499999999999998</v>
      </c>
      <c r="F60" s="4">
        <v>1.5</v>
      </c>
      <c r="G60" s="4">
        <v>0.23400000000000001</v>
      </c>
      <c r="H60" s="6"/>
      <c r="I60" s="6" t="s">
        <v>32</v>
      </c>
      <c r="J60" s="6" t="b">
        <v>1</v>
      </c>
      <c r="K60" s="6" t="e">
        <v>#VALUE!</v>
      </c>
      <c r="L60" s="6" t="e">
        <v>#N/A</v>
      </c>
      <c r="M60" s="7" t="e">
        <v>#DIV/0!</v>
      </c>
      <c r="N60" s="7" t="e">
        <v>#NAME?</v>
      </c>
      <c r="O60" s="7" t="e">
        <v>#NULL!</v>
      </c>
      <c r="P60" s="7" t="e">
        <v>#NUM!</v>
      </c>
      <c r="Q60" s="7" t="e">
        <v>#REF!</v>
      </c>
      <c r="R60" s="6">
        <f>ROUNDDOWN(C60,1)</f>
        <v>2.5</v>
      </c>
      <c r="S60" s="6">
        <f>ROUNDDOWN(D60,-2)</f>
        <v>-200</v>
      </c>
      <c r="T60" s="6">
        <f>ROUNDDOWN(E60,1)</f>
        <v>-2.5</v>
      </c>
      <c r="U60" s="6">
        <f>ROUNDDOWN(F60,0)</f>
        <v>1</v>
      </c>
      <c r="V60" s="6">
        <f>ROUNDDOWN(G60,1.9)</f>
        <v>0.2</v>
      </c>
      <c r="W60" s="6">
        <f>ROUNDDOWN(H60,-2)</f>
        <v>0</v>
      </c>
      <c r="X60" s="6" t="e" vm="72">
        <f>ROUNDDOWN(I60,0)</f>
        <v>#VALUE!</v>
      </c>
      <c r="Y60" s="6">
        <f>ROUNDDOWN(J60,0)</f>
        <v>1</v>
      </c>
      <c r="Z60" s="6" t="e">
        <f t="shared" ref="Z60:AF60" si="54">ROUNDDOWN(K60,J60)</f>
        <v>#VALUE!</v>
      </c>
      <c r="AA60" s="6" t="e">
        <f t="shared" si="54"/>
        <v>#N/A</v>
      </c>
      <c r="AB60" s="6" t="e">
        <f t="shared" si="54"/>
        <v>#DIV/0!</v>
      </c>
      <c r="AC60" s="6" t="e">
        <f t="shared" si="54"/>
        <v>#NAME?</v>
      </c>
      <c r="AD60" s="6" t="e">
        <f t="shared" si="54"/>
        <v>#NULL!</v>
      </c>
      <c r="AE60" s="6" t="e">
        <f t="shared" si="54"/>
        <v>#NUM!</v>
      </c>
      <c r="AF60" s="6" t="e">
        <f t="shared" si="54"/>
        <v>#REF!</v>
      </c>
      <c r="AG60" s="8"/>
      <c r="AH60" s="6">
        <f t="array" ref="AH60:AW60">ROUNDDOWN(C60:P60,D60:Q60)</f>
        <v>0</v>
      </c>
      <c r="AI60" s="6">
        <v>-200</v>
      </c>
      <c r="AJ60" s="6">
        <v>-2.5</v>
      </c>
      <c r="AK60" s="6">
        <v>1</v>
      </c>
      <c r="AL60" s="6">
        <v>0</v>
      </c>
      <c r="AM60" s="6" t="e" vm="72">
        <v>#VALUE!</v>
      </c>
      <c r="AN60" s="6" t="e" vm="72">
        <v>#VALUE!</v>
      </c>
      <c r="AO60" s="6" t="e">
        <v>#VALUE!</v>
      </c>
      <c r="AP60" s="6" t="e">
        <v>#VALUE!</v>
      </c>
      <c r="AQ60" s="6" t="e">
        <v>#N/A</v>
      </c>
      <c r="AR60" s="6" t="e">
        <v>#DIV/0!</v>
      </c>
      <c r="AS60" s="6" t="e">
        <v>#NAME?</v>
      </c>
      <c r="AT60" s="6" t="e">
        <v>#NULL!</v>
      </c>
      <c r="AU60" s="6" t="e">
        <v>#NUM!</v>
      </c>
      <c r="AV60" s="6" t="e">
        <v>#N/A</v>
      </c>
      <c r="AW60" s="4" t="e">
        <v>#N/A</v>
      </c>
    </row>
    <row r="61" spans="1:49" x14ac:dyDescent="0.15">
      <c r="A61" s="37" t="s">
        <v>80</v>
      </c>
      <c r="B61" s="36" t="s">
        <v>541</v>
      </c>
      <c r="C61" s="4">
        <v>2.5499999999999998</v>
      </c>
      <c r="D61" s="4">
        <v>-255.5</v>
      </c>
      <c r="E61" s="4">
        <v>-2.5499999999999998</v>
      </c>
      <c r="F61" s="4">
        <v>1.5</v>
      </c>
      <c r="G61" s="4">
        <v>0.23400000000000001</v>
      </c>
      <c r="H61" s="6"/>
      <c r="I61" s="6" t="s">
        <v>32</v>
      </c>
      <c r="J61" s="6" t="b">
        <v>1</v>
      </c>
      <c r="K61" s="6" t="e">
        <v>#VALUE!</v>
      </c>
      <c r="L61" s="6" t="e">
        <v>#N/A</v>
      </c>
      <c r="M61" s="7" t="e">
        <v>#DIV/0!</v>
      </c>
      <c r="N61" s="7" t="e">
        <v>#NAME?</v>
      </c>
      <c r="O61" s="7" t="e">
        <v>#NULL!</v>
      </c>
      <c r="P61" s="7" t="e">
        <v>#NUM!</v>
      </c>
      <c r="Q61" s="7" t="e">
        <v>#REF!</v>
      </c>
      <c r="R61" s="6">
        <f>ROUNDUP(C61,1)</f>
        <v>2.6</v>
      </c>
      <c r="S61" s="6">
        <f>ROUNDUP(D61,-2)</f>
        <v>-300</v>
      </c>
      <c r="T61" s="6">
        <f>ROUNDUP(E61,1)</f>
        <v>-2.6</v>
      </c>
      <c r="U61" s="6">
        <f>ROUNDUP(F61,0)</f>
        <v>2</v>
      </c>
      <c r="V61" s="6">
        <f>ROUNDUP(G61,1.2)</f>
        <v>0.30000000000000004</v>
      </c>
      <c r="W61" s="6">
        <f>ROUNDUP(H61,-2)</f>
        <v>0</v>
      </c>
      <c r="X61" s="6" t="e" vm="73">
        <f>ROUNDUP(I61,0)</f>
        <v>#VALUE!</v>
      </c>
      <c r="Y61" s="6">
        <f>ROUNDUP(J61,0)</f>
        <v>1</v>
      </c>
      <c r="Z61" s="6" t="e">
        <f t="shared" ref="Z61:AF61" si="55">ROUNDUP(K61,J61)</f>
        <v>#VALUE!</v>
      </c>
      <c r="AA61" s="6" t="e">
        <f t="shared" si="55"/>
        <v>#N/A</v>
      </c>
      <c r="AB61" s="6" t="e">
        <f t="shared" si="55"/>
        <v>#DIV/0!</v>
      </c>
      <c r="AC61" s="6" t="e">
        <f t="shared" si="55"/>
        <v>#NAME?</v>
      </c>
      <c r="AD61" s="6" t="e">
        <f t="shared" si="55"/>
        <v>#NULL!</v>
      </c>
      <c r="AE61" s="6" t="e">
        <f t="shared" si="55"/>
        <v>#NUM!</v>
      </c>
      <c r="AF61" s="6" t="e">
        <f t="shared" si="55"/>
        <v>#REF!</v>
      </c>
      <c r="AG61" s="8"/>
      <c r="AH61" s="6">
        <f t="array" ref="AH61:AW61">ROUNDUP(C61:P61,D61:Q61)</f>
        <v>9.9999999999999999E+254</v>
      </c>
      <c r="AI61" s="6">
        <v>-300</v>
      </c>
      <c r="AJ61" s="6">
        <v>-2.6</v>
      </c>
      <c r="AK61" s="6">
        <v>2</v>
      </c>
      <c r="AL61" s="6">
        <v>1</v>
      </c>
      <c r="AM61" s="6" t="e" vm="73">
        <v>#VALUE!</v>
      </c>
      <c r="AN61" s="6" t="e" vm="73">
        <v>#VALUE!</v>
      </c>
      <c r="AO61" s="6" t="e">
        <v>#VALUE!</v>
      </c>
      <c r="AP61" s="6" t="e">
        <v>#VALUE!</v>
      </c>
      <c r="AQ61" s="6" t="e">
        <v>#N/A</v>
      </c>
      <c r="AR61" s="6" t="e">
        <v>#DIV/0!</v>
      </c>
      <c r="AS61" s="6" t="e">
        <v>#NAME?</v>
      </c>
      <c r="AT61" s="6" t="e">
        <v>#NULL!</v>
      </c>
      <c r="AU61" s="6" t="e">
        <v>#NUM!</v>
      </c>
      <c r="AV61" s="6" t="e">
        <v>#N/A</v>
      </c>
      <c r="AW61" s="4" t="e">
        <v>#N/A</v>
      </c>
    </row>
    <row r="62" spans="1:49" x14ac:dyDescent="0.15">
      <c r="A62" s="37" t="s">
        <v>81</v>
      </c>
      <c r="B62" s="36" t="s">
        <v>541</v>
      </c>
      <c r="C62" s="4">
        <v>0</v>
      </c>
      <c r="D62" s="4">
        <v>1</v>
      </c>
      <c r="E62" s="4">
        <v>2.2999999999999998</v>
      </c>
      <c r="F62" s="4">
        <v>10</v>
      </c>
      <c r="G62" s="4">
        <v>-1</v>
      </c>
      <c r="H62" s="6"/>
      <c r="I62" s="6" t="s">
        <v>32</v>
      </c>
      <c r="J62" s="6" t="b">
        <v>1</v>
      </c>
      <c r="K62" s="6" t="e">
        <v>#VALUE!</v>
      </c>
      <c r="L62" s="6" t="e">
        <v>#N/A</v>
      </c>
      <c r="M62" s="7" t="e">
        <v>#DIV/0!</v>
      </c>
      <c r="N62" s="7" t="e">
        <v>#NAME?</v>
      </c>
      <c r="O62" s="7" t="e">
        <v>#NULL!</v>
      </c>
      <c r="P62" s="7" t="e">
        <v>#NUM!</v>
      </c>
      <c r="Q62" s="7" t="e">
        <v>#REF!</v>
      </c>
      <c r="R62" s="6">
        <f>_xlfn.SEC(C62)</f>
        <v>1</v>
      </c>
      <c r="S62" s="6">
        <f t="shared" ref="S62:AF62" si="56">_xlfn.SEC(D62)</f>
        <v>1.8508157176809255</v>
      </c>
      <c r="T62" s="6">
        <f t="shared" si="56"/>
        <v>-1.500879467460255</v>
      </c>
      <c r="U62" s="6">
        <f t="shared" si="56"/>
        <v>-1.1917935066878957</v>
      </c>
      <c r="V62" s="6">
        <f t="shared" si="56"/>
        <v>1.8508157176809255</v>
      </c>
      <c r="W62" s="6">
        <f t="shared" si="56"/>
        <v>1</v>
      </c>
      <c r="X62" s="6" t="e" vm="74">
        <f t="shared" si="56"/>
        <v>#VALUE!</v>
      </c>
      <c r="Y62" s="6">
        <f t="shared" si="56"/>
        <v>1.8508157176809255</v>
      </c>
      <c r="Z62" s="6" t="e">
        <f t="shared" si="56"/>
        <v>#VALUE!</v>
      </c>
      <c r="AA62" s="6" t="e">
        <f t="shared" si="56"/>
        <v>#N/A</v>
      </c>
      <c r="AB62" s="6" t="e">
        <f t="shared" si="56"/>
        <v>#DIV/0!</v>
      </c>
      <c r="AC62" s="6" t="e">
        <f t="shared" si="56"/>
        <v>#NAME?</v>
      </c>
      <c r="AD62" s="6" t="e">
        <f t="shared" si="56"/>
        <v>#NULL!</v>
      </c>
      <c r="AE62" s="6" t="e">
        <f t="shared" si="56"/>
        <v>#NUM!</v>
      </c>
      <c r="AF62" s="6" t="e">
        <f t="shared" si="56"/>
        <v>#REF!</v>
      </c>
      <c r="AG62" s="8"/>
      <c r="AH62" s="6">
        <f t="array" ref="AH62:AW62">_xlfn.SEC(C62:Q62)</f>
        <v>1</v>
      </c>
      <c r="AI62" s="6">
        <v>1.8508157176809255</v>
      </c>
      <c r="AJ62" s="6">
        <v>-1.500879467460255</v>
      </c>
      <c r="AK62" s="6">
        <v>-1.1917935066878957</v>
      </c>
      <c r="AL62" s="6">
        <v>1.8508157176809255</v>
      </c>
      <c r="AM62" s="6">
        <v>1</v>
      </c>
      <c r="AN62" s="6" t="e" vm="74">
        <v>#VALUE!</v>
      </c>
      <c r="AO62" s="6">
        <v>1.8508157176809255</v>
      </c>
      <c r="AP62" s="6" t="e">
        <v>#VALUE!</v>
      </c>
      <c r="AQ62" s="6" t="e">
        <v>#N/A</v>
      </c>
      <c r="AR62" s="6" t="e">
        <v>#DIV/0!</v>
      </c>
      <c r="AS62" s="6" t="e">
        <v>#NAME?</v>
      </c>
      <c r="AT62" s="6" t="e">
        <v>#NULL!</v>
      </c>
      <c r="AU62" s="6" t="e">
        <v>#NUM!</v>
      </c>
      <c r="AV62" s="6" t="e">
        <v>#REF!</v>
      </c>
      <c r="AW62" s="4" t="e">
        <v>#N/A</v>
      </c>
    </row>
    <row r="63" spans="1:49" x14ac:dyDescent="0.15">
      <c r="A63" s="37" t="s">
        <v>82</v>
      </c>
      <c r="B63" s="36" t="s">
        <v>541</v>
      </c>
      <c r="C63" s="4">
        <v>0</v>
      </c>
      <c r="D63" s="4">
        <v>1</v>
      </c>
      <c r="E63" s="4">
        <v>2.2999999999999998</v>
      </c>
      <c r="F63" s="4">
        <v>10</v>
      </c>
      <c r="G63" s="4">
        <v>-1</v>
      </c>
      <c r="H63" s="6"/>
      <c r="I63" s="6" t="s">
        <v>32</v>
      </c>
      <c r="J63" s="6" t="b">
        <v>1</v>
      </c>
      <c r="K63" s="6" t="e">
        <v>#VALUE!</v>
      </c>
      <c r="L63" s="6" t="e">
        <v>#N/A</v>
      </c>
      <c r="M63" s="7" t="e">
        <v>#DIV/0!</v>
      </c>
      <c r="N63" s="7" t="e">
        <v>#NAME?</v>
      </c>
      <c r="O63" s="7" t="e">
        <v>#NULL!</v>
      </c>
      <c r="P63" s="7" t="e">
        <v>#NUM!</v>
      </c>
      <c r="Q63" s="7" t="e">
        <v>#REF!</v>
      </c>
      <c r="R63" s="6">
        <f>_xlfn.SECH(C63)</f>
        <v>1</v>
      </c>
      <c r="S63" s="6">
        <f t="shared" ref="S63:AF63" si="57">_xlfn.SECH(D63)</f>
        <v>0.64805427366388546</v>
      </c>
      <c r="T63" s="6">
        <f t="shared" si="57"/>
        <v>0.19852217514933898</v>
      </c>
      <c r="U63" s="6">
        <f t="shared" si="57"/>
        <v>9.0799859337817237E-5</v>
      </c>
      <c r="V63" s="6">
        <f t="shared" si="57"/>
        <v>0.64805427366388546</v>
      </c>
      <c r="W63" s="6">
        <f t="shared" si="57"/>
        <v>1</v>
      </c>
      <c r="X63" s="6" t="e" vm="75">
        <f t="shared" si="57"/>
        <v>#VALUE!</v>
      </c>
      <c r="Y63" s="6">
        <f t="shared" si="57"/>
        <v>0.64805427366388546</v>
      </c>
      <c r="Z63" s="6" t="e">
        <f t="shared" si="57"/>
        <v>#VALUE!</v>
      </c>
      <c r="AA63" s="6" t="e">
        <f t="shared" si="57"/>
        <v>#N/A</v>
      </c>
      <c r="AB63" s="6" t="e">
        <f t="shared" si="57"/>
        <v>#DIV/0!</v>
      </c>
      <c r="AC63" s="6" t="e">
        <f t="shared" si="57"/>
        <v>#NAME?</v>
      </c>
      <c r="AD63" s="6" t="e">
        <f t="shared" si="57"/>
        <v>#NULL!</v>
      </c>
      <c r="AE63" s="6" t="e">
        <f t="shared" si="57"/>
        <v>#NUM!</v>
      </c>
      <c r="AF63" s="6" t="e">
        <f t="shared" si="57"/>
        <v>#REF!</v>
      </c>
      <c r="AG63" s="8"/>
      <c r="AH63" s="6">
        <f t="array" ref="AH63:AW63">_xlfn.SECH(C63:Q63)</f>
        <v>1</v>
      </c>
      <c r="AI63" s="6">
        <v>0.64805427366388546</v>
      </c>
      <c r="AJ63" s="6">
        <v>0.19852217514933898</v>
      </c>
      <c r="AK63" s="6">
        <v>9.0799859337817237E-5</v>
      </c>
      <c r="AL63" s="6">
        <v>0.64805427366388546</v>
      </c>
      <c r="AM63" s="6">
        <v>1</v>
      </c>
      <c r="AN63" s="6" t="e" vm="75">
        <v>#VALUE!</v>
      </c>
      <c r="AO63" s="6">
        <v>0.64805427366388546</v>
      </c>
      <c r="AP63" s="6" t="e">
        <v>#VALUE!</v>
      </c>
      <c r="AQ63" s="6" t="e">
        <v>#N/A</v>
      </c>
      <c r="AR63" s="6" t="e">
        <v>#DIV/0!</v>
      </c>
      <c r="AS63" s="6" t="e">
        <v>#NAME?</v>
      </c>
      <c r="AT63" s="6" t="e">
        <v>#NULL!</v>
      </c>
      <c r="AU63" s="6" t="e">
        <v>#NUM!</v>
      </c>
      <c r="AV63" s="6" t="e">
        <v>#REF!</v>
      </c>
      <c r="AW63" s="4" t="e">
        <v>#N/A</v>
      </c>
    </row>
    <row r="64" spans="1:49" x14ac:dyDescent="0.15">
      <c r="A64" s="42" t="s">
        <v>507</v>
      </c>
      <c r="H64" s="6"/>
      <c r="I64" s="6"/>
      <c r="J64" s="6"/>
      <c r="K64" s="6"/>
      <c r="L64" s="6"/>
      <c r="M64" s="7"/>
      <c r="N64" s="7"/>
      <c r="O64" s="7"/>
      <c r="P64" s="7"/>
      <c r="Q64" s="7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8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9" x14ac:dyDescent="0.15">
      <c r="A65" s="42" t="s">
        <v>83</v>
      </c>
      <c r="H65" s="6"/>
      <c r="I65" s="6"/>
      <c r="J65" s="6"/>
      <c r="K65" s="6"/>
      <c r="L65" s="6"/>
      <c r="M65" s="7"/>
      <c r="N65" s="7"/>
      <c r="O65" s="7"/>
      <c r="P65" s="7"/>
      <c r="Q65" s="7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8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9" x14ac:dyDescent="0.15">
      <c r="A66" s="37" t="s">
        <v>84</v>
      </c>
      <c r="B66" s="36" t="s">
        <v>541</v>
      </c>
      <c r="C66" s="4">
        <v>0</v>
      </c>
      <c r="D66" s="4">
        <v>1</v>
      </c>
      <c r="E66" s="4">
        <v>2.2999999999999998</v>
      </c>
      <c r="F66" s="4">
        <v>10</v>
      </c>
      <c r="G66" s="4">
        <v>-1</v>
      </c>
      <c r="H66" s="6"/>
      <c r="I66" s="6" t="s">
        <v>32</v>
      </c>
      <c r="J66" s="6" t="b">
        <v>1</v>
      </c>
      <c r="K66" s="6" t="e">
        <f>#VALUE!</f>
        <v>#VALUE!</v>
      </c>
      <c r="L66" s="6" t="e">
        <v>#N/A</v>
      </c>
      <c r="M66" s="7" t="e">
        <v>#DIV/0!</v>
      </c>
      <c r="N66" s="7" t="e">
        <v>#NAME?</v>
      </c>
      <c r="O66" s="7" t="e">
        <v>#NULL!</v>
      </c>
      <c r="P66" s="7" t="e">
        <v>#NUM!</v>
      </c>
      <c r="Q66" s="7" t="e">
        <v>#REF!</v>
      </c>
      <c r="R66" s="6">
        <f>SIGN(C66)</f>
        <v>0</v>
      </c>
      <c r="S66" s="6">
        <f t="shared" ref="S66:AF66" si="58">SIGN(D66)</f>
        <v>1</v>
      </c>
      <c r="T66" s="6">
        <f t="shared" si="58"/>
        <v>1</v>
      </c>
      <c r="U66" s="6">
        <f t="shared" si="58"/>
        <v>1</v>
      </c>
      <c r="V66" s="6">
        <f t="shared" si="58"/>
        <v>-1</v>
      </c>
      <c r="W66" s="6">
        <f t="shared" si="58"/>
        <v>0</v>
      </c>
      <c r="X66" s="6" t="e" vm="76">
        <f>SIGN(I66)</f>
        <v>#VALUE!</v>
      </c>
      <c r="Y66" s="6">
        <f t="shared" si="58"/>
        <v>1</v>
      </c>
      <c r="Z66" s="6" t="e">
        <f t="shared" si="58"/>
        <v>#VALUE!</v>
      </c>
      <c r="AA66" s="6" t="e">
        <f t="shared" si="58"/>
        <v>#N/A</v>
      </c>
      <c r="AB66" s="6" t="e">
        <f t="shared" si="58"/>
        <v>#DIV/0!</v>
      </c>
      <c r="AC66" s="6" t="e">
        <f t="shared" si="58"/>
        <v>#NAME?</v>
      </c>
      <c r="AD66" s="6" t="e">
        <f t="shared" si="58"/>
        <v>#NULL!</v>
      </c>
      <c r="AE66" s="6" t="e">
        <f t="shared" si="58"/>
        <v>#NUM!</v>
      </c>
      <c r="AF66" s="6" t="e">
        <f t="shared" si="58"/>
        <v>#REF!</v>
      </c>
      <c r="AG66" s="8"/>
      <c r="AH66" s="6">
        <f t="array" ref="AH66:AW66">SIGN(C66:Q66)</f>
        <v>0</v>
      </c>
      <c r="AI66" s="6">
        <v>1</v>
      </c>
      <c r="AJ66" s="6">
        <v>1</v>
      </c>
      <c r="AK66" s="6">
        <v>1</v>
      </c>
      <c r="AL66" s="6">
        <v>-1</v>
      </c>
      <c r="AM66" s="6">
        <v>0</v>
      </c>
      <c r="AN66" s="6" t="e" vm="76">
        <v>#VALUE!</v>
      </c>
      <c r="AO66" s="6">
        <v>1</v>
      </c>
      <c r="AP66" s="6" t="e">
        <v>#VALUE!</v>
      </c>
      <c r="AQ66" s="6" t="e">
        <v>#N/A</v>
      </c>
      <c r="AR66" s="6" t="e">
        <v>#DIV/0!</v>
      </c>
      <c r="AS66" s="6" t="e">
        <v>#NAME?</v>
      </c>
      <c r="AT66" s="6" t="e">
        <v>#NULL!</v>
      </c>
      <c r="AU66" s="6" t="e">
        <v>#NUM!</v>
      </c>
      <c r="AV66" s="6" t="e">
        <v>#REF!</v>
      </c>
      <c r="AW66" s="4" t="e">
        <v>#N/A</v>
      </c>
    </row>
    <row r="67" spans="1:49" x14ac:dyDescent="0.15">
      <c r="A67" s="37" t="s">
        <v>4</v>
      </c>
      <c r="B67" s="36" t="s">
        <v>541</v>
      </c>
      <c r="C67" s="4">
        <v>0</v>
      </c>
      <c r="D67" s="4">
        <v>1</v>
      </c>
      <c r="E67" s="4">
        <v>2.2999999999999998</v>
      </c>
      <c r="F67" s="4">
        <v>10</v>
      </c>
      <c r="G67" s="4">
        <v>-1</v>
      </c>
      <c r="H67" s="6"/>
      <c r="I67" s="6" t="s">
        <v>32</v>
      </c>
      <c r="J67" s="6" t="b">
        <v>1</v>
      </c>
      <c r="K67" s="6" t="e">
        <v>#VALUE!</v>
      </c>
      <c r="L67" s="6" t="e">
        <v>#N/A</v>
      </c>
      <c r="M67" s="7" t="e">
        <v>#DIV/0!</v>
      </c>
      <c r="N67" s="7" t="e">
        <v>#NAME?</v>
      </c>
      <c r="O67" s="7" t="e">
        <v>#NULL!</v>
      </c>
      <c r="P67" s="7" t="e">
        <v>#NUM!</v>
      </c>
      <c r="Q67" s="7" t="e">
        <v>#REF!</v>
      </c>
      <c r="R67" s="6">
        <f t="shared" ref="R67:AF67" si="59">SIN(C67)</f>
        <v>0</v>
      </c>
      <c r="S67" s="6">
        <f t="shared" si="59"/>
        <v>0.8414709848078965</v>
      </c>
      <c r="T67" s="6">
        <f t="shared" si="59"/>
        <v>0.74570521217672037</v>
      </c>
      <c r="U67" s="6">
        <f t="shared" si="59"/>
        <v>-0.54402111088936977</v>
      </c>
      <c r="V67" s="6">
        <f t="shared" si="59"/>
        <v>-0.8414709848078965</v>
      </c>
      <c r="W67" s="6">
        <f t="shared" si="59"/>
        <v>0</v>
      </c>
      <c r="X67" s="6" t="e" vm="77">
        <f t="shared" si="59"/>
        <v>#VALUE!</v>
      </c>
      <c r="Y67" s="6">
        <f t="shared" si="59"/>
        <v>0.8414709848078965</v>
      </c>
      <c r="Z67" s="6" t="e">
        <f t="shared" si="59"/>
        <v>#VALUE!</v>
      </c>
      <c r="AA67" s="6" t="e">
        <f t="shared" si="59"/>
        <v>#N/A</v>
      </c>
      <c r="AB67" s="6" t="e">
        <f t="shared" si="59"/>
        <v>#DIV/0!</v>
      </c>
      <c r="AC67" s="6" t="e">
        <f t="shared" si="59"/>
        <v>#NAME?</v>
      </c>
      <c r="AD67" s="6" t="e">
        <f t="shared" si="59"/>
        <v>#NULL!</v>
      </c>
      <c r="AE67" s="6" t="e">
        <f t="shared" si="59"/>
        <v>#NUM!</v>
      </c>
      <c r="AF67" s="6" t="e">
        <f t="shared" si="59"/>
        <v>#REF!</v>
      </c>
      <c r="AG67" s="8"/>
      <c r="AH67" s="6">
        <f t="array" ref="AH67:AW67">SIN(C67:Q67)</f>
        <v>0</v>
      </c>
      <c r="AI67" s="6">
        <v>0.8414709848078965</v>
      </c>
      <c r="AJ67" s="6">
        <v>0.74570521217672037</v>
      </c>
      <c r="AK67" s="6">
        <v>-0.54402111088936977</v>
      </c>
      <c r="AL67" s="6">
        <v>-0.8414709848078965</v>
      </c>
      <c r="AM67" s="6">
        <v>0</v>
      </c>
      <c r="AN67" s="6" t="e" vm="77">
        <v>#VALUE!</v>
      </c>
      <c r="AO67" s="6">
        <v>0.8414709848078965</v>
      </c>
      <c r="AP67" s="6" t="e">
        <v>#VALUE!</v>
      </c>
      <c r="AQ67" s="6" t="e">
        <v>#N/A</v>
      </c>
      <c r="AR67" s="6" t="e">
        <v>#DIV/0!</v>
      </c>
      <c r="AS67" s="6" t="e">
        <v>#NAME?</v>
      </c>
      <c r="AT67" s="6" t="e">
        <v>#NULL!</v>
      </c>
      <c r="AU67" s="6" t="e">
        <v>#NUM!</v>
      </c>
      <c r="AV67" s="6" t="e">
        <v>#REF!</v>
      </c>
      <c r="AW67" s="4" t="e">
        <v>#N/A</v>
      </c>
    </row>
    <row r="68" spans="1:49" x14ac:dyDescent="0.15">
      <c r="A68" s="37" t="s">
        <v>14</v>
      </c>
      <c r="B68" s="36" t="s">
        <v>541</v>
      </c>
      <c r="C68" s="4">
        <v>0</v>
      </c>
      <c r="D68" s="4">
        <v>1</v>
      </c>
      <c r="E68" s="4">
        <v>2.2999999999999998</v>
      </c>
      <c r="F68" s="4">
        <v>10</v>
      </c>
      <c r="G68" s="4">
        <v>-1</v>
      </c>
      <c r="H68" s="6"/>
      <c r="I68" s="6" t="s">
        <v>32</v>
      </c>
      <c r="J68" s="6" t="b">
        <v>1</v>
      </c>
      <c r="K68" s="6" t="e">
        <v>#VALUE!</v>
      </c>
      <c r="L68" s="6" t="e">
        <v>#N/A</v>
      </c>
      <c r="M68" s="7" t="e">
        <v>#DIV/0!</v>
      </c>
      <c r="N68" s="7" t="e">
        <v>#NAME?</v>
      </c>
      <c r="O68" s="7" t="e">
        <v>#NULL!</v>
      </c>
      <c r="P68" s="7" t="e">
        <v>#NUM!</v>
      </c>
      <c r="Q68" s="7" t="e">
        <v>#REF!</v>
      </c>
      <c r="R68" s="6">
        <f t="shared" ref="R68:AF68" si="60">SINH(C68)</f>
        <v>0</v>
      </c>
      <c r="S68" s="6">
        <f t="shared" si="60"/>
        <v>1.1752011936438014</v>
      </c>
      <c r="T68" s="6">
        <f t="shared" si="60"/>
        <v>4.9369618055459572</v>
      </c>
      <c r="U68" s="6">
        <f t="shared" si="60"/>
        <v>11013.232874703393</v>
      </c>
      <c r="V68" s="6">
        <f t="shared" si="60"/>
        <v>-1.1752011936438014</v>
      </c>
      <c r="W68" s="6">
        <f t="shared" si="60"/>
        <v>0</v>
      </c>
      <c r="X68" s="6" t="e" vm="78">
        <f t="shared" si="60"/>
        <v>#VALUE!</v>
      </c>
      <c r="Y68" s="6">
        <f t="shared" si="60"/>
        <v>1.1752011936438014</v>
      </c>
      <c r="Z68" s="6" t="e">
        <f t="shared" si="60"/>
        <v>#VALUE!</v>
      </c>
      <c r="AA68" s="6" t="e">
        <f t="shared" si="60"/>
        <v>#N/A</v>
      </c>
      <c r="AB68" s="6" t="e">
        <f t="shared" si="60"/>
        <v>#DIV/0!</v>
      </c>
      <c r="AC68" s="6" t="e">
        <f t="shared" si="60"/>
        <v>#NAME?</v>
      </c>
      <c r="AD68" s="6" t="e">
        <f t="shared" si="60"/>
        <v>#NULL!</v>
      </c>
      <c r="AE68" s="6" t="e">
        <f t="shared" si="60"/>
        <v>#NUM!</v>
      </c>
      <c r="AF68" s="6" t="e">
        <f t="shared" si="60"/>
        <v>#REF!</v>
      </c>
      <c r="AG68" s="8"/>
      <c r="AH68" s="6">
        <f t="array" ref="AH68:AW68">SINH(C68:Q68)</f>
        <v>0</v>
      </c>
      <c r="AI68" s="6">
        <v>1.1752011936438014</v>
      </c>
      <c r="AJ68" s="6">
        <v>4.9369618055459572</v>
      </c>
      <c r="AK68" s="6">
        <v>11013.232874703393</v>
      </c>
      <c r="AL68" s="6">
        <v>-1.1752011936438014</v>
      </c>
      <c r="AM68" s="6">
        <v>0</v>
      </c>
      <c r="AN68" s="6" t="e" vm="78">
        <v>#VALUE!</v>
      </c>
      <c r="AO68" s="6">
        <v>1.1752011936438014</v>
      </c>
      <c r="AP68" s="6" t="e">
        <v>#VALUE!</v>
      </c>
      <c r="AQ68" s="6" t="e">
        <v>#N/A</v>
      </c>
      <c r="AR68" s="6" t="e">
        <v>#DIV/0!</v>
      </c>
      <c r="AS68" s="6" t="e">
        <v>#NAME?</v>
      </c>
      <c r="AT68" s="6" t="e">
        <v>#NULL!</v>
      </c>
      <c r="AU68" s="6" t="e">
        <v>#NUM!</v>
      </c>
      <c r="AV68" s="6" t="e">
        <v>#REF!</v>
      </c>
      <c r="AW68" s="4" t="e">
        <v>#N/A</v>
      </c>
    </row>
    <row r="69" spans="1:49" x14ac:dyDescent="0.15">
      <c r="A69" s="37" t="s">
        <v>24</v>
      </c>
      <c r="B69" s="36" t="s">
        <v>541</v>
      </c>
      <c r="C69" s="4">
        <v>0</v>
      </c>
      <c r="D69" s="4">
        <v>1</v>
      </c>
      <c r="E69" s="4">
        <v>2.2999999999999998</v>
      </c>
      <c r="F69" s="4">
        <v>10</v>
      </c>
      <c r="G69" s="4">
        <v>-1</v>
      </c>
      <c r="H69" s="6"/>
      <c r="I69" s="6" t="s">
        <v>32</v>
      </c>
      <c r="J69" s="6" t="b">
        <v>1</v>
      </c>
      <c r="K69" s="6" t="e">
        <v>#VALUE!</v>
      </c>
      <c r="L69" s="6" t="e">
        <v>#N/A</v>
      </c>
      <c r="M69" s="7" t="e">
        <v>#DIV/0!</v>
      </c>
      <c r="N69" s="7" t="e">
        <v>#NAME?</v>
      </c>
      <c r="O69" s="7" t="e">
        <v>#NULL!</v>
      </c>
      <c r="P69" s="7" t="e">
        <v>#NUM!</v>
      </c>
      <c r="Q69" s="7" t="e">
        <v>#REF!</v>
      </c>
      <c r="R69" s="6">
        <f t="shared" ref="R69:AF69" si="61">SQRT(C69)</f>
        <v>0</v>
      </c>
      <c r="S69" s="6">
        <f t="shared" si="61"/>
        <v>1</v>
      </c>
      <c r="T69" s="6">
        <f t="shared" si="61"/>
        <v>1.51657508881031</v>
      </c>
      <c r="U69" s="6">
        <f t="shared" si="61"/>
        <v>3.1622776601683795</v>
      </c>
      <c r="V69" s="6" t="e">
        <f t="shared" si="61"/>
        <v>#NUM!</v>
      </c>
      <c r="W69" s="6">
        <f t="shared" si="61"/>
        <v>0</v>
      </c>
      <c r="X69" s="6" t="e" vm="79">
        <f t="shared" si="61"/>
        <v>#VALUE!</v>
      </c>
      <c r="Y69" s="6">
        <f t="shared" si="61"/>
        <v>1</v>
      </c>
      <c r="Z69" s="6" t="e">
        <f t="shared" si="61"/>
        <v>#VALUE!</v>
      </c>
      <c r="AA69" s="6" t="e">
        <f t="shared" si="61"/>
        <v>#N/A</v>
      </c>
      <c r="AB69" s="6" t="e">
        <f t="shared" si="61"/>
        <v>#DIV/0!</v>
      </c>
      <c r="AC69" s="6" t="e">
        <f t="shared" si="61"/>
        <v>#NAME?</v>
      </c>
      <c r="AD69" s="6" t="e">
        <f t="shared" si="61"/>
        <v>#NULL!</v>
      </c>
      <c r="AE69" s="6" t="e">
        <f t="shared" si="61"/>
        <v>#NUM!</v>
      </c>
      <c r="AF69" s="6" t="e">
        <f t="shared" si="61"/>
        <v>#REF!</v>
      </c>
      <c r="AG69" s="8"/>
      <c r="AH69" s="6">
        <f t="array" ref="AH69:AW69">SQRT(C69:Q69)</f>
        <v>0</v>
      </c>
      <c r="AI69" s="6">
        <v>1</v>
      </c>
      <c r="AJ69" s="6">
        <v>1.51657508881031</v>
      </c>
      <c r="AK69" s="6">
        <v>3.1622776601683795</v>
      </c>
      <c r="AL69" s="6" t="e">
        <v>#NUM!</v>
      </c>
      <c r="AM69" s="6">
        <v>0</v>
      </c>
      <c r="AN69" s="6" t="e" vm="79">
        <v>#VALUE!</v>
      </c>
      <c r="AO69" s="6">
        <v>1</v>
      </c>
      <c r="AP69" s="6" t="e">
        <v>#VALUE!</v>
      </c>
      <c r="AQ69" s="6" t="e">
        <v>#N/A</v>
      </c>
      <c r="AR69" s="6" t="e">
        <v>#DIV/0!</v>
      </c>
      <c r="AS69" s="6" t="e">
        <v>#NAME?</v>
      </c>
      <c r="AT69" s="6" t="e">
        <v>#NULL!</v>
      </c>
      <c r="AU69" s="6" t="e">
        <v>#NUM!</v>
      </c>
      <c r="AV69" s="6" t="e">
        <v>#REF!</v>
      </c>
      <c r="AW69" s="4" t="e">
        <v>#N/A</v>
      </c>
    </row>
    <row r="70" spans="1:49" x14ac:dyDescent="0.15">
      <c r="A70" s="37" t="s">
        <v>85</v>
      </c>
      <c r="B70" s="36" t="s">
        <v>541</v>
      </c>
      <c r="C70" s="4">
        <v>0</v>
      </c>
      <c r="D70" s="4">
        <v>1</v>
      </c>
      <c r="E70" s="4">
        <v>2.2999999999999998</v>
      </c>
      <c r="F70" s="4">
        <v>10</v>
      </c>
      <c r="G70" s="4">
        <v>-1</v>
      </c>
      <c r="H70" s="6"/>
      <c r="I70" s="6" t="s">
        <v>32</v>
      </c>
      <c r="J70" s="6" t="b">
        <v>1</v>
      </c>
      <c r="K70" s="6" t="e">
        <v>#VALUE!</v>
      </c>
      <c r="L70" s="6" t="e">
        <v>#N/A</v>
      </c>
      <c r="M70" s="7" t="e">
        <v>#DIV/0!</v>
      </c>
      <c r="N70" s="7" t="e">
        <v>#NAME?</v>
      </c>
      <c r="O70" s="7" t="e">
        <v>#NULL!</v>
      </c>
      <c r="P70" s="7" t="e">
        <v>#NUM!</v>
      </c>
      <c r="Q70" s="7" t="e">
        <v>#REF!</v>
      </c>
      <c r="R70" s="6">
        <f>SQRTPI(C70)</f>
        <v>0</v>
      </c>
      <c r="S70" s="6">
        <f t="shared" ref="S70:AF70" si="62">SQRTPI(D70)</f>
        <v>1.7724538509055159</v>
      </c>
      <c r="T70" s="6">
        <f t="shared" si="62"/>
        <v>2.6880593563492088</v>
      </c>
      <c r="U70" s="6">
        <f t="shared" si="62"/>
        <v>5.604991216397929</v>
      </c>
      <c r="V70" s="6" t="e">
        <f t="shared" si="62"/>
        <v>#NUM!</v>
      </c>
      <c r="W70" s="6">
        <f>SQRTPI(H70)</f>
        <v>0</v>
      </c>
      <c r="X70" s="6" t="e">
        <f>SQRTPI(I70)</f>
        <v>#VALUE!</v>
      </c>
      <c r="Y70" s="6" t="e">
        <f>SQRTPI(J70)</f>
        <v>#VALUE!</v>
      </c>
      <c r="Z70" s="6" t="e">
        <f t="shared" si="62"/>
        <v>#VALUE!</v>
      </c>
      <c r="AA70" s="6" t="e">
        <f t="shared" si="62"/>
        <v>#N/A</v>
      </c>
      <c r="AB70" s="6" t="e">
        <f t="shared" si="62"/>
        <v>#DIV/0!</v>
      </c>
      <c r="AC70" s="6" t="e">
        <f t="shared" si="62"/>
        <v>#NAME?</v>
      </c>
      <c r="AD70" s="6" t="e">
        <f t="shared" si="62"/>
        <v>#NULL!</v>
      </c>
      <c r="AE70" s="6" t="e">
        <f t="shared" si="62"/>
        <v>#NUM!</v>
      </c>
      <c r="AF70" s="6" t="e">
        <f t="shared" si="62"/>
        <v>#REF!</v>
      </c>
      <c r="AG70" s="8"/>
      <c r="AH70" s="6" t="e">
        <f t="array" ref="AH70:AW70">SQRTPI(C70:Q70)</f>
        <v>#VALUE!</v>
      </c>
      <c r="AI70" s="6" t="e">
        <v>#VALUE!</v>
      </c>
      <c r="AJ70" s="6" t="e">
        <v>#VALUE!</v>
      </c>
      <c r="AK70" s="6" t="e">
        <v>#VALUE!</v>
      </c>
      <c r="AL70" s="6" t="e">
        <v>#VALUE!</v>
      </c>
      <c r="AM70" s="6" t="e">
        <v>#VALUE!</v>
      </c>
      <c r="AN70" s="6" t="e">
        <v>#VALUE!</v>
      </c>
      <c r="AO70" s="6" t="e">
        <v>#VALUE!</v>
      </c>
      <c r="AP70" s="6" t="e">
        <v>#VALUE!</v>
      </c>
      <c r="AQ70" s="6" t="e">
        <v>#VALUE!</v>
      </c>
      <c r="AR70" s="6" t="e">
        <v>#VALUE!</v>
      </c>
      <c r="AS70" s="6" t="e">
        <v>#VALUE!</v>
      </c>
      <c r="AT70" s="6" t="e">
        <v>#VALUE!</v>
      </c>
      <c r="AU70" s="6" t="e">
        <v>#VALUE!</v>
      </c>
      <c r="AV70" s="6" t="e">
        <v>#VALUE!</v>
      </c>
      <c r="AW70" s="4" t="e">
        <v>#VALUE!</v>
      </c>
    </row>
    <row r="71" spans="1:49" x14ac:dyDescent="0.15">
      <c r="A71" s="42" t="s">
        <v>86</v>
      </c>
      <c r="H71" s="6"/>
      <c r="I71" s="6"/>
      <c r="J71" s="6"/>
      <c r="K71" s="6"/>
      <c r="L71" s="6"/>
      <c r="M71" s="7"/>
      <c r="N71" s="7"/>
      <c r="O71" s="7"/>
      <c r="P71" s="7"/>
      <c r="Q71" s="7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8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9" x14ac:dyDescent="0.15">
      <c r="A72" s="37" t="s">
        <v>39</v>
      </c>
      <c r="B72" s="36" t="s">
        <v>541</v>
      </c>
      <c r="C72" s="4">
        <v>0</v>
      </c>
      <c r="D72" s="4">
        <v>1</v>
      </c>
      <c r="E72" s="4">
        <v>2.2999999999999998</v>
      </c>
      <c r="F72" s="4">
        <v>10</v>
      </c>
      <c r="G72" s="4">
        <v>-1</v>
      </c>
      <c r="H72" s="6"/>
      <c r="I72" s="6" t="s">
        <v>32</v>
      </c>
      <c r="J72" s="6" t="b">
        <v>1</v>
      </c>
      <c r="K72" s="6" t="e">
        <v>#VALUE!</v>
      </c>
      <c r="L72" s="6" t="e">
        <v>#N/A</v>
      </c>
      <c r="M72" s="7" t="e">
        <v>#DIV/0!</v>
      </c>
      <c r="N72" s="7" t="e">
        <v>#NAME?</v>
      </c>
      <c r="O72" s="7" t="e">
        <v>#NULL!</v>
      </c>
      <c r="P72" s="7" t="e">
        <v>#NUM!</v>
      </c>
      <c r="Q72" s="7" t="e">
        <v>#REF!</v>
      </c>
      <c r="R72" s="6">
        <f>SUM(C72:D72,D72:E72,E72:F72)</f>
        <v>16.600000000000001</v>
      </c>
      <c r="S72" s="6">
        <f>SUM(D72:E72,E72:F72,F72:G72)</f>
        <v>24.6</v>
      </c>
      <c r="T72" s="6">
        <f>SUM(F72:G72,F72:G72,D72:E72)</f>
        <v>21.3</v>
      </c>
      <c r="U72" s="6">
        <f>SUM(F72:G72,C72:D72,D72:E72)</f>
        <v>13.3</v>
      </c>
      <c r="V72" s="6">
        <f>SUM(E72:G72,C72:E72,D72:F72)</f>
        <v>27.900000000000002</v>
      </c>
      <c r="W72" s="6">
        <f>SUM(F72:G72,G72:H72,E72:F72)</f>
        <v>20.3</v>
      </c>
      <c r="X72" s="6">
        <f>SUM(H72:I72,E72:F72,F72:G72)</f>
        <v>21.3</v>
      </c>
      <c r="Y72" s="6">
        <f>SUM(I72:J72,F72:G72,G72:H72)</f>
        <v>8</v>
      </c>
      <c r="Z72" s="6" t="e">
        <f>SUM(K72:L72,C72:D72,D72:E72)</f>
        <v>#VALUE!</v>
      </c>
      <c r="AA72" s="6" t="e">
        <f>SUM(L72:M72,D72:E72,E72:F72)</f>
        <v>#N/A</v>
      </c>
      <c r="AB72" s="6" t="e">
        <f>SUM(M72:N72,E72:F72,F72:G72)</f>
        <v>#DIV/0!</v>
      </c>
      <c r="AC72" s="6" t="e">
        <f>SUM(N72:O72,F72:G72,G72:H72)</f>
        <v>#NAME?</v>
      </c>
      <c r="AD72" s="6" t="e">
        <f>SUM(O72:P72,G72:H72,H72:I72)</f>
        <v>#NULL!</v>
      </c>
      <c r="AE72" s="6" t="e">
        <f>SUM(P72:Q72,H72:I72,I72:K72)</f>
        <v>#NUM!</v>
      </c>
      <c r="AF72" s="6" t="e">
        <f>SUM(Q72:R72,I72:K72,K72:L72)</f>
        <v>#REF!</v>
      </c>
      <c r="AG72" s="6">
        <f>SUM(D72:H72,C72:G72)</f>
        <v>24.6</v>
      </c>
      <c r="AH72" s="6">
        <f t="array" ref="AH72:AL72">SUM(D72:H72,C72:G72)</f>
        <v>24.6</v>
      </c>
      <c r="AI72" s="6">
        <v>24.6</v>
      </c>
      <c r="AJ72" s="6">
        <v>24.6</v>
      </c>
      <c r="AK72" s="6">
        <v>24.6</v>
      </c>
      <c r="AL72" s="6">
        <v>24.6</v>
      </c>
      <c r="AM72" s="6">
        <f>SUM(D72:I72,C72:H72)</f>
        <v>24.6</v>
      </c>
      <c r="AN72" s="6" t="e">
        <f t="array" ref="AN72:AW72">SUM(L72:Q72,K72:P72)</f>
        <v>#N/A</v>
      </c>
      <c r="AO72" s="6" t="e">
        <v>#N/A</v>
      </c>
      <c r="AP72" s="6" t="e">
        <v>#N/A</v>
      </c>
      <c r="AQ72" s="6" t="e">
        <v>#N/A</v>
      </c>
      <c r="AR72" s="6" t="e">
        <v>#N/A</v>
      </c>
      <c r="AS72" s="6" t="e">
        <v>#N/A</v>
      </c>
      <c r="AT72" s="6" t="e">
        <v>#N/A</v>
      </c>
      <c r="AU72" s="6" t="e">
        <v>#N/A</v>
      </c>
      <c r="AV72" s="6" t="e">
        <v>#N/A</v>
      </c>
      <c r="AW72" s="4" t="e">
        <v>#N/A</v>
      </c>
    </row>
    <row r="73" spans="1:49" x14ac:dyDescent="0.15">
      <c r="A73" s="37" t="s">
        <v>87</v>
      </c>
      <c r="B73" s="36" t="s">
        <v>541</v>
      </c>
      <c r="C73" s="4">
        <v>0</v>
      </c>
      <c r="D73" s="4">
        <v>1</v>
      </c>
      <c r="E73" s="4">
        <v>2.2999999999999998</v>
      </c>
      <c r="F73" s="4">
        <v>10</v>
      </c>
      <c r="G73" s="4">
        <v>-1</v>
      </c>
      <c r="H73" s="6"/>
      <c r="I73" s="6" t="s">
        <v>32</v>
      </c>
      <c r="J73" s="6" t="b">
        <v>1</v>
      </c>
      <c r="K73" s="6" t="e">
        <v>#VALUE!</v>
      </c>
      <c r="L73" s="6" t="e">
        <v>#N/A</v>
      </c>
      <c r="M73" s="7" t="e">
        <v>#DIV/0!</v>
      </c>
      <c r="N73" s="7" t="e">
        <v>#NAME?</v>
      </c>
      <c r="O73" s="7" t="e">
        <v>#NULL!</v>
      </c>
      <c r="P73" s="7" t="e">
        <v>#NUM!</v>
      </c>
      <c r="Q73" s="7" t="e">
        <v>#REF!</v>
      </c>
      <c r="R73" s="6">
        <f>SUMIF(C73:D73,1,E73:F73)</f>
        <v>10</v>
      </c>
      <c r="S73" s="6">
        <f>SUMIF(D73:E73,"1",F73:G73)</f>
        <v>10</v>
      </c>
      <c r="T73" s="6">
        <f>SUMIF(E73:F73,"&gt;1",G73:H73)</f>
        <v>-1</v>
      </c>
      <c r="U73" s="6">
        <f>SUMIF(F73:G73,"&lt;&gt;-1",G73:H73)</f>
        <v>-1</v>
      </c>
      <c r="V73" s="6">
        <f>SUMIF(G73:H73,1,I73:J73)</f>
        <v>0</v>
      </c>
      <c r="W73" s="6">
        <f>SUMIF(H73:I73,H73,D73:E73)</f>
        <v>0</v>
      </c>
      <c r="X73" s="6">
        <f>SUMIF(I73:J73,I73,E73:F73)</f>
        <v>2.2999999999999998</v>
      </c>
      <c r="Y73" s="6">
        <f>SUMIF(I73:J73,"&lt;=TRUE",F73:G73)</f>
        <v>-1</v>
      </c>
      <c r="Z73" s="6" t="e">
        <f>SUMIF(I73:J73,I73,K73:L73)</f>
        <v>#VALUE!</v>
      </c>
      <c r="AA73" s="6" t="e">
        <f t="shared" ref="AA73:AF73" si="63">SUMIF(J73:K73,J73,L73:M73)</f>
        <v>#N/A</v>
      </c>
      <c r="AB73" s="6" t="e">
        <f t="shared" si="63"/>
        <v>#DIV/0!</v>
      </c>
      <c r="AC73" s="6" t="e">
        <f t="shared" si="63"/>
        <v>#NAME?</v>
      </c>
      <c r="AD73" s="6" t="e">
        <f t="shared" si="63"/>
        <v>#NULL!</v>
      </c>
      <c r="AE73" s="6" t="e">
        <f t="shared" si="63"/>
        <v>#NUM!</v>
      </c>
      <c r="AF73" s="6" t="e">
        <f t="shared" si="63"/>
        <v>#REF!</v>
      </c>
      <c r="AG73" s="6">
        <f t="array" ref="AG73">SUMIF(D73:H73,{1,"&gt;3"},E73:I73)</f>
        <v>2.2999999999999998</v>
      </c>
      <c r="AH73" s="6">
        <f t="array" ref="AH73:AW73">SUMIF(F73:J73,{"*ao","","TRUE",TRUE,"*a?"},C73:G73)</f>
        <v>10</v>
      </c>
      <c r="AI73" s="6">
        <v>2.2999999999999998</v>
      </c>
      <c r="AJ73" s="6">
        <v>-1</v>
      </c>
      <c r="AK73" s="6">
        <v>-1</v>
      </c>
      <c r="AL73" s="6">
        <v>10</v>
      </c>
      <c r="AM73" s="6" t="e">
        <v>#N/A</v>
      </c>
      <c r="AN73" s="6" t="e">
        <v>#N/A</v>
      </c>
      <c r="AO73" s="6" t="e">
        <v>#N/A</v>
      </c>
      <c r="AP73" s="6" t="e">
        <v>#N/A</v>
      </c>
      <c r="AQ73" s="6" t="e">
        <v>#N/A</v>
      </c>
      <c r="AR73" s="6" t="e">
        <v>#N/A</v>
      </c>
      <c r="AS73" s="6" t="e">
        <v>#N/A</v>
      </c>
      <c r="AT73" s="6" t="e">
        <v>#N/A</v>
      </c>
      <c r="AU73" s="6" t="e">
        <v>#N/A</v>
      </c>
      <c r="AV73" s="6" t="e">
        <v>#N/A</v>
      </c>
      <c r="AW73" s="4" t="e">
        <v>#N/A</v>
      </c>
    </row>
    <row r="74" spans="1:49" x14ac:dyDescent="0.15">
      <c r="A74" s="37" t="s">
        <v>88</v>
      </c>
      <c r="B74" s="36" t="s">
        <v>541</v>
      </c>
      <c r="C74" s="4">
        <v>0</v>
      </c>
      <c r="D74" s="4">
        <v>1</v>
      </c>
      <c r="E74" s="4">
        <v>2.2999999999999998</v>
      </c>
      <c r="F74" s="4">
        <v>10</v>
      </c>
      <c r="G74" s="4">
        <v>-1</v>
      </c>
      <c r="H74" s="6"/>
      <c r="I74" s="6" t="s">
        <v>32</v>
      </c>
      <c r="J74" s="6" t="b">
        <v>1</v>
      </c>
      <c r="K74" s="6" t="e">
        <v>#VALUE!</v>
      </c>
      <c r="L74" s="6" t="e">
        <v>#N/A</v>
      </c>
      <c r="M74" s="7" t="e">
        <v>#DIV/0!</v>
      </c>
      <c r="N74" s="7" t="e">
        <v>#NAME?</v>
      </c>
      <c r="O74" s="7" t="e">
        <v>#NULL!</v>
      </c>
      <c r="P74" s="7" t="e">
        <v>#NUM!</v>
      </c>
      <c r="Q74" s="7" t="e">
        <v>#REF!</v>
      </c>
      <c r="R74" s="6">
        <f>SUMIFS(E74:F74, C74:D74,1,E74:F74, 2.3 )</f>
        <v>0</v>
      </c>
      <c r="S74" s="6">
        <f>SUMIFS(F74:G74, D74:E74,"1")</f>
        <v>10</v>
      </c>
      <c r="T74" s="6">
        <f>SUMIFS(G74:H74, E74:F74,"&gt;1")</f>
        <v>-1</v>
      </c>
      <c r="U74" s="6">
        <f>SUMIFS(G74:H74, F74:G74,"&lt;&gt;-1")</f>
        <v>-1</v>
      </c>
      <c r="V74" s="6">
        <f>SUMIFS(I74:J74, G74:H74,1)</f>
        <v>0</v>
      </c>
      <c r="W74" s="6">
        <f>SUMIFS(D74:E74,H74:I74,H74)</f>
        <v>0</v>
      </c>
      <c r="X74" s="6">
        <f>SUMIFS(E74:F74, I74:J74,I74)</f>
        <v>2.2999999999999998</v>
      </c>
      <c r="Y74" s="6">
        <f>SUMIFS(F74:G74,I74:J74,"&lt;=TRUE")</f>
        <v>-1</v>
      </c>
      <c r="Z74" s="6" t="e">
        <f>SUMIFS(K74:L74, I74:J74,I74)</f>
        <v>#VALUE!</v>
      </c>
      <c r="AA74" s="6" t="e">
        <f t="shared" ref="AA74:AF74" si="64">SUMIFS(L74:M74, J74:K74,J74)</f>
        <v>#N/A</v>
      </c>
      <c r="AB74" s="6" t="e">
        <f t="shared" si="64"/>
        <v>#DIV/0!</v>
      </c>
      <c r="AC74" s="6" t="e">
        <f t="shared" si="64"/>
        <v>#NAME?</v>
      </c>
      <c r="AD74" s="6" t="e">
        <f t="shared" si="64"/>
        <v>#NULL!</v>
      </c>
      <c r="AE74" s="6" t="e">
        <f t="shared" si="64"/>
        <v>#NUM!</v>
      </c>
      <c r="AF74" s="6" t="e">
        <f t="shared" si="64"/>
        <v>#REF!</v>
      </c>
      <c r="AG74" s="6" t="e">
        <f t="array" ref="AG74">SUMIFS(E74:I74, D74:H74,{1,"&gt;3"}, C74:D74,{0,1})</f>
        <v>#VALUE!</v>
      </c>
      <c r="AH74" s="6">
        <f t="array" ref="AH74:AW74">SUMIFS(C74:G74, F74:J74,{"*ao","","TRUE",TRUE,"*a?"}, D74:H74, "&gt;0")</f>
        <v>0</v>
      </c>
      <c r="AI74" s="6">
        <v>2.2999999999999998</v>
      </c>
      <c r="AJ74" s="6">
        <v>0</v>
      </c>
      <c r="AK74" s="6">
        <v>0</v>
      </c>
      <c r="AL74" s="6">
        <v>0</v>
      </c>
      <c r="AM74" s="6" t="e">
        <v>#N/A</v>
      </c>
      <c r="AN74" s="6" t="e">
        <v>#N/A</v>
      </c>
      <c r="AO74" s="6" t="e">
        <v>#N/A</v>
      </c>
      <c r="AP74" s="6" t="e">
        <v>#N/A</v>
      </c>
      <c r="AQ74" s="6" t="e">
        <v>#N/A</v>
      </c>
      <c r="AR74" s="6" t="e">
        <v>#N/A</v>
      </c>
      <c r="AS74" s="6" t="e">
        <v>#N/A</v>
      </c>
      <c r="AT74" s="6" t="e">
        <v>#N/A</v>
      </c>
      <c r="AU74" s="6" t="e">
        <v>#N/A</v>
      </c>
      <c r="AV74" s="6" t="e">
        <v>#N/A</v>
      </c>
      <c r="AW74" s="4" t="e">
        <v>#N/A</v>
      </c>
    </row>
    <row r="75" spans="1:49" x14ac:dyDescent="0.15">
      <c r="A75" s="37" t="s">
        <v>25</v>
      </c>
      <c r="B75" s="36" t="s">
        <v>541</v>
      </c>
      <c r="C75" s="4">
        <v>0</v>
      </c>
      <c r="D75" s="4">
        <v>2</v>
      </c>
      <c r="E75" s="4">
        <v>1.2</v>
      </c>
      <c r="F75" s="4">
        <v>-4</v>
      </c>
      <c r="G75" s="4">
        <v>1.3</v>
      </c>
      <c r="H75" s="6"/>
      <c r="I75" s="6" t="s">
        <v>32</v>
      </c>
      <c r="J75" s="6" t="b">
        <v>1</v>
      </c>
      <c r="K75" s="6" t="e">
        <v>#VALUE!</v>
      </c>
      <c r="L75" s="6" t="e">
        <v>#N/A</v>
      </c>
      <c r="M75" s="7" t="e">
        <v>#DIV/0!</v>
      </c>
      <c r="N75" s="7" t="e">
        <v>#NAME?</v>
      </c>
      <c r="O75" s="7" t="e">
        <v>#NULL!</v>
      </c>
      <c r="P75" s="7" t="e">
        <v>#NUM!</v>
      </c>
      <c r="Q75" s="7" t="e">
        <v>#REF!</v>
      </c>
      <c r="R75" s="6">
        <f>SUMPRODUCT(C75:D75,D75:E75,E75:F75)</f>
        <v>-9.6</v>
      </c>
      <c r="S75" s="6">
        <f>SUMPRODUCT(D75:E75,E75:F75,F75:G75)</f>
        <v>-15.84</v>
      </c>
      <c r="T75" s="6">
        <f>SUMPRODUCT(F75:G75,F75:G75,D75:E75)</f>
        <v>34.027999999999999</v>
      </c>
      <c r="U75" s="6">
        <f>SUMPRODUCT(F75:G75,C75:D75,D75:E75)</f>
        <v>3.12</v>
      </c>
      <c r="V75" s="6">
        <f>SUMPRODUCT(E75:G75,C75:E75,D75:F75)</f>
        <v>-15.84</v>
      </c>
      <c r="W75" s="6">
        <f>SUMPRODUCT(F75:G75,G75:H75,E75:F75)</f>
        <v>-6.24</v>
      </c>
      <c r="X75" s="6">
        <f>SUMPRODUCT(H75:I75,E75:F75,F75:G75)</f>
        <v>0</v>
      </c>
      <c r="Y75" s="6">
        <f>SUMPRODUCT(I75:J75,F75:G75,G75:H75)</f>
        <v>0</v>
      </c>
      <c r="Z75" s="6" t="e">
        <f>SUMPRODUCT(K75:L75,C75:D75,D75:E75)</f>
        <v>#VALUE!</v>
      </c>
      <c r="AA75" s="6" t="e">
        <f>SUMPRODUCT(L75:M75,D75:E75,E75:F75)</f>
        <v>#N/A</v>
      </c>
      <c r="AB75" s="6" t="e">
        <f>SUMPRODUCT(M75:N75,E75:F75,F75:G75)</f>
        <v>#DIV/0!</v>
      </c>
      <c r="AC75" s="6" t="e">
        <f>SUMPRODUCT(N75:O75,F75:G75,G75:H75)</f>
        <v>#NAME?</v>
      </c>
      <c r="AD75" s="6" t="e">
        <f>SUMPRODUCT(O75:P75,G75:H75,H75:I75)</f>
        <v>#NULL!</v>
      </c>
      <c r="AE75" s="6" t="e">
        <f>SUMPRODUCT(P75:Q75,H75:I75,I75:K75)</f>
        <v>#NUM!</v>
      </c>
      <c r="AF75" s="6" t="e">
        <f>SUMPRODUCT(Q75:R75,I75:K75,K75:L75)</f>
        <v>#REF!</v>
      </c>
      <c r="AG75" s="6">
        <f>SUMPRODUCT(D75:H75,C75:G75)</f>
        <v>-7.6</v>
      </c>
      <c r="AH75" s="6">
        <f t="array" ref="AH75:AW75">SUMPRODUCT(D75:H75,C75:G75)</f>
        <v>-7.6</v>
      </c>
      <c r="AI75" s="6">
        <v>-7.6</v>
      </c>
      <c r="AJ75" s="6">
        <v>-7.6</v>
      </c>
      <c r="AK75" s="6">
        <v>-7.6</v>
      </c>
      <c r="AL75" s="6">
        <v>-7.6</v>
      </c>
      <c r="AM75" s="6">
        <v>-7.6</v>
      </c>
      <c r="AN75" s="6">
        <v>-7.6</v>
      </c>
      <c r="AO75" s="6">
        <v>-7.6</v>
      </c>
      <c r="AP75" s="6">
        <v>-7.6</v>
      </c>
      <c r="AQ75" s="6">
        <v>-7.6</v>
      </c>
      <c r="AR75" s="6">
        <v>-7.6</v>
      </c>
      <c r="AS75" s="6">
        <v>-7.6</v>
      </c>
      <c r="AT75" s="6">
        <v>-7.6</v>
      </c>
      <c r="AU75" s="6">
        <v>-7.6</v>
      </c>
      <c r="AV75" s="6">
        <v>-7.6</v>
      </c>
      <c r="AW75" s="4">
        <v>-7.6</v>
      </c>
    </row>
    <row r="76" spans="1:49" x14ac:dyDescent="0.15">
      <c r="A76" s="37" t="s">
        <v>89</v>
      </c>
      <c r="B76" s="36" t="s">
        <v>541</v>
      </c>
      <c r="C76" s="11">
        <v>0</v>
      </c>
      <c r="D76" s="11">
        <v>2</v>
      </c>
      <c r="E76" s="11">
        <v>1.2</v>
      </c>
      <c r="F76" s="11">
        <v>-4</v>
      </c>
      <c r="G76" s="11">
        <v>1.3</v>
      </c>
      <c r="H76" s="29"/>
      <c r="I76" s="29" t="s">
        <v>32</v>
      </c>
      <c r="J76" s="29" t="b">
        <v>1</v>
      </c>
      <c r="K76" s="29" t="e">
        <v>#VALUE!</v>
      </c>
      <c r="L76" s="29" t="e">
        <v>#N/A</v>
      </c>
      <c r="M76" s="29" t="e">
        <v>#DIV/0!</v>
      </c>
      <c r="N76" s="29" t="e">
        <v>#NAME?</v>
      </c>
      <c r="O76" s="29" t="e">
        <v>#NULL!</v>
      </c>
      <c r="P76" s="29" t="e">
        <v>#NUM!</v>
      </c>
      <c r="Q76" s="29" t="e">
        <v>#REF!</v>
      </c>
      <c r="R76" s="29">
        <f>SUMSQ(C76:D76,D76:E76,E76:F76)</f>
        <v>26.88</v>
      </c>
      <c r="S76" s="29">
        <f>SUMSQ(D76:E76,E76:F76,F76:G76)</f>
        <v>40.569999999999993</v>
      </c>
      <c r="T76" s="29">
        <f>SUMSQ(F76:G76,F76:G76,D76:E76)</f>
        <v>40.819999999999993</v>
      </c>
      <c r="U76" s="29">
        <f>SUMSQ(F76:G76,C76:D76,D76:E76)</f>
        <v>27.130000000000003</v>
      </c>
      <c r="V76" s="29">
        <f>SUMSQ(E76:G76,C76:E76,D76:F76)</f>
        <v>46.010000000000005</v>
      </c>
      <c r="W76" s="29">
        <f>SUMSQ(F76:G76,G76:H76,E76:F76)</f>
        <v>36.820000000000007</v>
      </c>
      <c r="X76" s="29">
        <f>SUMSQ(H76:I76,E76:F76,F76:G76)</f>
        <v>35.129999999999995</v>
      </c>
      <c r="Y76" s="29">
        <f>SUMSQ(I76:J76,F76:G76,G76:H76)</f>
        <v>19.380000000000003</v>
      </c>
      <c r="Z76" s="29" t="e">
        <f>SUMSQ(K76:L76,C76:D76,D76:E76)</f>
        <v>#VALUE!</v>
      </c>
      <c r="AA76" s="29" t="e">
        <f>SUMSQ(L76:M76,D76:E76,E76:F76)</f>
        <v>#N/A</v>
      </c>
      <c r="AB76" s="29" t="e">
        <f>SUMSQ(M76:N76,E76:F76,F76:G76)</f>
        <v>#DIV/0!</v>
      </c>
      <c r="AC76" s="29" t="e">
        <f>SUMSQ(N76:O76,F76:G76,G76:H76)</f>
        <v>#NAME?</v>
      </c>
      <c r="AD76" s="29" t="e">
        <f>SUMSQ(O76:P76,G76:H76,H76:I76)</f>
        <v>#NULL!</v>
      </c>
      <c r="AE76" s="29" t="e">
        <f>SUMSQ(P76:Q76,H76:I76,I76:K76)</f>
        <v>#NUM!</v>
      </c>
      <c r="AF76" s="29" t="e">
        <f>SUMSQ(Q76:R76,I76:K76,K76:L76)</f>
        <v>#REF!</v>
      </c>
      <c r="AG76" s="29">
        <f>SUMSQ(D76:H76,C76:G76)</f>
        <v>46.26</v>
      </c>
      <c r="AH76" s="29">
        <f t="array" ref="AH76:AW76">SUMSQ(D76:H76,C76:G76)</f>
        <v>46.26</v>
      </c>
      <c r="AI76" s="29">
        <v>46.26</v>
      </c>
      <c r="AJ76" s="29">
        <v>46.26</v>
      </c>
      <c r="AK76" s="29">
        <v>46.26</v>
      </c>
      <c r="AL76" s="29">
        <v>46.26</v>
      </c>
      <c r="AM76" s="29">
        <v>46.26</v>
      </c>
      <c r="AN76" s="29">
        <v>46.26</v>
      </c>
      <c r="AO76" s="29">
        <v>46.26</v>
      </c>
      <c r="AP76" s="29">
        <v>46.26</v>
      </c>
      <c r="AQ76" s="29">
        <v>46.26</v>
      </c>
      <c r="AR76" s="29">
        <v>46.26</v>
      </c>
      <c r="AS76" s="29">
        <v>46.26</v>
      </c>
      <c r="AT76" s="29">
        <v>46.26</v>
      </c>
      <c r="AU76" s="29">
        <v>46.26</v>
      </c>
      <c r="AV76" s="29">
        <v>46.26</v>
      </c>
      <c r="AW76" s="11">
        <v>46.26</v>
      </c>
    </row>
    <row r="77" spans="1:49" x14ac:dyDescent="0.15">
      <c r="A77" s="37" t="s">
        <v>90</v>
      </c>
      <c r="B77" s="36" t="s">
        <v>541</v>
      </c>
      <c r="C77" s="11">
        <v>0</v>
      </c>
      <c r="D77" s="11">
        <v>2</v>
      </c>
      <c r="E77" s="11">
        <v>1.2</v>
      </c>
      <c r="F77" s="11">
        <v>-4</v>
      </c>
      <c r="G77" s="11">
        <v>1.3</v>
      </c>
      <c r="H77" s="29"/>
      <c r="I77" s="30" t="s">
        <v>445</v>
      </c>
      <c r="J77" s="29" t="b">
        <v>1</v>
      </c>
      <c r="K77" s="29" t="e">
        <v>#VALUE!</v>
      </c>
      <c r="L77" s="29" t="e">
        <v>#N/A</v>
      </c>
      <c r="M77" s="29" t="e">
        <v>#DIV/0!</v>
      </c>
      <c r="N77" s="29" t="e">
        <v>#NAME?</v>
      </c>
      <c r="O77" s="29" t="e">
        <v>#NULL!</v>
      </c>
      <c r="P77" s="29" t="e">
        <v>#NUM!</v>
      </c>
      <c r="Q77" s="29" t="e">
        <v>#REF!</v>
      </c>
      <c r="R77" s="6" t="e">
        <f>SUMX2MY2(C77:D78,G76:G77)</f>
        <v>#N/A</v>
      </c>
      <c r="S77" s="6">
        <f>SUMX2MY2(C77:D77,D77:E77)</f>
        <v>-1.44</v>
      </c>
      <c r="T77" s="6">
        <f t="shared" ref="T77:Z77" si="65">SUMX2MY2(D77:E77,E77:F77)</f>
        <v>-12</v>
      </c>
      <c r="U77" s="6">
        <f t="shared" si="65"/>
        <v>-0.25</v>
      </c>
      <c r="V77" s="6">
        <f t="shared" si="65"/>
        <v>14.31</v>
      </c>
      <c r="W77" s="6" t="e">
        <f t="shared" si="65"/>
        <v>#DIV/0!</v>
      </c>
      <c r="X77" s="6" t="e">
        <f t="shared" si="65"/>
        <v>#DIV/0!</v>
      </c>
      <c r="Y77" s="6" t="e">
        <f t="shared" si="65"/>
        <v>#VALUE!</v>
      </c>
      <c r="Z77" s="6" t="e">
        <f t="shared" si="65"/>
        <v>#VALUE!</v>
      </c>
      <c r="AA77" s="6" t="e">
        <f>SUMX2MY2(K77:L77,L77:M77)</f>
        <v>#VALUE!</v>
      </c>
      <c r="AB77" s="6" t="e">
        <f t="shared" ref="AB77" si="66">SUMX2MY2(L77:M77,M77:N77)</f>
        <v>#N/A</v>
      </c>
      <c r="AC77" s="6" t="e">
        <f t="shared" ref="AC77" si="67">SUMX2MY2(M77:N77,N77:O77)</f>
        <v>#DIV/0!</v>
      </c>
      <c r="AD77" s="6" t="e">
        <f t="shared" ref="AD77" si="68">SUMX2MY2(N77:O77,O77:P77)</f>
        <v>#NAME?</v>
      </c>
      <c r="AE77" s="6" t="e">
        <f>SUMX2MY2(N77:O77,P77:Q77)</f>
        <v>#NAME?</v>
      </c>
      <c r="AF77" s="6" t="e">
        <f t="shared" ref="AF77" si="69">SUMX2MY2(P77:Q77,Q77:R77)</f>
        <v>#NUM!</v>
      </c>
      <c r="AG77" s="8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9" x14ac:dyDescent="0.15">
      <c r="A78" s="37" t="s">
        <v>91</v>
      </c>
      <c r="B78" s="36" t="s">
        <v>541</v>
      </c>
      <c r="C78" s="11">
        <v>0</v>
      </c>
      <c r="D78" s="11">
        <v>2</v>
      </c>
      <c r="E78" s="11">
        <v>1.2</v>
      </c>
      <c r="F78" s="11">
        <v>-4</v>
      </c>
      <c r="G78" s="11">
        <v>1.3</v>
      </c>
      <c r="H78" s="29"/>
      <c r="I78" s="30" t="s">
        <v>834</v>
      </c>
      <c r="J78" s="29" t="b">
        <v>1</v>
      </c>
      <c r="K78" s="29" t="e">
        <v>#VALUE!</v>
      </c>
      <c r="L78" s="29" t="e">
        <v>#N/A</v>
      </c>
      <c r="M78" s="29" t="e">
        <v>#DIV/0!</v>
      </c>
      <c r="N78" s="29" t="e">
        <v>#NAME?</v>
      </c>
      <c r="O78" s="29" t="e">
        <v>#NULL!</v>
      </c>
      <c r="P78" s="29" t="e">
        <v>#NUM!</v>
      </c>
      <c r="Q78" s="29" t="e">
        <v>#REF!</v>
      </c>
      <c r="R78" s="6" t="e">
        <f>SUMX2PY2(C78:D79,G77:G78)</f>
        <v>#N/A</v>
      </c>
      <c r="S78" s="6">
        <f>SUMX2PY2(C78:D78,D78:E78)</f>
        <v>9.44</v>
      </c>
      <c r="T78" s="6">
        <f>SUMX2PY2(D78:E78,E78:F78)</f>
        <v>22.880000000000003</v>
      </c>
      <c r="U78" s="6">
        <f>SUMX2PY2(E78:F78,F78:G78)</f>
        <v>35.130000000000003</v>
      </c>
      <c r="V78" s="6">
        <f t="shared" ref="V78:AF78" si="70">SUMX2PY2(F78:G78,G78:H78)</f>
        <v>17.690000000000001</v>
      </c>
      <c r="W78" s="6" t="e">
        <f t="shared" si="70"/>
        <v>#DIV/0!</v>
      </c>
      <c r="X78" s="6" t="e">
        <f t="shared" si="70"/>
        <v>#DIV/0!</v>
      </c>
      <c r="Y78" s="6" t="e">
        <f t="shared" si="70"/>
        <v>#VALUE!</v>
      </c>
      <c r="Z78" s="6" t="e">
        <f t="shared" si="70"/>
        <v>#VALUE!</v>
      </c>
      <c r="AA78" s="6" t="e">
        <f t="shared" si="70"/>
        <v>#VALUE!</v>
      </c>
      <c r="AB78" s="6" t="e">
        <f t="shared" si="70"/>
        <v>#N/A</v>
      </c>
      <c r="AC78" s="6" t="e">
        <f t="shared" si="70"/>
        <v>#DIV/0!</v>
      </c>
      <c r="AD78" s="6" t="e">
        <f t="shared" si="70"/>
        <v>#NAME?</v>
      </c>
      <c r="AE78" s="6" t="e">
        <f t="shared" ref="AE78:AE79" si="71">SUMX2MY2(N78:O78,P78:Q78)</f>
        <v>#NAME?</v>
      </c>
      <c r="AF78" s="6" t="e">
        <f t="shared" si="70"/>
        <v>#NUM!</v>
      </c>
      <c r="AG78" s="8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9" x14ac:dyDescent="0.15">
      <c r="A79" s="37" t="s">
        <v>92</v>
      </c>
      <c r="B79" s="36" t="s">
        <v>541</v>
      </c>
      <c r="C79" s="11">
        <v>0</v>
      </c>
      <c r="D79" s="11">
        <v>2</v>
      </c>
      <c r="E79" s="11">
        <v>1.2</v>
      </c>
      <c r="F79" s="11">
        <v>-4</v>
      </c>
      <c r="G79" s="11">
        <v>1.3</v>
      </c>
      <c r="H79" s="29"/>
      <c r="I79" s="30" t="s">
        <v>443</v>
      </c>
      <c r="J79" s="29" t="b">
        <v>1</v>
      </c>
      <c r="K79" s="29" t="e">
        <v>#VALUE!</v>
      </c>
      <c r="L79" s="29" t="e">
        <v>#N/A</v>
      </c>
      <c r="M79" s="29" t="e">
        <v>#DIV/0!</v>
      </c>
      <c r="N79" s="29" t="e">
        <v>#NAME?</v>
      </c>
      <c r="O79" s="29" t="e">
        <v>#NULL!</v>
      </c>
      <c r="P79" s="29" t="e">
        <v>#NUM!</v>
      </c>
      <c r="Q79" s="29" t="e">
        <v>#REF!</v>
      </c>
      <c r="R79" s="6" t="e">
        <f>SUMXMY2(C79:D80,G78:G79)</f>
        <v>#N/A</v>
      </c>
      <c r="S79" s="6">
        <f>SUMXMY2(C79:D79,D79:E79)</f>
        <v>4.6400000000000006</v>
      </c>
      <c r="T79" s="6">
        <f>SUMXMY2(D79:E79,E79:F79)</f>
        <v>27.680000000000003</v>
      </c>
      <c r="U79" s="6">
        <f t="shared" ref="U79:AF79" si="72">SUMXMY2(E79:F79,F79:G79)</f>
        <v>55.13</v>
      </c>
      <c r="V79" s="6">
        <f t="shared" si="72"/>
        <v>28.09</v>
      </c>
      <c r="W79" s="6" t="e">
        <f t="shared" si="72"/>
        <v>#DIV/0!</v>
      </c>
      <c r="X79" s="6" t="e">
        <f t="shared" si="72"/>
        <v>#DIV/0!</v>
      </c>
      <c r="Y79" s="6" t="e">
        <f t="shared" si="72"/>
        <v>#VALUE!</v>
      </c>
      <c r="Z79" s="6" t="e">
        <f t="shared" si="72"/>
        <v>#VALUE!</v>
      </c>
      <c r="AA79" s="6" t="e">
        <f t="shared" si="72"/>
        <v>#VALUE!</v>
      </c>
      <c r="AB79" s="6" t="e">
        <f t="shared" si="72"/>
        <v>#N/A</v>
      </c>
      <c r="AC79" s="6" t="e">
        <f t="shared" si="72"/>
        <v>#DIV/0!</v>
      </c>
      <c r="AD79" s="6" t="e">
        <f t="shared" si="72"/>
        <v>#NAME?</v>
      </c>
      <c r="AE79" s="6" t="e">
        <f t="shared" si="71"/>
        <v>#NAME?</v>
      </c>
      <c r="AF79" s="6" t="e">
        <f t="shared" si="72"/>
        <v>#NUM!</v>
      </c>
      <c r="AG79" s="8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9" x14ac:dyDescent="0.15">
      <c r="A80" s="37" t="s">
        <v>15</v>
      </c>
      <c r="B80" s="36" t="s">
        <v>541</v>
      </c>
      <c r="C80" s="4">
        <v>0</v>
      </c>
      <c r="D80" s="4">
        <v>1</v>
      </c>
      <c r="E80" s="4">
        <v>2.2999999999999998</v>
      </c>
      <c r="F80" s="4">
        <v>10</v>
      </c>
      <c r="G80" s="4">
        <v>-1</v>
      </c>
      <c r="H80" s="6"/>
      <c r="I80" s="6" t="s">
        <v>32</v>
      </c>
      <c r="J80" s="6" t="b">
        <v>1</v>
      </c>
      <c r="K80" s="6" t="e">
        <v>#VALUE!</v>
      </c>
      <c r="L80" s="6" t="e">
        <v>#N/A</v>
      </c>
      <c r="M80" s="7" t="e">
        <v>#DIV/0!</v>
      </c>
      <c r="N80" s="7" t="e">
        <v>#NAME?</v>
      </c>
      <c r="O80" s="7" t="e">
        <v>#NULL!</v>
      </c>
      <c r="P80" s="7" t="e">
        <v>#NUM!</v>
      </c>
      <c r="Q80" s="7" t="e">
        <v>#REF!</v>
      </c>
      <c r="R80" s="6">
        <f t="shared" ref="R80:AF80" si="73">TAN(C80)</f>
        <v>0</v>
      </c>
      <c r="S80" s="6">
        <f t="shared" si="73"/>
        <v>1.5574077246549021</v>
      </c>
      <c r="T80" s="6">
        <f t="shared" si="73"/>
        <v>-1.1192136417341327</v>
      </c>
      <c r="U80" s="6">
        <f t="shared" si="73"/>
        <v>0.64836082745908674</v>
      </c>
      <c r="V80" s="6">
        <f t="shared" si="73"/>
        <v>-1.5574077246549021</v>
      </c>
      <c r="W80" s="6">
        <f t="shared" si="73"/>
        <v>0</v>
      </c>
      <c r="X80" s="6" t="e" vm="80">
        <f t="shared" si="73"/>
        <v>#VALUE!</v>
      </c>
      <c r="Y80" s="6">
        <f t="shared" si="73"/>
        <v>1.5574077246549021</v>
      </c>
      <c r="Z80" s="6" t="e">
        <f t="shared" si="73"/>
        <v>#VALUE!</v>
      </c>
      <c r="AA80" s="6" t="e">
        <f t="shared" si="73"/>
        <v>#N/A</v>
      </c>
      <c r="AB80" s="6" t="e">
        <f t="shared" si="73"/>
        <v>#DIV/0!</v>
      </c>
      <c r="AC80" s="6" t="e">
        <f t="shared" si="73"/>
        <v>#NAME?</v>
      </c>
      <c r="AD80" s="6" t="e">
        <f t="shared" si="73"/>
        <v>#NULL!</v>
      </c>
      <c r="AE80" s="6" t="e">
        <f t="shared" si="73"/>
        <v>#NUM!</v>
      </c>
      <c r="AF80" s="6" t="e">
        <f t="shared" si="73"/>
        <v>#REF!</v>
      </c>
      <c r="AG80" s="8"/>
      <c r="AH80" s="6">
        <f t="array" ref="AH80:AW80">TAN(C80:Q80)</f>
        <v>0</v>
      </c>
      <c r="AI80" s="6">
        <v>1.5574077246549021</v>
      </c>
      <c r="AJ80" s="6">
        <v>-1.1192136417341327</v>
      </c>
      <c r="AK80" s="6">
        <v>0.64836082745908674</v>
      </c>
      <c r="AL80" s="6">
        <v>-1.5574077246549021</v>
      </c>
      <c r="AM80" s="6">
        <v>0</v>
      </c>
      <c r="AN80" s="6" t="e" vm="80">
        <v>#VALUE!</v>
      </c>
      <c r="AO80" s="6">
        <v>1.5574077246549021</v>
      </c>
      <c r="AP80" s="6" t="e">
        <v>#VALUE!</v>
      </c>
      <c r="AQ80" s="6" t="e">
        <v>#N/A</v>
      </c>
      <c r="AR80" s="6" t="e">
        <v>#DIV/0!</v>
      </c>
      <c r="AS80" s="6" t="e">
        <v>#NAME?</v>
      </c>
      <c r="AT80" s="6" t="e">
        <v>#NULL!</v>
      </c>
      <c r="AU80" s="6" t="e">
        <v>#NUM!</v>
      </c>
      <c r="AV80" s="6" t="e">
        <v>#REF!</v>
      </c>
      <c r="AW80" s="4" t="e">
        <v>#N/A</v>
      </c>
    </row>
    <row r="81" spans="1:49" x14ac:dyDescent="0.15">
      <c r="A81" s="37" t="s">
        <v>16</v>
      </c>
      <c r="B81" s="36" t="s">
        <v>541</v>
      </c>
      <c r="C81" s="4">
        <v>0</v>
      </c>
      <c r="D81" s="4">
        <v>1</v>
      </c>
      <c r="E81" s="4">
        <v>2.2999999999999998</v>
      </c>
      <c r="F81" s="4">
        <v>10</v>
      </c>
      <c r="G81" s="4">
        <v>-1</v>
      </c>
      <c r="H81" s="6"/>
      <c r="I81" s="6" t="s">
        <v>32</v>
      </c>
      <c r="J81" s="6" t="b">
        <v>1</v>
      </c>
      <c r="K81" s="6" t="e">
        <v>#VALUE!</v>
      </c>
      <c r="L81" s="6" t="e">
        <v>#N/A</v>
      </c>
      <c r="M81" s="7" t="e">
        <v>#DIV/0!</v>
      </c>
      <c r="N81" s="7" t="e">
        <v>#NAME?</v>
      </c>
      <c r="O81" s="7" t="e">
        <v>#NULL!</v>
      </c>
      <c r="P81" s="7" t="e">
        <v>#NUM!</v>
      </c>
      <c r="Q81" s="7" t="e">
        <v>#REF!</v>
      </c>
      <c r="R81" s="6">
        <f t="shared" ref="R81:AF81" si="74">TANH(C81)</f>
        <v>0</v>
      </c>
      <c r="S81" s="6">
        <f t="shared" si="74"/>
        <v>0.76159415595576485</v>
      </c>
      <c r="T81" s="6">
        <f t="shared" si="74"/>
        <v>0.98009639626619138</v>
      </c>
      <c r="U81" s="6">
        <f t="shared" si="74"/>
        <v>0.99999999587769262</v>
      </c>
      <c r="V81" s="6">
        <f t="shared" si="74"/>
        <v>-0.76159415595576485</v>
      </c>
      <c r="W81" s="6">
        <f t="shared" si="74"/>
        <v>0</v>
      </c>
      <c r="X81" s="6" t="e" vm="81">
        <f t="shared" si="74"/>
        <v>#VALUE!</v>
      </c>
      <c r="Y81" s="6">
        <f t="shared" si="74"/>
        <v>0.76159415595576485</v>
      </c>
      <c r="Z81" s="6" t="e">
        <f t="shared" si="74"/>
        <v>#VALUE!</v>
      </c>
      <c r="AA81" s="6" t="e">
        <f t="shared" si="74"/>
        <v>#N/A</v>
      </c>
      <c r="AB81" s="6" t="e">
        <f t="shared" si="74"/>
        <v>#DIV/0!</v>
      </c>
      <c r="AC81" s="6" t="e">
        <f t="shared" si="74"/>
        <v>#NAME?</v>
      </c>
      <c r="AD81" s="6" t="e">
        <f t="shared" si="74"/>
        <v>#NULL!</v>
      </c>
      <c r="AE81" s="6" t="e">
        <f t="shared" si="74"/>
        <v>#NUM!</v>
      </c>
      <c r="AF81" s="6" t="e">
        <f t="shared" si="74"/>
        <v>#REF!</v>
      </c>
      <c r="AG81" s="8"/>
      <c r="AH81" s="6">
        <f t="array" ref="AH81:AW81">TANH(C81:Q81)</f>
        <v>0</v>
      </c>
      <c r="AI81" s="6">
        <v>0.76159415595576485</v>
      </c>
      <c r="AJ81" s="6">
        <v>0.98009639626619138</v>
      </c>
      <c r="AK81" s="6">
        <v>0.99999999587769262</v>
      </c>
      <c r="AL81" s="6">
        <v>-0.76159415595576485</v>
      </c>
      <c r="AM81" s="6">
        <v>0</v>
      </c>
      <c r="AN81" s="6" t="e" vm="81">
        <v>#VALUE!</v>
      </c>
      <c r="AO81" s="6">
        <v>0.76159415595576485</v>
      </c>
      <c r="AP81" s="6" t="e">
        <v>#VALUE!</v>
      </c>
      <c r="AQ81" s="6" t="e">
        <v>#N/A</v>
      </c>
      <c r="AR81" s="6" t="e">
        <v>#DIV/0!</v>
      </c>
      <c r="AS81" s="6" t="e">
        <v>#NAME?</v>
      </c>
      <c r="AT81" s="6" t="e">
        <v>#NULL!</v>
      </c>
      <c r="AU81" s="6" t="e">
        <v>#NUM!</v>
      </c>
      <c r="AV81" s="6" t="e">
        <v>#REF!</v>
      </c>
      <c r="AW81" s="4" t="e">
        <v>#N/A</v>
      </c>
    </row>
    <row r="82" spans="1:49" x14ac:dyDescent="0.15">
      <c r="A82" s="37" t="s">
        <v>93</v>
      </c>
      <c r="B82" s="36" t="s">
        <v>541</v>
      </c>
      <c r="C82" s="4">
        <v>2.5499999999999998</v>
      </c>
      <c r="D82" s="4">
        <v>-255.5</v>
      </c>
      <c r="E82" s="4">
        <v>-2.5499999999999998</v>
      </c>
      <c r="F82" s="4">
        <v>1.5</v>
      </c>
      <c r="G82" s="4">
        <v>0.23400000000000001</v>
      </c>
      <c r="H82" s="6"/>
      <c r="I82" s="6" t="s">
        <v>32</v>
      </c>
      <c r="J82" s="6" t="b">
        <v>1</v>
      </c>
      <c r="K82" s="6" t="e">
        <v>#VALUE!</v>
      </c>
      <c r="L82" s="6" t="e">
        <v>#N/A</v>
      </c>
      <c r="M82" s="7" t="e">
        <v>#DIV/0!</v>
      </c>
      <c r="N82" s="7" t="e">
        <v>#NAME?</v>
      </c>
      <c r="O82" s="7" t="e">
        <v>#NULL!</v>
      </c>
      <c r="P82" s="7" t="e">
        <v>#NUM!</v>
      </c>
      <c r="Q82" s="7" t="e">
        <v>#REF!</v>
      </c>
      <c r="R82" s="6">
        <f>TRUNC(C82,1)</f>
        <v>2.5</v>
      </c>
      <c r="S82" s="6">
        <f>TRUNC(D82,-2)</f>
        <v>-200</v>
      </c>
      <c r="T82" s="6">
        <f>TRUNC(E82,1)</f>
        <v>-2.5</v>
      </c>
      <c r="U82" s="6">
        <f>TRUNC(F82,0)</f>
        <v>1</v>
      </c>
      <c r="V82" s="6">
        <f>TRUNC(G82,1.9)</f>
        <v>0.2</v>
      </c>
      <c r="W82" s="6">
        <f>TRUNC(H82,-2)</f>
        <v>0</v>
      </c>
      <c r="X82" s="6" t="e" vm="82">
        <f>TRUNC(I82,0)</f>
        <v>#VALUE!</v>
      </c>
      <c r="Y82" s="6">
        <f>TRUNC(J82,0)</f>
        <v>1</v>
      </c>
      <c r="Z82" s="6" t="e">
        <f t="shared" ref="Z82:AF82" si="75">TRUNC(K82,J82)</f>
        <v>#VALUE!</v>
      </c>
      <c r="AA82" s="6" t="e">
        <f t="shared" si="75"/>
        <v>#N/A</v>
      </c>
      <c r="AB82" s="6" t="e">
        <f t="shared" si="75"/>
        <v>#DIV/0!</v>
      </c>
      <c r="AC82" s="6" t="e">
        <f t="shared" si="75"/>
        <v>#NAME?</v>
      </c>
      <c r="AD82" s="6" t="e">
        <f t="shared" si="75"/>
        <v>#NULL!</v>
      </c>
      <c r="AE82" s="6" t="e">
        <f t="shared" si="75"/>
        <v>#NUM!</v>
      </c>
      <c r="AF82" s="6" t="e">
        <f t="shared" si="75"/>
        <v>#REF!</v>
      </c>
      <c r="AG82" s="8"/>
      <c r="AH82" s="6">
        <f t="array" ref="AH82:AW82">TRUNC(C82:P82,D82:Q82)</f>
        <v>0</v>
      </c>
      <c r="AI82" s="6">
        <v>-200</v>
      </c>
      <c r="AJ82" s="6">
        <v>-2.5</v>
      </c>
      <c r="AK82" s="6">
        <v>1</v>
      </c>
      <c r="AL82" s="6">
        <v>0</v>
      </c>
      <c r="AM82" s="6" t="e" vm="82">
        <v>#VALUE!</v>
      </c>
      <c r="AN82" s="6" t="e" vm="82">
        <v>#VALUE!</v>
      </c>
      <c r="AO82" s="6" t="e">
        <v>#VALUE!</v>
      </c>
      <c r="AP82" s="6" t="e">
        <v>#VALUE!</v>
      </c>
      <c r="AQ82" s="6" t="e">
        <v>#N/A</v>
      </c>
      <c r="AR82" s="6" t="e">
        <v>#DIV/0!</v>
      </c>
      <c r="AS82" s="6" t="e">
        <v>#NAME?</v>
      </c>
      <c r="AT82" s="6" t="e">
        <v>#NULL!</v>
      </c>
      <c r="AU82" s="6" t="e">
        <v>#NUM!</v>
      </c>
      <c r="AV82" s="6" t="e">
        <v>#N/A</v>
      </c>
      <c r="AW82" s="4" t="e">
        <v>#N/A</v>
      </c>
    </row>
  </sheetData>
  <mergeCells count="7">
    <mergeCell ref="Z2:AF2"/>
    <mergeCell ref="AH2:AW2"/>
    <mergeCell ref="R1:AW1"/>
    <mergeCell ref="C1:Q1"/>
    <mergeCell ref="C2:G2"/>
    <mergeCell ref="K2:Q2"/>
    <mergeCell ref="R2:V2"/>
  </mergeCells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X1:CT8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tabColor rgb="FF00B050"/>
  </sheetPr>
  <dimension ref="A1:AW148"/>
  <sheetViews>
    <sheetView topLeftCell="A98" zoomScale="228" zoomScaleNormal="100" workbookViewId="0">
      <selection activeCell="B103" sqref="B103:AW103"/>
    </sheetView>
  </sheetViews>
  <sheetFormatPr baseColWidth="10" defaultColWidth="10.83203125" defaultRowHeight="11" x14ac:dyDescent="0.15"/>
  <cols>
    <col min="1" max="1" width="17" style="42" bestFit="1" customWidth="1"/>
    <col min="2" max="2" width="8.5" style="41" bestFit="1" customWidth="1"/>
    <col min="3" max="3" width="8.5" style="4" bestFit="1" customWidth="1"/>
    <col min="4" max="4" width="9.33203125" style="4" bestFit="1" customWidth="1"/>
    <col min="5" max="5" width="7.5" style="4" bestFit="1" customWidth="1"/>
    <col min="6" max="6" width="8.83203125" style="4" bestFit="1" customWidth="1"/>
    <col min="7" max="7" width="8.5" style="4" bestFit="1" customWidth="1"/>
    <col min="8" max="8" width="5.6640625" style="4" bestFit="1" customWidth="1"/>
    <col min="9" max="9" width="11.5" style="4" bestFit="1" customWidth="1"/>
    <col min="10" max="10" width="4.1640625" style="4" bestFit="1" customWidth="1"/>
    <col min="11" max="11" width="5.83203125" style="4" bestFit="1" customWidth="1"/>
    <col min="12" max="12" width="3.83203125" style="4" bestFit="1" customWidth="1"/>
    <col min="13" max="13" width="5.33203125" style="4" bestFit="1" customWidth="1"/>
    <col min="14" max="15" width="5.83203125" style="4" bestFit="1" customWidth="1"/>
    <col min="16" max="16" width="5" style="4" bestFit="1" customWidth="1"/>
    <col min="17" max="17" width="4.1640625" style="4" bestFit="1" customWidth="1"/>
    <col min="18" max="18" width="6.5" style="4" bestFit="1" customWidth="1"/>
    <col min="19" max="19" width="8.5" style="4" bestFit="1" customWidth="1"/>
    <col min="20" max="22" width="5.83203125" style="4" bestFit="1" customWidth="1"/>
    <col min="23" max="23" width="5.6640625" style="4" bestFit="1" customWidth="1"/>
    <col min="24" max="24" width="8.1640625" style="4" bestFit="1" customWidth="1"/>
    <col min="25" max="26" width="5.83203125" style="4" bestFit="1" customWidth="1"/>
    <col min="27" max="27" width="5.6640625" style="4" bestFit="1" customWidth="1"/>
    <col min="28" max="30" width="5.83203125" style="4" bestFit="1" customWidth="1"/>
    <col min="31" max="32" width="5.6640625" style="4" bestFit="1" customWidth="1"/>
    <col min="33" max="33" width="10" style="4" bestFit="1" customWidth="1"/>
    <col min="34" max="39" width="6.1640625" style="4" bestFit="1" customWidth="1"/>
    <col min="40" max="40" width="8.33203125" style="4" bestFit="1" customWidth="1"/>
    <col min="41" max="41" width="6.33203125" style="4" bestFit="1" customWidth="1"/>
    <col min="42" max="48" width="6.1640625" style="4" bestFit="1" customWidth="1"/>
    <col min="49" max="49" width="8.5" style="4" bestFit="1" customWidth="1"/>
    <col min="50" max="16384" width="10.83203125" style="4"/>
  </cols>
  <sheetData>
    <row r="1" spans="1:49" x14ac:dyDescent="0.15">
      <c r="A1" s="42" t="s">
        <v>542</v>
      </c>
      <c r="B1" s="80">
        <f>COUNTIF(B3:B197,"=DONE")/COUNTA(A3:A197)</f>
        <v>1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49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49" x14ac:dyDescent="0.15">
      <c r="A3" s="35" t="s">
        <v>99</v>
      </c>
      <c r="B3" s="36" t="s">
        <v>541</v>
      </c>
      <c r="C3" s="4">
        <v>0</v>
      </c>
      <c r="D3" s="4">
        <v>0.1</v>
      </c>
      <c r="E3" s="4">
        <v>0.2</v>
      </c>
      <c r="F3" s="4">
        <v>0.3</v>
      </c>
      <c r="G3" s="4">
        <v>-0.1</v>
      </c>
      <c r="H3" s="6"/>
      <c r="I3" s="16" t="s">
        <v>444</v>
      </c>
      <c r="J3" s="6" t="b">
        <v>1</v>
      </c>
      <c r="K3" s="6" t="e">
        <v>#VALUE!</v>
      </c>
      <c r="L3" s="6" t="e">
        <v>#N/A</v>
      </c>
      <c r="M3" s="7" t="e">
        <v>#DIV/0!</v>
      </c>
      <c r="N3" s="7" t="e">
        <v>#NAME?</v>
      </c>
      <c r="O3" s="7" t="e">
        <v>#NULL!</v>
      </c>
      <c r="P3" s="7" t="e">
        <v>#NUM!</v>
      </c>
      <c r="Q3" s="7" t="e">
        <v>#REF!</v>
      </c>
      <c r="R3" s="6">
        <f>AVEDEV(C3:D3,D3:E3,E3:F3)</f>
        <v>8.3333333333333329E-2</v>
      </c>
      <c r="S3" s="6" t="e" vm="83">
        <f>AVEDEV(D3:E3,E3:F3,F3:G3,"")</f>
        <v>#VALUE!</v>
      </c>
      <c r="T3" s="6">
        <f>AVEDEV(E3:F3,F3:G3,G3:H3,"29/02/1900")</f>
        <v>16.633333333333336</v>
      </c>
      <c r="U3" s="6">
        <f>AVEDEV(F3:G3,G3:H3,H3:I3)</f>
        <v>0.17777777777777778</v>
      </c>
      <c r="V3" s="6">
        <f>AVEDEV(G3:H3,H3:I3,I3:J3)</f>
        <v>0</v>
      </c>
      <c r="W3" s="6">
        <f>AVEDEV(G3:H3)</f>
        <v>0</v>
      </c>
      <c r="X3" s="6">
        <f>AVEDEV(I3,G3)</f>
        <v>0</v>
      </c>
      <c r="Y3" s="6">
        <f>AVEDEV(J3,G3)</f>
        <v>0</v>
      </c>
      <c r="Z3" s="6" t="e">
        <f>AVEDEV(K3:L3)</f>
        <v>#VALUE!</v>
      </c>
      <c r="AA3" s="6" t="e">
        <f t="shared" ref="AA3:AF3" si="0">AVEDEV(L3:M3)</f>
        <v>#N/A</v>
      </c>
      <c r="AB3" s="6" t="e">
        <f t="shared" si="0"/>
        <v>#DIV/0!</v>
      </c>
      <c r="AC3" s="6" t="e">
        <f t="shared" si="0"/>
        <v>#NAME?</v>
      </c>
      <c r="AD3" s="6" t="e">
        <f t="shared" si="0"/>
        <v>#NULL!</v>
      </c>
      <c r="AE3" s="6" t="e">
        <f t="shared" si="0"/>
        <v>#NUM!</v>
      </c>
      <c r="AF3" s="6" t="e">
        <f t="shared" si="0"/>
        <v>#REF!</v>
      </c>
      <c r="AG3" s="6" t="e">
        <f>AVEDEV(H3:J3)</f>
        <v>#NUM!</v>
      </c>
      <c r="AH3" s="6">
        <f t="array" ref="AH3:AW3">AVEDEV(C3:J3)</f>
        <v>0.12</v>
      </c>
      <c r="AI3" s="6">
        <v>0.12</v>
      </c>
      <c r="AJ3" s="6">
        <v>0.12</v>
      </c>
      <c r="AK3" s="6">
        <v>0.12</v>
      </c>
      <c r="AL3" s="6">
        <v>0.12</v>
      </c>
      <c r="AM3" s="6">
        <v>0.12</v>
      </c>
      <c r="AN3" s="6">
        <v>0.12</v>
      </c>
      <c r="AO3" s="6">
        <v>0.12</v>
      </c>
      <c r="AP3" s="6">
        <v>0.12</v>
      </c>
      <c r="AQ3" s="6">
        <v>0.12</v>
      </c>
      <c r="AR3" s="6">
        <v>0.12</v>
      </c>
      <c r="AS3" s="6">
        <v>0.12</v>
      </c>
      <c r="AT3" s="6">
        <v>0.12</v>
      </c>
      <c r="AU3" s="6">
        <v>0.12</v>
      </c>
      <c r="AV3" s="6">
        <v>0.12</v>
      </c>
      <c r="AW3" s="4">
        <v>0.12</v>
      </c>
    </row>
    <row r="4" spans="1:49" x14ac:dyDescent="0.15">
      <c r="A4" s="35" t="s">
        <v>100</v>
      </c>
      <c r="B4" s="36" t="s">
        <v>541</v>
      </c>
      <c r="C4" s="4">
        <v>0</v>
      </c>
      <c r="D4" s="4">
        <v>0.1</v>
      </c>
      <c r="E4" s="4">
        <v>0.2</v>
      </c>
      <c r="F4" s="4">
        <v>0.3</v>
      </c>
      <c r="G4" s="4">
        <v>-0.1</v>
      </c>
      <c r="H4" s="6"/>
      <c r="I4" s="16" t="s">
        <v>444</v>
      </c>
      <c r="J4" s="6" t="b">
        <v>1</v>
      </c>
      <c r="K4" s="6" t="e">
        <v>#VALUE!</v>
      </c>
      <c r="L4" s="6" t="e">
        <v>#N/A</v>
      </c>
      <c r="M4" s="7" t="e">
        <v>#DIV/0!</v>
      </c>
      <c r="N4" s="7" t="e">
        <v>#NAME?</v>
      </c>
      <c r="O4" s="7" t="e">
        <v>#NULL!</v>
      </c>
      <c r="P4" s="7" t="e">
        <v>#NUM!</v>
      </c>
      <c r="Q4" s="7" t="e">
        <v>#REF!</v>
      </c>
      <c r="R4" s="6">
        <f>AVERAGE(C4:D4,D4:E4,E4:F4)</f>
        <v>0.15000000000000002</v>
      </c>
      <c r="S4" s="6" t="e" vm="84">
        <f>AVERAGE(D4:E4,E4:F4,F4:G4,"")</f>
        <v>#VALUE!</v>
      </c>
      <c r="T4" s="6">
        <f>AVERAGE(E4:F4,F4:G4,G4:H4,"29/02/1900")</f>
        <v>10.1</v>
      </c>
      <c r="U4" s="6">
        <f>AVERAGE(F4:G4,G4:H4,H4:I4)</f>
        <v>3.3333333333333326E-2</v>
      </c>
      <c r="V4" s="6">
        <f>AVERAGE(G4:H4,H4:I4,I4:J4)</f>
        <v>-0.1</v>
      </c>
      <c r="W4" s="6">
        <f>AVERAGE(G4:H4)</f>
        <v>-0.1</v>
      </c>
      <c r="X4" s="6">
        <f>AVERAGE(I4,G4)</f>
        <v>-0.1</v>
      </c>
      <c r="Y4" s="6">
        <f>AVERAGE(J4,G4)</f>
        <v>-0.1</v>
      </c>
      <c r="Z4" s="6" t="e">
        <f t="shared" ref="Z4:AF4" si="1">AVERAGE(K4:L4)</f>
        <v>#VALUE!</v>
      </c>
      <c r="AA4" s="6" t="e">
        <f t="shared" si="1"/>
        <v>#N/A</v>
      </c>
      <c r="AB4" s="6" t="e">
        <f t="shared" si="1"/>
        <v>#DIV/0!</v>
      </c>
      <c r="AC4" s="6" t="e">
        <f t="shared" si="1"/>
        <v>#NAME?</v>
      </c>
      <c r="AD4" s="6" t="e">
        <f t="shared" si="1"/>
        <v>#NULL!</v>
      </c>
      <c r="AE4" s="6" t="e">
        <f t="shared" si="1"/>
        <v>#NUM!</v>
      </c>
      <c r="AF4" s="6" t="e">
        <f t="shared" si="1"/>
        <v>#REF!</v>
      </c>
      <c r="AG4" s="6" t="e">
        <f t="array" ref="AG4">AVERAGE(H4:J4)</f>
        <v>#DIV/0!</v>
      </c>
      <c r="AH4" s="6">
        <f t="array" ref="AH4:AM4">AVERAGE(C4:J4)</f>
        <v>0.10000000000000002</v>
      </c>
      <c r="AI4" s="6">
        <v>0.10000000000000002</v>
      </c>
      <c r="AJ4" s="6">
        <v>0.10000000000000002</v>
      </c>
      <c r="AK4" s="6">
        <v>0.10000000000000002</v>
      </c>
      <c r="AL4" s="6">
        <v>0.10000000000000002</v>
      </c>
      <c r="AM4" s="6">
        <v>0.10000000000000002</v>
      </c>
      <c r="AN4" s="6" t="e">
        <f t="array" ref="AN4:AW4">AVERAGE(J4:Q4)</f>
        <v>#VALUE!</v>
      </c>
      <c r="AO4" s="6" t="e">
        <v>#VALUE!</v>
      </c>
      <c r="AP4" s="6" t="e">
        <v>#VALUE!</v>
      </c>
      <c r="AQ4" s="6" t="e">
        <v>#VALUE!</v>
      </c>
      <c r="AR4" s="6" t="e">
        <v>#VALUE!</v>
      </c>
      <c r="AS4" s="6" t="e">
        <v>#VALUE!</v>
      </c>
      <c r="AT4" s="6" t="e">
        <v>#VALUE!</v>
      </c>
      <c r="AU4" s="6" t="e">
        <v>#VALUE!</v>
      </c>
      <c r="AV4" s="6" t="e">
        <v>#VALUE!</v>
      </c>
      <c r="AW4" s="4" t="e">
        <v>#VALUE!</v>
      </c>
    </row>
    <row r="5" spans="1:49" x14ac:dyDescent="0.15">
      <c r="A5" s="35" t="s">
        <v>101</v>
      </c>
      <c r="B5" s="36" t="s">
        <v>541</v>
      </c>
      <c r="C5" s="4">
        <v>0</v>
      </c>
      <c r="D5" s="4">
        <v>0.1</v>
      </c>
      <c r="E5" s="4">
        <v>0.2</v>
      </c>
      <c r="F5" s="4">
        <v>0.3</v>
      </c>
      <c r="G5" s="4">
        <v>-0.1</v>
      </c>
      <c r="H5" s="6"/>
      <c r="I5" s="16" t="s">
        <v>444</v>
      </c>
      <c r="J5" s="6" t="b">
        <v>1</v>
      </c>
      <c r="K5" s="6" t="e">
        <v>#VALUE!</v>
      </c>
      <c r="L5" s="6" t="e">
        <v>#N/A</v>
      </c>
      <c r="M5" s="7" t="e">
        <v>#DIV/0!</v>
      </c>
      <c r="N5" s="7" t="e">
        <v>#NAME?</v>
      </c>
      <c r="O5" s="7" t="e">
        <v>#NULL!</v>
      </c>
      <c r="P5" s="7" t="e">
        <v>#NUM!</v>
      </c>
      <c r="Q5" s="7" t="e">
        <v>#REF!</v>
      </c>
      <c r="R5" s="6">
        <f>AVERAGEA(C5:D5,D5:E5,E5:F5)</f>
        <v>0.15000000000000002</v>
      </c>
      <c r="S5" s="6" t="e" vm="85">
        <f>AVERAGEA(D5:E5,E5:F5,F5:G5,"")</f>
        <v>#VALUE!</v>
      </c>
      <c r="T5" s="6">
        <f>AVERAGEA(E5:F5,F5:G5,G5:H5,"29/02/1900")</f>
        <v>10.1</v>
      </c>
      <c r="U5" s="6">
        <f>AVERAGEA(F5:G5,G5:H5,H5:I5)</f>
        <v>2.4999999999999994E-2</v>
      </c>
      <c r="V5" s="6">
        <f>AVERAGEA(G5:H5,H5:I5,I5:J5)</f>
        <v>0.22500000000000001</v>
      </c>
      <c r="W5" s="6" t="e">
        <f>AVERAGEA(H4:H5)</f>
        <v>#DIV/0!</v>
      </c>
      <c r="X5" s="6">
        <f>AVERAGEA(I5,G5:H5)</f>
        <v>-0.05</v>
      </c>
      <c r="Y5" s="6">
        <f>AVERAGEA(J5,H5:I5)</f>
        <v>0.5</v>
      </c>
      <c r="Z5" s="6" t="e">
        <f t="shared" ref="Z5:AF5" si="2">AVERAGEA(K5:L5)</f>
        <v>#VALUE!</v>
      </c>
      <c r="AA5" s="6" t="e">
        <f t="shared" si="2"/>
        <v>#N/A</v>
      </c>
      <c r="AB5" s="6" t="e">
        <f t="shared" si="2"/>
        <v>#DIV/0!</v>
      </c>
      <c r="AC5" s="6" t="e">
        <f t="shared" si="2"/>
        <v>#NAME?</v>
      </c>
      <c r="AD5" s="6" t="e">
        <f t="shared" si="2"/>
        <v>#NULL!</v>
      </c>
      <c r="AE5" s="6" t="e">
        <f t="shared" si="2"/>
        <v>#NUM!</v>
      </c>
      <c r="AF5" s="6" t="e">
        <f t="shared" si="2"/>
        <v>#REF!</v>
      </c>
      <c r="AG5" s="6">
        <f>AVERAGEA(H5:J5)</f>
        <v>0.5</v>
      </c>
      <c r="AH5" s="6">
        <f t="array" ref="AH5:AM5">AVERAGEA(C5:J5)</f>
        <v>0.21428571428571427</v>
      </c>
      <c r="AI5" s="6">
        <v>0.21428571428571427</v>
      </c>
      <c r="AJ5" s="6">
        <v>0.21428571428571427</v>
      </c>
      <c r="AK5" s="6">
        <v>0.21428571428571427</v>
      </c>
      <c r="AL5" s="6">
        <v>0.21428571428571427</v>
      </c>
      <c r="AM5" s="6">
        <v>0.21428571428571427</v>
      </c>
      <c r="AN5" s="6" t="e">
        <f t="array" ref="AN5:AW5">AVERAGEA(J5:Q5)</f>
        <v>#VALUE!</v>
      </c>
      <c r="AO5" s="6" t="e">
        <v>#VALUE!</v>
      </c>
      <c r="AP5" s="6" t="e">
        <v>#VALUE!</v>
      </c>
      <c r="AQ5" s="6" t="e">
        <v>#VALUE!</v>
      </c>
      <c r="AR5" s="6" t="e">
        <v>#VALUE!</v>
      </c>
      <c r="AS5" s="6" t="e">
        <v>#VALUE!</v>
      </c>
      <c r="AT5" s="6" t="e">
        <v>#VALUE!</v>
      </c>
      <c r="AU5" s="6" t="e">
        <v>#VALUE!</v>
      </c>
      <c r="AV5" s="6" t="e">
        <v>#VALUE!</v>
      </c>
      <c r="AW5" s="4" t="e">
        <v>#VALUE!</v>
      </c>
    </row>
    <row r="6" spans="1:49" x14ac:dyDescent="0.15">
      <c r="A6" s="35" t="s">
        <v>102</v>
      </c>
      <c r="B6" s="36" t="s">
        <v>541</v>
      </c>
      <c r="C6" s="4">
        <v>1</v>
      </c>
      <c r="D6" s="4">
        <v>1</v>
      </c>
      <c r="E6" s="4">
        <v>2.2999999999999998</v>
      </c>
      <c r="F6" s="4">
        <v>10</v>
      </c>
      <c r="G6" s="4">
        <v>-1</v>
      </c>
      <c r="H6" s="6"/>
      <c r="I6" s="16" t="s">
        <v>32</v>
      </c>
      <c r="J6" s="6" t="b">
        <v>1</v>
      </c>
      <c r="K6" s="6" t="e">
        <v>#VALUE!</v>
      </c>
      <c r="L6" s="6" t="e">
        <v>#N/A</v>
      </c>
      <c r="M6" s="7" t="e">
        <v>#DIV/0!</v>
      </c>
      <c r="N6" s="7" t="e">
        <v>#NAME?</v>
      </c>
      <c r="O6" s="7" t="e">
        <v>#NULL!</v>
      </c>
      <c r="P6" s="7" t="e">
        <v>#NUM!</v>
      </c>
      <c r="Q6" s="7" t="e">
        <v>#REF!</v>
      </c>
      <c r="R6" s="6">
        <f>AVERAGEIF(C6:D6,1,E6:F6)</f>
        <v>6.15</v>
      </c>
      <c r="S6" s="6">
        <f>AVERAGEIF(D6:E6,"1",F6:G6)</f>
        <v>10</v>
      </c>
      <c r="T6" s="6">
        <f>AVERAGEIF(E6:F6,"&gt;1",G6:H6)</f>
        <v>-1</v>
      </c>
      <c r="U6" s="6">
        <f>AVERAGEIF(F6:G6,"&lt;&gt;-1",G6:H6)</f>
        <v>-1</v>
      </c>
      <c r="V6" s="6" t="e">
        <f>AVERAGEIF(G6:H6,1,I6:J6)</f>
        <v>#DIV/0!</v>
      </c>
      <c r="W6" s="6" t="e">
        <f>AVERAGEIF(H6:I6,H6,D6:E6)</f>
        <v>#DIV/0!</v>
      </c>
      <c r="X6" s="6">
        <f>AVERAGEIF(I6:J6,I6,E6:F6)</f>
        <v>2.2999999999999998</v>
      </c>
      <c r="Y6" s="6">
        <f>AVERAGEIF(I6:J6,"&lt;=TRUE",F6:G6)</f>
        <v>-1</v>
      </c>
      <c r="Z6" s="6" t="e">
        <f t="shared" ref="Z6:AF6" si="3">AVERAGEIF(I6:J6,I6,K6:L6)</f>
        <v>#VALUE!</v>
      </c>
      <c r="AA6" s="6" t="e">
        <f t="shared" si="3"/>
        <v>#N/A</v>
      </c>
      <c r="AB6" s="6" t="e">
        <f t="shared" si="3"/>
        <v>#DIV/0!</v>
      </c>
      <c r="AC6" s="6" t="e">
        <f t="shared" si="3"/>
        <v>#NAME?</v>
      </c>
      <c r="AD6" s="6" t="e">
        <f t="shared" si="3"/>
        <v>#NULL!</v>
      </c>
      <c r="AE6" s="6" t="e">
        <f t="shared" si="3"/>
        <v>#NUM!</v>
      </c>
      <c r="AF6" s="6" t="e">
        <f t="shared" si="3"/>
        <v>#REF!</v>
      </c>
      <c r="AG6" s="6">
        <f t="array" ref="AG6">AVERAGEIF(D6:H6,{1,"&gt;3"},E6:I6)</f>
        <v>2.2999999999999998</v>
      </c>
      <c r="AH6" s="6">
        <f t="array" ref="AH6:AW6">AVERAGEIF(F6:J6,{"*ao","","TRUE",TRUE,"*a?"},C6:G6)</f>
        <v>10</v>
      </c>
      <c r="AI6" s="6">
        <v>2.2999999999999998</v>
      </c>
      <c r="AJ6" s="6">
        <v>-1</v>
      </c>
      <c r="AK6" s="6">
        <v>-1</v>
      </c>
      <c r="AL6" s="6">
        <v>10</v>
      </c>
      <c r="AM6" s="6" t="e">
        <v>#N/A</v>
      </c>
      <c r="AN6" s="6" t="e">
        <v>#N/A</v>
      </c>
      <c r="AO6" s="6" t="e">
        <v>#N/A</v>
      </c>
      <c r="AP6" s="6" t="e">
        <v>#N/A</v>
      </c>
      <c r="AQ6" s="6" t="e">
        <v>#N/A</v>
      </c>
      <c r="AR6" s="6" t="e">
        <v>#N/A</v>
      </c>
      <c r="AS6" s="6" t="e">
        <v>#N/A</v>
      </c>
      <c r="AT6" s="6" t="e">
        <v>#N/A</v>
      </c>
      <c r="AU6" s="6" t="e">
        <v>#N/A</v>
      </c>
      <c r="AV6" s="6" t="e">
        <v>#N/A</v>
      </c>
      <c r="AW6" s="4" t="e">
        <v>#N/A</v>
      </c>
    </row>
    <row r="7" spans="1:49" x14ac:dyDescent="0.15">
      <c r="A7" s="35" t="s">
        <v>103</v>
      </c>
      <c r="B7" s="36" t="s">
        <v>541</v>
      </c>
      <c r="C7" s="4">
        <v>1</v>
      </c>
      <c r="D7" s="4">
        <v>1</v>
      </c>
      <c r="E7" s="4">
        <v>2.2999999999999998</v>
      </c>
      <c r="F7" s="4">
        <v>10</v>
      </c>
      <c r="G7" s="4">
        <v>-1</v>
      </c>
      <c r="H7" s="6"/>
      <c r="I7" s="16" t="s">
        <v>32</v>
      </c>
      <c r="J7" s="6" t="b">
        <v>1</v>
      </c>
      <c r="K7" s="6" t="e">
        <v>#VALUE!</v>
      </c>
      <c r="L7" s="6" t="e">
        <v>#N/A</v>
      </c>
      <c r="M7" s="7" t="e">
        <v>#DIV/0!</v>
      </c>
      <c r="N7" s="7" t="e">
        <v>#NAME?</v>
      </c>
      <c r="O7" s="7" t="e">
        <v>#NULL!</v>
      </c>
      <c r="P7" s="7" t="e">
        <v>#NUM!</v>
      </c>
      <c r="Q7" s="7" t="e">
        <v>#REF!</v>
      </c>
      <c r="R7" s="6">
        <f>AVERAGEIFS(E7:F7, C7:D7,1,E7:F7,2.3)</f>
        <v>2.2999999999999998</v>
      </c>
      <c r="S7" s="6">
        <f>AVERAGEIFS(F7:G7,D7:E7,"1")</f>
        <v>10</v>
      </c>
      <c r="T7" s="6">
        <f>AVERAGEIFS(G7:H7, E7:F7,"&gt;1")</f>
        <v>-1</v>
      </c>
      <c r="U7" s="6">
        <f>AVERAGEIFS(G7:H7,F7:G7,"&lt;&gt;-1")</f>
        <v>-1</v>
      </c>
      <c r="V7" s="6" t="e">
        <f>AVERAGEIFS(I7:J7,G7:H7,1)</f>
        <v>#DIV/0!</v>
      </c>
      <c r="W7" s="6" t="e">
        <f>AVERAGEIFS(D7:E7,H7:I7,H7)</f>
        <v>#DIV/0!</v>
      </c>
      <c r="X7" s="6">
        <f>AVERAGEIFS(E7:F7,I7:J7,I7)</f>
        <v>2.2999999999999998</v>
      </c>
      <c r="Y7" s="6">
        <f>AVERAGEIFS(F7:G7,I7:J7,"&lt;=TRUE")</f>
        <v>-1</v>
      </c>
      <c r="Z7" s="6" t="e">
        <f t="shared" ref="Z7:AF7" si="4">AVERAGEIFS(K7:L7,I7:J7,I7)</f>
        <v>#VALUE!</v>
      </c>
      <c r="AA7" s="6" t="e">
        <f t="shared" si="4"/>
        <v>#N/A</v>
      </c>
      <c r="AB7" s="6" t="e">
        <f t="shared" si="4"/>
        <v>#DIV/0!</v>
      </c>
      <c r="AC7" s="6" t="e">
        <f t="shared" si="4"/>
        <v>#NAME?</v>
      </c>
      <c r="AD7" s="6" t="e">
        <f t="shared" si="4"/>
        <v>#NULL!</v>
      </c>
      <c r="AE7" s="6" t="e">
        <f t="shared" si="4"/>
        <v>#NUM!</v>
      </c>
      <c r="AF7" s="6" t="e">
        <f t="shared" si="4"/>
        <v>#REF!</v>
      </c>
      <c r="AG7" s="6" t="e">
        <f t="array" ref="AG7">AVERAGEIFS(E7:I7,D7:H7,{1,"&gt;3"}, C7:F7,{0,1})</f>
        <v>#VALUE!</v>
      </c>
      <c r="AH7" s="6">
        <f t="array" ref="AH7:AW7">AVERAGEIFS(C7:G7,F7:J7,{"*ao","","TRUE",TRUE,"*a?"})</f>
        <v>10</v>
      </c>
      <c r="AI7" s="6">
        <v>2.2999999999999998</v>
      </c>
      <c r="AJ7" s="6">
        <v>-1</v>
      </c>
      <c r="AK7" s="6">
        <v>-1</v>
      </c>
      <c r="AL7" s="6">
        <v>10</v>
      </c>
      <c r="AM7" s="6" t="e">
        <v>#N/A</v>
      </c>
      <c r="AN7" s="6" t="e">
        <v>#N/A</v>
      </c>
      <c r="AO7" s="6" t="e">
        <v>#N/A</v>
      </c>
      <c r="AP7" s="6" t="e">
        <v>#N/A</v>
      </c>
      <c r="AQ7" s="6" t="e">
        <v>#N/A</v>
      </c>
      <c r="AR7" s="6" t="e">
        <v>#N/A</v>
      </c>
      <c r="AS7" s="6" t="e">
        <v>#N/A</v>
      </c>
      <c r="AT7" s="6" t="e">
        <v>#N/A</v>
      </c>
      <c r="AU7" s="6" t="e">
        <v>#N/A</v>
      </c>
      <c r="AV7" s="6" t="e">
        <v>#N/A</v>
      </c>
      <c r="AW7" s="4" t="e">
        <v>#N/A</v>
      </c>
    </row>
    <row r="8" spans="1:49" x14ac:dyDescent="0.15">
      <c r="A8" s="35" t="s">
        <v>104</v>
      </c>
      <c r="B8" s="36" t="s">
        <v>541</v>
      </c>
      <c r="C8" s="4">
        <v>0</v>
      </c>
      <c r="D8" s="4">
        <v>5</v>
      </c>
      <c r="E8" s="4">
        <v>0.7</v>
      </c>
      <c r="F8" s="4">
        <v>3</v>
      </c>
      <c r="G8" s="4">
        <v>4</v>
      </c>
      <c r="H8" s="6"/>
      <c r="I8" s="16" t="s">
        <v>444</v>
      </c>
      <c r="J8" s="6" t="b">
        <v>1</v>
      </c>
      <c r="K8" s="6" t="e">
        <v>#VALUE!</v>
      </c>
      <c r="L8" s="6" t="e">
        <v>#N/A</v>
      </c>
      <c r="M8" s="7" t="e">
        <v>#DIV/0!</v>
      </c>
      <c r="N8" s="7" t="e">
        <v>#NAME?</v>
      </c>
      <c r="O8" s="7" t="e">
        <v>#NULL!</v>
      </c>
      <c r="P8" s="7" t="e">
        <v>#NUM!</v>
      </c>
      <c r="Q8" s="7" t="e">
        <v>#REF!</v>
      </c>
      <c r="R8" s="6" t="e">
        <f>_xlfn.BETA.DIST(C8,,,)</f>
        <v>#NUM!</v>
      </c>
      <c r="S8" s="6" t="e">
        <f>_xlfn.BETA.DIST(D8,1,2,FALSE)</f>
        <v>#NUM!</v>
      </c>
      <c r="T8" s="6">
        <f>_xlfn.BETA.DIST(E8,"1","3",5, 0.5, 5)</f>
        <v>0.12749519890260627</v>
      </c>
      <c r="U8" s="6" t="e">
        <f>_xlfn.BETA.DIST(F8,-1,2,"TRUE")</f>
        <v>#NUM!</v>
      </c>
      <c r="V8" s="6" t="e">
        <f>_xlfn.BETA.DIST(G8, 0,0,1)</f>
        <v>#NUM!</v>
      </c>
      <c r="W8" s="6" t="e">
        <f>_xlfn.BETA.DIST(H8,H8,G8,1)</f>
        <v>#NUM!</v>
      </c>
      <c r="X8" s="6" t="e">
        <f>_xlfn.BETA.DIST(I8,,I8,1)</f>
        <v>#NUM!</v>
      </c>
      <c r="Y8" s="6">
        <f>_xlfn.BETA.DIST(J8,I8,E8,1)</f>
        <v>1</v>
      </c>
      <c r="Z8" s="6" t="e">
        <f>_xlfn.BETA.DIST(K8,I8,G8,1)</f>
        <v>#VALUE!</v>
      </c>
      <c r="AA8" s="6" t="e">
        <f t="shared" ref="AA8:AF8" si="5">_xlfn.BETA.DIST(L8,J8,H8,1)</f>
        <v>#N/A</v>
      </c>
      <c r="AB8" s="6" t="e">
        <f t="shared" si="5"/>
        <v>#DIV/0!</v>
      </c>
      <c r="AC8" s="6" t="e">
        <f t="shared" si="5"/>
        <v>#NAME?</v>
      </c>
      <c r="AD8" s="6" t="e">
        <f t="shared" si="5"/>
        <v>#NULL!</v>
      </c>
      <c r="AE8" s="6" t="e">
        <f t="shared" si="5"/>
        <v>#NUM!</v>
      </c>
      <c r="AF8" s="6" t="e">
        <f t="shared" si="5"/>
        <v>#REF!</v>
      </c>
      <c r="AG8" s="6">
        <f t="array" ref="AG8">_xlfn.BETA.DIST(C8:Q8,3,3,1)</f>
        <v>0</v>
      </c>
      <c r="AH8" s="6">
        <f t="array" ref="AH8:AW8">_xlfn.BETA.DIST(C8:Q8,3,4,1)</f>
        <v>0</v>
      </c>
      <c r="AI8" s="6" t="e">
        <v>#NUM!</v>
      </c>
      <c r="AJ8" s="6">
        <v>0.92952999999999997</v>
      </c>
      <c r="AK8" s="6" t="e">
        <v>#NUM!</v>
      </c>
      <c r="AL8" s="6" t="e">
        <v>#NUM!</v>
      </c>
      <c r="AM8" s="6">
        <v>0</v>
      </c>
      <c r="AN8" s="6" t="e">
        <v>#NUM!</v>
      </c>
      <c r="AO8" s="6">
        <v>1</v>
      </c>
      <c r="AP8" s="6" t="e">
        <v>#VALUE!</v>
      </c>
      <c r="AQ8" s="6" t="e">
        <v>#N/A</v>
      </c>
      <c r="AR8" s="6" t="e">
        <v>#DIV/0!</v>
      </c>
      <c r="AS8" s="6" t="e">
        <v>#NAME?</v>
      </c>
      <c r="AT8" s="6" t="e">
        <v>#NULL!</v>
      </c>
      <c r="AU8" s="6" t="e">
        <v>#NUM!</v>
      </c>
      <c r="AV8" s="6" t="e">
        <v>#REF!</v>
      </c>
      <c r="AW8" s="4" t="e">
        <v>#N/A</v>
      </c>
    </row>
    <row r="9" spans="1:49" x14ac:dyDescent="0.15">
      <c r="A9" s="35" t="s">
        <v>105</v>
      </c>
      <c r="B9" s="36" t="s">
        <v>541</v>
      </c>
      <c r="C9" s="4">
        <v>0</v>
      </c>
      <c r="D9" s="4">
        <v>0.1</v>
      </c>
      <c r="E9" s="4">
        <v>0.7</v>
      </c>
      <c r="F9" s="4">
        <v>2E-3</v>
      </c>
      <c r="G9" s="4">
        <v>4</v>
      </c>
      <c r="H9" s="6"/>
      <c r="I9" s="16" t="s">
        <v>785</v>
      </c>
      <c r="J9" s="6" t="b">
        <v>1</v>
      </c>
      <c r="K9" s="6" t="e">
        <v>#VALUE!</v>
      </c>
      <c r="L9" s="6" t="e">
        <v>#N/A</v>
      </c>
      <c r="M9" s="7" t="e">
        <v>#DIV/0!</v>
      </c>
      <c r="N9" s="7" t="e">
        <v>#NAME?</v>
      </c>
      <c r="O9" s="7" t="e">
        <v>#NULL!</v>
      </c>
      <c r="P9" s="7" t="e">
        <v>#NUM!</v>
      </c>
      <c r="Q9" s="7" t="e">
        <v>#REF!</v>
      </c>
      <c r="R9" s="6" t="e">
        <f>_xlfn.BETA.INV(C9,4,4)</f>
        <v>#NUM!</v>
      </c>
      <c r="S9" s="6">
        <f>_xlfn.BETA.INV(D9,2,2)</f>
        <v>0.19580010565909176</v>
      </c>
      <c r="T9" s="6">
        <f>_xlfn.BETA.INV(0.4,2,E9)</f>
        <v>0.73329229214669267</v>
      </c>
      <c r="U9" s="6">
        <f>_xlfn.BETA.INV(F9,4,3)</f>
        <v>0.11264101251174523</v>
      </c>
      <c r="V9" s="6" t="e">
        <f>_xlfn.BETA.INV(G9,D9,E9)</f>
        <v>#NUM!</v>
      </c>
      <c r="W9" s="6" t="e">
        <f>_xlfn.BETA.INV(H9,3,2)</f>
        <v>#NUM!</v>
      </c>
      <c r="X9" s="6">
        <f>_xlfn.BETA.INV(0.9,I9, 1)</f>
        <v>0.99192809911932889</v>
      </c>
      <c r="Y9" s="6">
        <f>_xlfn.BETA.INV(0.3,J9,2)</f>
        <v>0.16333997346592444</v>
      </c>
      <c r="Z9" s="6" t="e">
        <f>_xlfn.BETA.INV(K9,C9,E9)</f>
        <v>#VALUE!</v>
      </c>
      <c r="AA9" s="6" t="e">
        <f t="shared" ref="AA9:AF9" si="6">_xlfn.BETA.INV(L9,D9,F9)</f>
        <v>#N/A</v>
      </c>
      <c r="AB9" s="6" t="e">
        <f t="shared" si="6"/>
        <v>#DIV/0!</v>
      </c>
      <c r="AC9" s="6" t="e">
        <f t="shared" si="6"/>
        <v>#NAME?</v>
      </c>
      <c r="AD9" s="6" t="e">
        <f t="shared" si="6"/>
        <v>#NULL!</v>
      </c>
      <c r="AE9" s="6" t="e">
        <f t="shared" si="6"/>
        <v>#NUM!</v>
      </c>
      <c r="AF9" s="6" t="e">
        <f t="shared" si="6"/>
        <v>#REF!</v>
      </c>
      <c r="AG9" s="6" t="e">
        <f t="array" ref="AG9">_xlfn.BETA.INV(C9:Q9,3,3)</f>
        <v>#NUM!</v>
      </c>
      <c r="AH9" s="6" t="e">
        <f t="array" ref="AH9:AW9">_xlfn.BETA.INV(C9:Q9, 3,2)</f>
        <v>#NUM!</v>
      </c>
      <c r="AI9" s="6">
        <v>0.32046058372181835</v>
      </c>
      <c r="AJ9" s="6">
        <v>0.72761605792489459</v>
      </c>
      <c r="AK9" s="6">
        <v>8.1046635604677369E-2</v>
      </c>
      <c r="AL9" s="6" t="e">
        <v>#NUM!</v>
      </c>
      <c r="AM9" s="6" t="e">
        <v>#NUM!</v>
      </c>
      <c r="AN9" s="6" t="e">
        <v>#NUM!</v>
      </c>
      <c r="AO9" s="6" t="e">
        <v>#NUM!</v>
      </c>
      <c r="AP9" s="6" t="e">
        <v>#VALUE!</v>
      </c>
      <c r="AQ9" s="6" t="e">
        <v>#N/A</v>
      </c>
      <c r="AR9" s="6" t="e">
        <v>#DIV/0!</v>
      </c>
      <c r="AS9" s="6" t="e">
        <v>#NAME?</v>
      </c>
      <c r="AT9" s="6" t="e">
        <v>#NULL!</v>
      </c>
      <c r="AU9" s="6" t="e">
        <v>#NUM!</v>
      </c>
      <c r="AV9" s="6" t="e">
        <v>#REF!</v>
      </c>
      <c r="AW9" s="4" t="e">
        <v>#N/A</v>
      </c>
    </row>
    <row r="10" spans="1:49" x14ac:dyDescent="0.15">
      <c r="A10" s="35" t="s">
        <v>106</v>
      </c>
      <c r="B10" s="36" t="s">
        <v>541</v>
      </c>
      <c r="C10" s="4">
        <v>0</v>
      </c>
      <c r="D10" s="4">
        <v>5</v>
      </c>
      <c r="E10" s="4">
        <v>0.7</v>
      </c>
      <c r="F10" s="4">
        <v>3</v>
      </c>
      <c r="G10" s="4">
        <v>4</v>
      </c>
      <c r="H10" s="6"/>
      <c r="I10" s="16" t="s">
        <v>444</v>
      </c>
      <c r="J10" s="6" t="b">
        <v>1</v>
      </c>
      <c r="K10" s="6" t="e">
        <v>#VALUE!</v>
      </c>
      <c r="L10" s="6" t="e">
        <v>#N/A</v>
      </c>
      <c r="M10" s="7" t="e">
        <v>#DIV/0!</v>
      </c>
      <c r="N10" s="7" t="e">
        <v>#NAME?</v>
      </c>
      <c r="O10" s="7" t="e">
        <v>#NULL!</v>
      </c>
      <c r="P10" s="7" t="e">
        <v>#NUM!</v>
      </c>
      <c r="Q10" s="7" t="e">
        <v>#REF!</v>
      </c>
      <c r="R10" s="6">
        <f>_xlfn.BINOM.DIST(C10,,,)</f>
        <v>1</v>
      </c>
      <c r="S10" s="6">
        <f>_xlfn.BINOM.DIST(D10,10,0.2,FALSE)</f>
        <v>2.6424115200000015E-2</v>
      </c>
      <c r="T10" s="6">
        <f>_xlfn.BINOM.DIST(E10,"1",".3",5)</f>
        <v>0.7</v>
      </c>
      <c r="U10" s="6" t="e">
        <f>_xlfn.BINOM.DIST(F10,-1,0.2,"TRUE")</f>
        <v>#NUM!</v>
      </c>
      <c r="V10" s="6">
        <f>_xlfn.BINOM.DIST(G10, 7,0.4,1)</f>
        <v>0.90374399999999999</v>
      </c>
      <c r="W10" s="6">
        <f>_xlfn.BINOM.DIST(H10,H10,G10/7,1)</f>
        <v>1</v>
      </c>
      <c r="X10" s="6">
        <f>_xlfn.BINOM.DIST(I10,I10,,1)</f>
        <v>1</v>
      </c>
      <c r="Y10" s="6">
        <f>_xlfn.BINOM.DIST(J10,I10,E10,1)</f>
        <v>5.9771533168054754E-30</v>
      </c>
      <c r="Z10" s="6" t="e">
        <f>_xlfn.BINOM.DIST(K10,I10,G10,1)</f>
        <v>#VALUE!</v>
      </c>
      <c r="AA10" s="6" t="e">
        <f t="shared" ref="AA10:AF10" si="7">_xlfn.BINOM.DIST(L10,J10,H10,1)</f>
        <v>#N/A</v>
      </c>
      <c r="AB10" s="6" t="e">
        <f t="shared" si="7"/>
        <v>#DIV/0!</v>
      </c>
      <c r="AC10" s="6" t="e">
        <f t="shared" si="7"/>
        <v>#NAME?</v>
      </c>
      <c r="AD10" s="6" t="e">
        <f t="shared" si="7"/>
        <v>#NULL!</v>
      </c>
      <c r="AE10" s="6" t="e">
        <f t="shared" si="7"/>
        <v>#NUM!</v>
      </c>
      <c r="AF10" s="6" t="e">
        <f t="shared" si="7"/>
        <v>#REF!</v>
      </c>
      <c r="AG10" s="6">
        <f t="array" ref="AG10">_xlfn.BINOM.DIST(C10:Q10,3,0.3,1)</f>
        <v>0.34300000000000003</v>
      </c>
      <c r="AH10" s="6">
        <f t="array" ref="AH10:AW10">_xlfn.BINOM.DIST(C10:Q10,3,0.4,1)</f>
        <v>0.21599999999999997</v>
      </c>
      <c r="AI10" s="6" t="e">
        <v>#NUM!</v>
      </c>
      <c r="AJ10" s="6">
        <v>0.21599999999999997</v>
      </c>
      <c r="AK10" s="6">
        <v>1</v>
      </c>
      <c r="AL10" s="6" t="e">
        <v>#NUM!</v>
      </c>
      <c r="AM10" s="6">
        <v>0.21599999999999997</v>
      </c>
      <c r="AN10" s="6" t="e">
        <v>#NUM!</v>
      </c>
      <c r="AO10" s="6">
        <v>0.64800000000000002</v>
      </c>
      <c r="AP10" s="6" t="e">
        <v>#VALUE!</v>
      </c>
      <c r="AQ10" s="6" t="e">
        <v>#N/A</v>
      </c>
      <c r="AR10" s="6" t="e">
        <v>#DIV/0!</v>
      </c>
      <c r="AS10" s="6" t="e">
        <v>#NAME?</v>
      </c>
      <c r="AT10" s="6" t="e">
        <v>#NULL!</v>
      </c>
      <c r="AU10" s="6" t="e">
        <v>#NUM!</v>
      </c>
      <c r="AV10" s="6" t="e">
        <v>#REF!</v>
      </c>
      <c r="AW10" s="4" t="e">
        <v>#N/A</v>
      </c>
    </row>
    <row r="11" spans="1:49" x14ac:dyDescent="0.15">
      <c r="A11" s="35" t="s">
        <v>107</v>
      </c>
      <c r="B11" s="36" t="s">
        <v>541</v>
      </c>
      <c r="C11" s="4">
        <v>0</v>
      </c>
      <c r="D11" s="4">
        <v>5</v>
      </c>
      <c r="E11" s="4">
        <v>0.7</v>
      </c>
      <c r="F11" s="4">
        <v>3</v>
      </c>
      <c r="G11" s="4">
        <v>4</v>
      </c>
      <c r="H11" s="6"/>
      <c r="I11" s="16" t="s">
        <v>444</v>
      </c>
      <c r="J11" s="6" t="b">
        <v>1</v>
      </c>
      <c r="K11" s="6" t="e">
        <v>#VALUE!</v>
      </c>
      <c r="L11" s="6" t="e">
        <v>#N/A</v>
      </c>
      <c r="M11" s="7" t="e">
        <v>#DIV/0!</v>
      </c>
      <c r="N11" s="7" t="e">
        <v>#NAME?</v>
      </c>
      <c r="O11" s="7" t="e">
        <v>#NULL!</v>
      </c>
      <c r="P11" s="7" t="e">
        <v>#NUM!</v>
      </c>
      <c r="Q11" s="7" t="e">
        <v>#REF!</v>
      </c>
      <c r="R11" s="6">
        <f>_xlfn.BINOM.DIST.RANGE(C11,,,)</f>
        <v>1</v>
      </c>
      <c r="S11" s="6">
        <f>_xlfn.BINOM.DIST.RANGE(D11,0.1,0.2,FALSE)</f>
        <v>0.59048999999999996</v>
      </c>
      <c r="T11" s="6">
        <f>_xlfn.BINOM.DIST.RANGE(E11,".1",".3",0.5)</f>
        <v>1</v>
      </c>
      <c r="U11" s="6" t="e" vm="86">
        <f>_xlfn.BINOM.DIST.RANGE(F11,-1,0.2,"TRUE")</f>
        <v>#VALUE!</v>
      </c>
      <c r="V11" s="6">
        <f>_xlfn.BINOM.DIST.RANGE(G11, 0.7,0.4,1)</f>
        <v>8.3700000000000024E-2</v>
      </c>
      <c r="W11" s="6">
        <f>_xlfn.BINOM.DIST.RANGE(H11,H11,G11/7,0.1)</f>
        <v>1</v>
      </c>
      <c r="X11" s="6" t="e">
        <f>_xlfn.BINOM.DIST.RANGE(I11,I11,,1)</f>
        <v>#NUM!</v>
      </c>
      <c r="Y11" s="6" t="e">
        <f>_xlfn.BINOM.DIST.RANGE(J11,I11,E11,1)</f>
        <v>#NUM!</v>
      </c>
      <c r="Z11" s="6" t="e">
        <f>_xlfn.BINOM.DIST.RANGE(K11,I11,G11,1)</f>
        <v>#VALUE!</v>
      </c>
      <c r="AA11" s="6" t="e">
        <f t="shared" ref="AA11:AF11" si="8">_xlfn.BINOM.DIST.RANGE(L11,J11,H11,1)</f>
        <v>#N/A</v>
      </c>
      <c r="AB11" s="6" t="e">
        <f t="shared" si="8"/>
        <v>#DIV/0!</v>
      </c>
      <c r="AC11" s="6" t="e">
        <f t="shared" si="8"/>
        <v>#NAME?</v>
      </c>
      <c r="AD11" s="6" t="e">
        <f t="shared" si="8"/>
        <v>#NULL!</v>
      </c>
      <c r="AE11" s="6" t="e">
        <f t="shared" si="8"/>
        <v>#NUM!</v>
      </c>
      <c r="AF11" s="6" t="e">
        <f t="shared" si="8"/>
        <v>#REF!</v>
      </c>
      <c r="AG11" s="6">
        <f t="array" ref="AG11">_xlfn.BINOM.DIST.RANGE(C11:Q11,0.3,0.3,0.1)</f>
        <v>1</v>
      </c>
      <c r="AH11" s="6">
        <f t="array" ref="AH11:AW11">_xlfn.BINOM.DIST.RANGE(C11:Q11,0.3,0.4,0.1)</f>
        <v>1</v>
      </c>
      <c r="AI11" s="6">
        <v>0.16806999999999997</v>
      </c>
      <c r="AJ11" s="6">
        <v>1</v>
      </c>
      <c r="AK11" s="6">
        <v>0.34300000000000003</v>
      </c>
      <c r="AL11" s="6">
        <v>0.24009999999999998</v>
      </c>
      <c r="AM11" s="6">
        <v>1</v>
      </c>
      <c r="AN11" s="6">
        <v>5.0802186073962311E-10</v>
      </c>
      <c r="AO11" s="6">
        <v>0.7</v>
      </c>
      <c r="AP11" s="6" t="e">
        <v>#VALUE!</v>
      </c>
      <c r="AQ11" s="6" t="e">
        <v>#N/A</v>
      </c>
      <c r="AR11" s="6" t="e">
        <v>#DIV/0!</v>
      </c>
      <c r="AS11" s="6" t="e">
        <v>#NAME?</v>
      </c>
      <c r="AT11" s="6" t="e">
        <v>#NULL!</v>
      </c>
      <c r="AU11" s="6" t="e">
        <v>#NUM!</v>
      </c>
      <c r="AV11" s="6" t="e">
        <v>#REF!</v>
      </c>
      <c r="AW11" s="4" t="e">
        <v>#N/A</v>
      </c>
    </row>
    <row r="12" spans="1:49" x14ac:dyDescent="0.15">
      <c r="A12" s="35" t="s">
        <v>108</v>
      </c>
      <c r="B12" s="36" t="s">
        <v>541</v>
      </c>
      <c r="C12" s="4">
        <v>10</v>
      </c>
      <c r="D12" s="4">
        <v>0.1</v>
      </c>
      <c r="E12" s="4">
        <v>0.7</v>
      </c>
      <c r="F12" s="4">
        <v>100</v>
      </c>
      <c r="G12" s="4">
        <v>4</v>
      </c>
      <c r="H12" s="6"/>
      <c r="I12" s="16" t="s">
        <v>785</v>
      </c>
      <c r="J12" s="6" t="b">
        <v>1</v>
      </c>
      <c r="K12" s="6" t="e">
        <v>#VALUE!</v>
      </c>
      <c r="L12" s="6" t="e">
        <v>#N/A</v>
      </c>
      <c r="M12" s="7" t="e">
        <v>#DIV/0!</v>
      </c>
      <c r="N12" s="7" t="e">
        <v>#NAME?</v>
      </c>
      <c r="O12" s="7" t="e">
        <v>#NULL!</v>
      </c>
      <c r="P12" s="7" t="e">
        <v>#NUM!</v>
      </c>
      <c r="Q12" s="7" t="e">
        <v>#REF!</v>
      </c>
      <c r="R12" s="6">
        <f>_xlfn.BINOM.INV(C12,0.4,0.4)</f>
        <v>4</v>
      </c>
      <c r="S12" s="6">
        <f>_xlfn.BINOM.INV(D12,0.9,0.9)</f>
        <v>0</v>
      </c>
      <c r="T12" s="6">
        <f>_xlfn.BINOM.INV(4,0.2,E12)</f>
        <v>1</v>
      </c>
      <c r="U12" s="6">
        <f>_xlfn.BINOM.INV(F12,0.4,0.3)</f>
        <v>37</v>
      </c>
      <c r="V12" s="6">
        <f>_xlfn.BINOM.INV(G12,D12,E12)</f>
        <v>1</v>
      </c>
      <c r="W12" s="6">
        <f>_xlfn.BINOM.INV(H12,0.3,0.2)</f>
        <v>0</v>
      </c>
      <c r="X12" s="6">
        <f>_xlfn.BINOM.INV(I12,0.9, 0.1)</f>
        <v>10</v>
      </c>
      <c r="Y12" s="6" t="e">
        <f>_xlfn.BINOM.INV(0.3,J12,2)</f>
        <v>#NUM!</v>
      </c>
      <c r="Z12" s="6" t="e">
        <f>_xlfn.BINOM.INV(K12,C12,E12)</f>
        <v>#VALUE!</v>
      </c>
      <c r="AA12" s="6" t="e">
        <f t="shared" ref="AA12:AF12" si="9">_xlfn.BINOM.INV(L12,D12,F12)</f>
        <v>#N/A</v>
      </c>
      <c r="AB12" s="6" t="e">
        <f t="shared" si="9"/>
        <v>#DIV/0!</v>
      </c>
      <c r="AC12" s="6" t="e">
        <f t="shared" si="9"/>
        <v>#NAME?</v>
      </c>
      <c r="AD12" s="6" t="e">
        <f t="shared" si="9"/>
        <v>#NULL!</v>
      </c>
      <c r="AE12" s="6" t="e">
        <f t="shared" si="9"/>
        <v>#NUM!</v>
      </c>
      <c r="AF12" s="6" t="e">
        <f t="shared" si="9"/>
        <v>#REF!</v>
      </c>
      <c r="AG12" s="6">
        <f t="array" ref="AG12">_xlfn.BINOM.INV(C12:Q12,0.3,0.3)</f>
        <v>2</v>
      </c>
      <c r="AH12" s="6">
        <f t="array" ref="AH12:AW12">_xlfn.BINOM.INV(C12:Q12, 0.3,0.2)</f>
        <v>2</v>
      </c>
      <c r="AI12" s="6">
        <v>0</v>
      </c>
      <c r="AJ12" s="6">
        <v>0</v>
      </c>
      <c r="AK12" s="6">
        <v>26</v>
      </c>
      <c r="AL12" s="6">
        <v>0</v>
      </c>
      <c r="AM12" s="6">
        <v>0</v>
      </c>
      <c r="AN12" s="6">
        <v>2</v>
      </c>
      <c r="AO12" s="6">
        <v>0</v>
      </c>
      <c r="AP12" s="6" t="e">
        <v>#VALUE!</v>
      </c>
      <c r="AQ12" s="6" t="e">
        <v>#N/A</v>
      </c>
      <c r="AR12" s="6" t="e">
        <v>#DIV/0!</v>
      </c>
      <c r="AS12" s="6" t="e">
        <v>#NAME?</v>
      </c>
      <c r="AT12" s="6" t="e">
        <v>#NULL!</v>
      </c>
      <c r="AU12" s="6" t="e">
        <v>#NUM!</v>
      </c>
      <c r="AV12" s="6" t="e">
        <v>#REF!</v>
      </c>
      <c r="AW12" s="4" t="e">
        <v>#N/A</v>
      </c>
    </row>
    <row r="13" spans="1:49" x14ac:dyDescent="0.15">
      <c r="A13" s="35" t="s">
        <v>109</v>
      </c>
      <c r="B13" s="36" t="s">
        <v>541</v>
      </c>
      <c r="C13" s="4">
        <v>0</v>
      </c>
      <c r="D13" s="4">
        <v>5</v>
      </c>
      <c r="E13" s="4">
        <v>0.7</v>
      </c>
      <c r="F13" s="4">
        <v>3</v>
      </c>
      <c r="G13" s="4">
        <v>4</v>
      </c>
      <c r="H13" s="6"/>
      <c r="I13" s="16" t="s">
        <v>444</v>
      </c>
      <c r="J13" s="6" t="b">
        <v>1</v>
      </c>
      <c r="K13" s="6" t="e">
        <v>#VALUE!</v>
      </c>
      <c r="L13" s="6" t="e">
        <v>#N/A</v>
      </c>
      <c r="M13" s="7" t="e">
        <v>#DIV/0!</v>
      </c>
      <c r="N13" s="7" t="e">
        <v>#NAME?</v>
      </c>
      <c r="O13" s="7" t="e">
        <v>#NULL!</v>
      </c>
      <c r="P13" s="7" t="e">
        <v>#NUM!</v>
      </c>
      <c r="Q13" s="7" t="e">
        <v>#REF!</v>
      </c>
      <c r="R13" s="6" t="e">
        <f>_xlfn.CHISQ.DIST(C13,,)</f>
        <v>#NUM!</v>
      </c>
      <c r="S13" s="6">
        <f>_xlfn.CHISQ.DIST(D13,10,FALSE)</f>
        <v>6.6800942890542642E-2</v>
      </c>
      <c r="T13" s="6">
        <f>_xlfn.CHISQ.DIST(E13,"1",5)</f>
        <v>0.59721630575352425</v>
      </c>
      <c r="U13" s="6" t="e">
        <f>_xlfn.CHISQ.DIST(F13,-1,"TRUE")</f>
        <v>#NUM!</v>
      </c>
      <c r="V13" s="6">
        <f>_xlfn.CHISQ.DIST(G13, 7,1)</f>
        <v>0.22022259152428414</v>
      </c>
      <c r="W13" s="6" t="e">
        <f>_xlfn.CHISQ.DIST(H13,H13,1)</f>
        <v>#NUM!</v>
      </c>
      <c r="X13" s="6">
        <f>_xlfn.CHISQ.DIST(I13,I13,1)</f>
        <v>0.52428301389368004</v>
      </c>
      <c r="Y13" s="6">
        <f>_xlfn.CHISQ.DIST(J13,I13,1)</f>
        <v>2.1644672981498787E-42</v>
      </c>
      <c r="Z13" s="6" t="e">
        <f>_xlfn.CHISQ.DIST(K13,I13,1)</f>
        <v>#VALUE!</v>
      </c>
      <c r="AA13" s="6" t="e">
        <f t="shared" ref="AA13:AF13" si="10">_xlfn.CHISQ.DIST(L13,J13,1)</f>
        <v>#N/A</v>
      </c>
      <c r="AB13" s="6" t="e">
        <f t="shared" si="10"/>
        <v>#DIV/0!</v>
      </c>
      <c r="AC13" s="6" t="e">
        <f t="shared" si="10"/>
        <v>#NAME?</v>
      </c>
      <c r="AD13" s="6" t="e">
        <f t="shared" si="10"/>
        <v>#NULL!</v>
      </c>
      <c r="AE13" s="6" t="e">
        <f t="shared" si="10"/>
        <v>#NUM!</v>
      </c>
      <c r="AF13" s="6" t="e">
        <f t="shared" si="10"/>
        <v>#REF!</v>
      </c>
      <c r="AG13" s="6">
        <f t="array" ref="AG13">_xlfn.CHISQ.DIST(C13:Q13,3,1)</f>
        <v>0</v>
      </c>
      <c r="AH13" s="6">
        <f t="array" ref="AH13:AW13">_xlfn.CHISQ.DIST(C13:Q13,3,1)</f>
        <v>0</v>
      </c>
      <c r="AI13" s="6">
        <v>0.8282028557032669</v>
      </c>
      <c r="AJ13" s="6">
        <v>0.12679605093604587</v>
      </c>
      <c r="AK13" s="6">
        <v>0.60837482372891116</v>
      </c>
      <c r="AL13" s="6">
        <v>0.7385358700508895</v>
      </c>
      <c r="AM13" s="6">
        <v>0</v>
      </c>
      <c r="AN13" s="6">
        <v>0.99999999999941225</v>
      </c>
      <c r="AO13" s="6">
        <v>0.19874804309879915</v>
      </c>
      <c r="AP13" s="6" t="e">
        <v>#VALUE!</v>
      </c>
      <c r="AQ13" s="6" t="e">
        <v>#N/A</v>
      </c>
      <c r="AR13" s="6" t="e">
        <v>#DIV/0!</v>
      </c>
      <c r="AS13" s="6" t="e">
        <v>#NAME?</v>
      </c>
      <c r="AT13" s="6" t="e">
        <v>#NULL!</v>
      </c>
      <c r="AU13" s="6" t="e">
        <v>#NUM!</v>
      </c>
      <c r="AV13" s="6" t="e">
        <v>#REF!</v>
      </c>
      <c r="AW13" s="4" t="e">
        <v>#N/A</v>
      </c>
    </row>
    <row r="14" spans="1:49" x14ac:dyDescent="0.15">
      <c r="A14" s="35" t="s">
        <v>110</v>
      </c>
      <c r="B14" s="36" t="s">
        <v>541</v>
      </c>
      <c r="C14" s="4">
        <v>0</v>
      </c>
      <c r="D14" s="4">
        <v>5</v>
      </c>
      <c r="E14" s="4">
        <v>0.7</v>
      </c>
      <c r="F14" s="4">
        <v>3</v>
      </c>
      <c r="G14" s="4">
        <v>4</v>
      </c>
      <c r="H14" s="6"/>
      <c r="I14" s="16" t="s">
        <v>444</v>
      </c>
      <c r="J14" s="6" t="b">
        <v>1</v>
      </c>
      <c r="K14" s="6" t="e">
        <v>#VALUE!</v>
      </c>
      <c r="L14" s="6" t="e">
        <v>#N/A</v>
      </c>
      <c r="M14" s="7" t="e">
        <v>#DIV/0!</v>
      </c>
      <c r="N14" s="7" t="e">
        <v>#NAME?</v>
      </c>
      <c r="O14" s="7" t="e">
        <v>#NULL!</v>
      </c>
      <c r="P14" s="7" t="e">
        <v>#NUM!</v>
      </c>
      <c r="Q14" s="7" t="e">
        <v>#REF!</v>
      </c>
      <c r="R14" s="6" t="e">
        <f>_xlfn.CHISQ.DIST.RT(C14,)</f>
        <v>#NUM!</v>
      </c>
      <c r="S14" s="6">
        <f>_xlfn.CHISQ.DIST.RT(D14,10)</f>
        <v>0.89117801891415127</v>
      </c>
      <c r="T14" s="6">
        <f>_xlfn.CHISQ.DIST.RT(E14,"1")</f>
        <v>0.4027836942464757</v>
      </c>
      <c r="U14" s="6" t="e">
        <f>_xlfn.CHISQ.DIST.RT(F14,-1)</f>
        <v>#NUM!</v>
      </c>
      <c r="V14" s="6">
        <f>_xlfn.CHISQ.DIST.RT(G14, 7)</f>
        <v>0.77977740847571586</v>
      </c>
      <c r="W14" s="6" t="e">
        <f>_xlfn.CHISQ.DIST.RT(H14,H14)</f>
        <v>#NUM!</v>
      </c>
      <c r="X14" s="6">
        <f>_xlfn.CHISQ.DIST.RT(I14,I14)</f>
        <v>0.47571698610631996</v>
      </c>
      <c r="Y14" s="6">
        <f>_xlfn.CHISQ.DIST.RT(J14,I14)</f>
        <v>1</v>
      </c>
      <c r="Z14" s="6" t="e">
        <f>_xlfn.CHISQ.DIST.RT(K14,I14)</f>
        <v>#VALUE!</v>
      </c>
      <c r="AA14" s="6" t="e">
        <f t="shared" ref="AA14:AF14" si="11">_xlfn.CHISQ.DIST.RT(L14,J14)</f>
        <v>#N/A</v>
      </c>
      <c r="AB14" s="6" t="e">
        <f t="shared" si="11"/>
        <v>#DIV/0!</v>
      </c>
      <c r="AC14" s="6" t="e">
        <f t="shared" si="11"/>
        <v>#NAME?</v>
      </c>
      <c r="AD14" s="6" t="e">
        <f t="shared" si="11"/>
        <v>#NULL!</v>
      </c>
      <c r="AE14" s="6" t="e">
        <f t="shared" si="11"/>
        <v>#NUM!</v>
      </c>
      <c r="AF14" s="6" t="e">
        <f t="shared" si="11"/>
        <v>#REF!</v>
      </c>
      <c r="AG14" s="6">
        <f t="array" ref="AG14">_xlfn.CHISQ.DIST.RT(C14:Q14,3)</f>
        <v>1</v>
      </c>
      <c r="AH14" s="6">
        <f t="array" ref="AH14:AW14">_xlfn.CHISQ.DIST.RT(C14:Q14,3)</f>
        <v>1</v>
      </c>
      <c r="AI14" s="6">
        <v>0.1717971442967331</v>
      </c>
      <c r="AJ14" s="6">
        <v>0.87320394906395415</v>
      </c>
      <c r="AK14" s="6">
        <v>0.39162517627108884</v>
      </c>
      <c r="AL14" s="6">
        <v>0.26146412994911056</v>
      </c>
      <c r="AM14" s="6">
        <v>1</v>
      </c>
      <c r="AN14" s="6">
        <v>5.8782307279069062E-13</v>
      </c>
      <c r="AO14" s="6">
        <v>0.80125195690120088</v>
      </c>
      <c r="AP14" s="6" t="e">
        <v>#VALUE!</v>
      </c>
      <c r="AQ14" s="6" t="e">
        <v>#N/A</v>
      </c>
      <c r="AR14" s="6" t="e">
        <v>#DIV/0!</v>
      </c>
      <c r="AS14" s="6" t="e">
        <v>#NAME?</v>
      </c>
      <c r="AT14" s="6" t="e">
        <v>#NULL!</v>
      </c>
      <c r="AU14" s="6" t="e">
        <v>#NUM!</v>
      </c>
      <c r="AV14" s="6" t="e">
        <v>#REF!</v>
      </c>
      <c r="AW14" s="4" t="e">
        <v>#N/A</v>
      </c>
    </row>
    <row r="15" spans="1:49" x14ac:dyDescent="0.15">
      <c r="A15" s="35" t="s">
        <v>111</v>
      </c>
      <c r="B15" s="36" t="s">
        <v>541</v>
      </c>
      <c r="C15" s="4">
        <v>10</v>
      </c>
      <c r="D15" s="4">
        <v>0.1</v>
      </c>
      <c r="E15" s="4">
        <v>0.7</v>
      </c>
      <c r="F15" s="4">
        <v>100</v>
      </c>
      <c r="G15" s="4">
        <v>4</v>
      </c>
      <c r="H15" s="6"/>
      <c r="I15" s="16" t="s">
        <v>785</v>
      </c>
      <c r="J15" s="6" t="b">
        <v>1</v>
      </c>
      <c r="K15" s="6" t="e">
        <v>#VALUE!</v>
      </c>
      <c r="L15" s="6" t="e">
        <v>#N/A</v>
      </c>
      <c r="M15" s="7" t="e">
        <v>#DIV/0!</v>
      </c>
      <c r="N15" s="7" t="e">
        <v>#NAME?</v>
      </c>
      <c r="O15" s="7" t="e">
        <v>#NULL!</v>
      </c>
      <c r="P15" s="7" t="e">
        <v>#NUM!</v>
      </c>
      <c r="Q15" s="7" t="e">
        <v>#REF!</v>
      </c>
      <c r="R15" s="6" t="e">
        <f>_xlfn.CHISQ.INV(C15,0.4)</f>
        <v>#NUM!</v>
      </c>
      <c r="S15" s="6">
        <f>_xlfn.CHISQ.INV(D15,9)</f>
        <v>4.1681590081461071</v>
      </c>
      <c r="T15" s="6" t="e">
        <f>_xlfn.CHISQ.INV(0.4,E15)</f>
        <v>#NUM!</v>
      </c>
      <c r="U15" s="6">
        <f>_xlfn.CHISQ.INV(0.01, F15)</f>
        <v>70.064894925399798</v>
      </c>
      <c r="V15" s="6">
        <f>_xlfn.CHISQ.INV(D15,G15)</f>
        <v>1.0636232167792241</v>
      </c>
      <c r="W15" s="6">
        <f>_xlfn.CHISQ.INV(H15,3)</f>
        <v>0</v>
      </c>
      <c r="X15" s="6">
        <f>_xlfn.CHISQ.INV(0.9,I15)</f>
        <v>19.811929307127564</v>
      </c>
      <c r="Y15" s="6">
        <f>_xlfn.CHISQ.INV(0.3,J15)</f>
        <v>0.1484718618325454</v>
      </c>
      <c r="Z15" s="6" t="e">
        <f>_xlfn.CHISQ.INV(K15,C15)</f>
        <v>#VALUE!</v>
      </c>
      <c r="AA15" s="6" t="e">
        <f t="shared" ref="AA15:AF15" si="12">_xlfn.CHISQ.INV(L15,D15)</f>
        <v>#N/A</v>
      </c>
      <c r="AB15" s="6" t="e">
        <f t="shared" si="12"/>
        <v>#DIV/0!</v>
      </c>
      <c r="AC15" s="6" t="e">
        <f t="shared" si="12"/>
        <v>#NAME?</v>
      </c>
      <c r="AD15" s="6" t="e">
        <f t="shared" si="12"/>
        <v>#NULL!</v>
      </c>
      <c r="AE15" s="6" t="e">
        <f t="shared" si="12"/>
        <v>#NUM!</v>
      </c>
      <c r="AF15" s="6" t="e">
        <f t="shared" si="12"/>
        <v>#REF!</v>
      </c>
      <c r="AG15" s="6">
        <f t="array" ref="AG15">_xlfn.CHISQ.INV(0.6, C15:Q15)</f>
        <v>10.473236231395454</v>
      </c>
      <c r="AH15" s="6">
        <f t="array" ref="AH15:AW15">_xlfn.CHISQ.INV(0.5, C15:Q15)</f>
        <v>9.3418177655919656</v>
      </c>
      <c r="AI15" s="6" t="e">
        <v>#NUM!</v>
      </c>
      <c r="AJ15" s="6" t="e">
        <v>#NUM!</v>
      </c>
      <c r="AK15" s="6">
        <v>99.334129235988456</v>
      </c>
      <c r="AL15" s="6">
        <v>3.3566939800333215</v>
      </c>
      <c r="AM15" s="6" t="e">
        <v>#NUM!</v>
      </c>
      <c r="AN15" s="6">
        <v>12.3397558825639</v>
      </c>
      <c r="AO15" s="6">
        <v>0.45493642311957289</v>
      </c>
      <c r="AP15" s="6" t="e">
        <v>#VALUE!</v>
      </c>
      <c r="AQ15" s="6" t="e">
        <v>#N/A</v>
      </c>
      <c r="AR15" s="6" t="e">
        <v>#DIV/0!</v>
      </c>
      <c r="AS15" s="6" t="e">
        <v>#NAME?</v>
      </c>
      <c r="AT15" s="6" t="e">
        <v>#NULL!</v>
      </c>
      <c r="AU15" s="6" t="e">
        <v>#NUM!</v>
      </c>
      <c r="AV15" s="6" t="e">
        <v>#REF!</v>
      </c>
      <c r="AW15" s="4" t="e">
        <v>#N/A</v>
      </c>
    </row>
    <row r="16" spans="1:49" x14ac:dyDescent="0.15">
      <c r="A16" s="35" t="s">
        <v>112</v>
      </c>
      <c r="B16" s="36" t="s">
        <v>541</v>
      </c>
      <c r="C16" s="4">
        <v>10</v>
      </c>
      <c r="D16" s="4">
        <v>0.1</v>
      </c>
      <c r="E16" s="4">
        <v>0.7</v>
      </c>
      <c r="F16" s="4">
        <v>100</v>
      </c>
      <c r="G16" s="4">
        <v>4</v>
      </c>
      <c r="H16" s="6"/>
      <c r="I16" s="16" t="s">
        <v>785</v>
      </c>
      <c r="J16" s="6" t="b">
        <v>1</v>
      </c>
      <c r="K16" s="6" t="e">
        <v>#VALUE!</v>
      </c>
      <c r="L16" s="6" t="e">
        <v>#N/A</v>
      </c>
      <c r="M16" s="7" t="e">
        <v>#DIV/0!</v>
      </c>
      <c r="N16" s="7" t="e">
        <v>#NAME?</v>
      </c>
      <c r="O16" s="7" t="e">
        <v>#NULL!</v>
      </c>
      <c r="P16" s="7" t="e">
        <v>#NUM!</v>
      </c>
      <c r="Q16" s="7" t="e">
        <v>#REF!</v>
      </c>
      <c r="R16" s="6" t="e">
        <f>_xlfn.CHISQ.INV.RT(C16,0.4)</f>
        <v>#NUM!</v>
      </c>
      <c r="S16" s="6">
        <f>_xlfn.CHISQ.INV.RT(D16,9)</f>
        <v>14.683656573259835</v>
      </c>
      <c r="T16" s="6" t="e">
        <f>_xlfn.CHISQ.INV.RT(0.4,E16)</f>
        <v>#NUM!</v>
      </c>
      <c r="U16" s="6">
        <f>_xlfn.CHISQ.INV.RT(0.01, F16)</f>
        <v>135.80672317102679</v>
      </c>
      <c r="V16" s="6">
        <f>_xlfn.CHISQ.INV.RT(D16,G16)</f>
        <v>7.7794403397348582</v>
      </c>
      <c r="W16" s="6" t="e">
        <f>_xlfn.CHISQ.INV.RT(H16,3)</f>
        <v>#NUM!</v>
      </c>
      <c r="X16" s="6">
        <f>_xlfn.CHISQ.INV.RT(0.9,I16)</f>
        <v>7.0415045800954621</v>
      </c>
      <c r="Y16" s="6">
        <f>_xlfn.CHISQ.INV.RT(0.3,J16)</f>
        <v>1.0741941708575857</v>
      </c>
      <c r="Z16" s="6" t="e">
        <f>_xlfn.CHISQ.INV.RT(K16,C16)</f>
        <v>#VALUE!</v>
      </c>
      <c r="AA16" s="6" t="e">
        <f t="shared" ref="AA16:AF16" si="13">_xlfn.CHISQ.INV.RT(L16,D16)</f>
        <v>#N/A</v>
      </c>
      <c r="AB16" s="6" t="e">
        <f t="shared" si="13"/>
        <v>#DIV/0!</v>
      </c>
      <c r="AC16" s="6" t="e">
        <f t="shared" si="13"/>
        <v>#NAME?</v>
      </c>
      <c r="AD16" s="6" t="e">
        <f t="shared" si="13"/>
        <v>#NULL!</v>
      </c>
      <c r="AE16" s="6" t="e">
        <f t="shared" si="13"/>
        <v>#NUM!</v>
      </c>
      <c r="AF16" s="6" t="e">
        <f t="shared" si="13"/>
        <v>#REF!</v>
      </c>
      <c r="AG16" s="6">
        <f t="array" ref="AG16">_xlfn.CHISQ.INV.RT(0.6, C16:Q16)</f>
        <v>8.2954717609410853</v>
      </c>
      <c r="AH16" s="6">
        <f t="array" ref="AH16:AW16">_xlfn.CHISQ.INV.RT(0.5, C16:Q16)</f>
        <v>9.3418177655919656</v>
      </c>
      <c r="AI16" s="6" t="e">
        <v>#NUM!</v>
      </c>
      <c r="AJ16" s="6" t="e">
        <v>#NUM!</v>
      </c>
      <c r="AK16" s="6">
        <v>99.334129235988456</v>
      </c>
      <c r="AL16" s="6">
        <v>3.3566939800333211</v>
      </c>
      <c r="AM16" s="6" t="e">
        <v>#NUM!</v>
      </c>
      <c r="AN16" s="6">
        <v>12.3397558825639</v>
      </c>
      <c r="AO16" s="6">
        <v>0.45493642311957289</v>
      </c>
      <c r="AP16" s="6" t="e">
        <v>#VALUE!</v>
      </c>
      <c r="AQ16" s="6" t="e">
        <v>#N/A</v>
      </c>
      <c r="AR16" s="6" t="e">
        <v>#DIV/0!</v>
      </c>
      <c r="AS16" s="6" t="e">
        <v>#NAME?</v>
      </c>
      <c r="AT16" s="6" t="e">
        <v>#NULL!</v>
      </c>
      <c r="AU16" s="6" t="e">
        <v>#NUM!</v>
      </c>
      <c r="AV16" s="6" t="e">
        <v>#REF!</v>
      </c>
      <c r="AW16" s="4" t="e">
        <v>#N/A</v>
      </c>
    </row>
    <row r="17" spans="1:49" x14ac:dyDescent="0.15">
      <c r="A17" s="35" t="s">
        <v>113</v>
      </c>
      <c r="B17" s="36" t="s">
        <v>541</v>
      </c>
      <c r="C17" s="4">
        <v>10</v>
      </c>
      <c r="D17" s="4">
        <v>3.2</v>
      </c>
      <c r="E17" s="4">
        <v>0.7</v>
      </c>
      <c r="F17" s="4">
        <v>2</v>
      </c>
      <c r="G17" s="4">
        <v>4</v>
      </c>
      <c r="H17" s="6"/>
      <c r="I17" s="16" t="s">
        <v>785</v>
      </c>
      <c r="J17" s="6" t="b">
        <v>1</v>
      </c>
      <c r="K17" s="6" t="e">
        <v>#VALUE!</v>
      </c>
      <c r="L17" s="6" t="e">
        <v>#N/A</v>
      </c>
      <c r="M17" s="7" t="e">
        <v>#DIV/0!</v>
      </c>
      <c r="N17" s="7" t="e">
        <v>#NAME?</v>
      </c>
      <c r="O17" s="7" t="e">
        <v>#NULL!</v>
      </c>
      <c r="P17" s="7" t="e">
        <v>#NUM!</v>
      </c>
      <c r="Q17" s="7" t="e">
        <v>#REF!</v>
      </c>
      <c r="R17" s="18">
        <f>_xlfn.CHISQ.TEST(C16:D17,E14:E17)</f>
        <v>9.6604130548333106E-58</v>
      </c>
      <c r="S17" s="6" t="e">
        <f>_xlfn.CHISQ.TEST(D17:E17,E17:G17)</f>
        <v>#N/A</v>
      </c>
      <c r="T17" s="6">
        <f>_xlfn.CHISQ.TEST(E17:F17,G17:H17)</f>
        <v>9.8942936067296192E-2</v>
      </c>
      <c r="U17" s="6" t="e">
        <f>_xlfn.CHISQ.TEST(D17,F17)</f>
        <v>#N/A</v>
      </c>
      <c r="V17" s="6" t="e">
        <f>_xlfn.CHISQ.TEST(G17:I17,H17:J17)</f>
        <v>#DIV/0!</v>
      </c>
      <c r="W17" s="6" t="e">
        <f>_xlfn.CHISQ.TEST(H17:I17,J17:K17)</f>
        <v>#VALUE!</v>
      </c>
      <c r="X17" s="6" t="e">
        <f t="shared" ref="X17:AF17" si="14">_xlfn.CHISQ.TEST(I17:J17,K17:L17)</f>
        <v>#VALUE!</v>
      </c>
      <c r="Y17" s="6" t="e">
        <f t="shared" si="14"/>
        <v>#VALUE!</v>
      </c>
      <c r="Z17" s="6" t="e">
        <f t="shared" si="14"/>
        <v>#VALUE!</v>
      </c>
      <c r="AA17" s="6" t="e">
        <f t="shared" si="14"/>
        <v>#N/A</v>
      </c>
      <c r="AB17" s="6" t="e">
        <f t="shared" si="14"/>
        <v>#DIV/0!</v>
      </c>
      <c r="AC17" s="6" t="e">
        <f t="shared" si="14"/>
        <v>#NAME?</v>
      </c>
      <c r="AD17" s="6" t="e">
        <f>_xlfn.CHISQ.TEST(O17:P17,Q17:R17)</f>
        <v>#NUM!</v>
      </c>
      <c r="AE17" s="6" t="e">
        <f t="shared" si="14"/>
        <v>#NUM!</v>
      </c>
      <c r="AF17" s="6" t="e">
        <f t="shared" si="14"/>
        <v>#REF!</v>
      </c>
      <c r="AG17" s="6">
        <f t="array" ref="AG17">_xlfn.CHISQ.TEST(C16:D17, F16:G17)</f>
        <v>2.9254701390647169E-27</v>
      </c>
      <c r="AH17" s="71">
        <f t="array" ref="AH17:AW17">_xlfn.CHISQ.TEST(D17:E17, E17:F17)</f>
        <v>1.7703822336132488E-3</v>
      </c>
      <c r="AI17" s="6">
        <v>1.7703822336132488E-3</v>
      </c>
      <c r="AJ17" s="6">
        <v>1.7703822336132488E-3</v>
      </c>
      <c r="AK17" s="6">
        <v>1.7703822336132488E-3</v>
      </c>
      <c r="AL17" s="6">
        <v>1.7703822336132488E-3</v>
      </c>
      <c r="AM17" s="6">
        <v>1.7703822336132488E-3</v>
      </c>
      <c r="AN17" s="6">
        <v>1.7703822336132488E-3</v>
      </c>
      <c r="AO17" s="6">
        <v>1.7703822336132488E-3</v>
      </c>
      <c r="AP17" s="6">
        <v>1.7703822336132488E-3</v>
      </c>
      <c r="AQ17" s="6">
        <v>1.7703822336132488E-3</v>
      </c>
      <c r="AR17" s="6">
        <v>1.7703822336132488E-3</v>
      </c>
      <c r="AS17" s="6">
        <v>1.7703822336132488E-3</v>
      </c>
      <c r="AT17" s="6">
        <v>1.7703822336132488E-3</v>
      </c>
      <c r="AU17" s="6">
        <v>1.7703822336132488E-3</v>
      </c>
      <c r="AV17" s="6">
        <v>1.7703822336132488E-3</v>
      </c>
      <c r="AW17" s="4">
        <v>1.7703822336132488E-3</v>
      </c>
    </row>
    <row r="18" spans="1:49" x14ac:dyDescent="0.15">
      <c r="A18" s="35" t="s">
        <v>114</v>
      </c>
      <c r="B18" s="36" t="s">
        <v>541</v>
      </c>
      <c r="C18" s="4">
        <v>0.1</v>
      </c>
      <c r="D18" s="4">
        <v>0.32</v>
      </c>
      <c r="E18" s="4">
        <v>0.7</v>
      </c>
      <c r="F18" s="4">
        <v>0.4</v>
      </c>
      <c r="G18" s="4">
        <v>0.9</v>
      </c>
      <c r="H18" s="6"/>
      <c r="I18" s="16" t="s">
        <v>785</v>
      </c>
      <c r="J18" s="6" t="b">
        <v>1</v>
      </c>
      <c r="K18" s="6" t="e">
        <v>#VALUE!</v>
      </c>
      <c r="L18" s="6" t="e">
        <v>#N/A</v>
      </c>
      <c r="M18" s="7" t="e">
        <v>#DIV/0!</v>
      </c>
      <c r="N18" s="7" t="e">
        <v>#NAME?</v>
      </c>
      <c r="O18" s="7" t="e">
        <v>#NULL!</v>
      </c>
      <c r="P18" s="7" t="e">
        <v>#NUM!</v>
      </c>
      <c r="Q18" s="7" t="e">
        <v>#REF!</v>
      </c>
      <c r="R18" s="6" t="e">
        <f>_xlfn.CONFIDENCE.NORM(C18,,)</f>
        <v>#NUM!</v>
      </c>
      <c r="S18" s="6" t="e">
        <f>_xlfn.CONFIDENCE.NORM(D18,10,FALSE)</f>
        <v>#NUM!</v>
      </c>
      <c r="T18" s="6">
        <f>_xlfn.CONFIDENCE.NORM(E18,"1",5)</f>
        <v>0.17232055120184916</v>
      </c>
      <c r="U18" s="6" t="e" vm="87">
        <f>_xlfn.CONFIDENCE.NORM(F18,-1,"TRUE")</f>
        <v>#VALUE!</v>
      </c>
      <c r="V18" s="6">
        <f>_xlfn.CONFIDENCE.NORM(G18, 7,1)</f>
        <v>0.87962942798551913</v>
      </c>
      <c r="W18" s="6" t="e">
        <f>_xlfn.CONFIDENCE.NORM(H18,H18,1)</f>
        <v>#NUM!</v>
      </c>
      <c r="X18" s="6" t="e">
        <f>_xlfn.CONFIDENCE.NORM(I18,I18,1)</f>
        <v>#NUM!</v>
      </c>
      <c r="Y18" s="6" t="e">
        <f>_xlfn.CONFIDENCE.NORM(J18,I18,1)</f>
        <v>#NUM!</v>
      </c>
      <c r="Z18" s="6" t="e">
        <f>_xlfn.CONFIDENCE.NORM(K18,I18,1)</f>
        <v>#VALUE!</v>
      </c>
      <c r="AA18" s="6" t="e">
        <f t="shared" ref="AA18:AF18" si="15">_xlfn.CONFIDENCE.NORM(L18,J18,1)</f>
        <v>#N/A</v>
      </c>
      <c r="AB18" s="6" t="e">
        <f t="shared" si="15"/>
        <v>#DIV/0!</v>
      </c>
      <c r="AC18" s="6" t="e">
        <f t="shared" si="15"/>
        <v>#NAME?</v>
      </c>
      <c r="AD18" s="6" t="e">
        <f t="shared" si="15"/>
        <v>#NULL!</v>
      </c>
      <c r="AE18" s="6" t="e">
        <f t="shared" si="15"/>
        <v>#NUM!</v>
      </c>
      <c r="AF18" s="6" t="e">
        <f t="shared" si="15"/>
        <v>#REF!</v>
      </c>
      <c r="AG18" s="6">
        <f t="array" ref="AG18">_xlfn.CONFIDENCE.NORM(C18:Q18,3,1)</f>
        <v>4.9345608808544146</v>
      </c>
      <c r="AH18" s="6">
        <f t="array" ref="AH18:AW18">_xlfn.CONFIDENCE.NORM(C18:Q18,3,1)</f>
        <v>4.9345608808544146</v>
      </c>
      <c r="AI18" s="6">
        <v>2.9833736496292493</v>
      </c>
      <c r="AJ18" s="6">
        <v>1.1559613992227036</v>
      </c>
      <c r="AK18" s="6">
        <v>2.5248637007187442</v>
      </c>
      <c r="AL18" s="6">
        <v>0.3769840405652225</v>
      </c>
      <c r="AM18" s="6" t="e">
        <v>#NUM!</v>
      </c>
      <c r="AN18" s="6" t="e">
        <v>#NUM!</v>
      </c>
      <c r="AO18" s="6" t="e">
        <v>#NUM!</v>
      </c>
      <c r="AP18" s="6" t="e">
        <v>#VALUE!</v>
      </c>
      <c r="AQ18" s="6" t="e">
        <v>#N/A</v>
      </c>
      <c r="AR18" s="6" t="e">
        <v>#DIV/0!</v>
      </c>
      <c r="AS18" s="6" t="e">
        <v>#NAME?</v>
      </c>
      <c r="AT18" s="6" t="e">
        <v>#NULL!</v>
      </c>
      <c r="AU18" s="6" t="e">
        <v>#NUM!</v>
      </c>
      <c r="AV18" s="6" t="e">
        <v>#REF!</v>
      </c>
      <c r="AW18" s="4" t="e">
        <v>#N/A</v>
      </c>
    </row>
    <row r="19" spans="1:49" x14ac:dyDescent="0.15">
      <c r="A19" s="35" t="s">
        <v>115</v>
      </c>
      <c r="B19" s="36" t="s">
        <v>541</v>
      </c>
      <c r="C19" s="4">
        <v>0.1</v>
      </c>
      <c r="D19" s="4">
        <v>0.32</v>
      </c>
      <c r="E19" s="4">
        <v>0.7</v>
      </c>
      <c r="F19" s="4">
        <v>0.4</v>
      </c>
      <c r="G19" s="4">
        <v>0.9</v>
      </c>
      <c r="H19" s="6"/>
      <c r="I19" s="16" t="s">
        <v>785</v>
      </c>
      <c r="J19" s="6" t="b">
        <v>1</v>
      </c>
      <c r="K19" s="6" t="e">
        <v>#VALUE!</v>
      </c>
      <c r="L19" s="6" t="e">
        <v>#N/A</v>
      </c>
      <c r="M19" s="7" t="e">
        <v>#DIV/0!</v>
      </c>
      <c r="N19" s="7" t="e">
        <v>#NAME?</v>
      </c>
      <c r="O19" s="7" t="e">
        <v>#NULL!</v>
      </c>
      <c r="P19" s="7" t="e">
        <v>#NUM!</v>
      </c>
      <c r="Q19" s="7" t="e">
        <v>#REF!</v>
      </c>
      <c r="R19" s="6" t="e">
        <f>_xlfn.CONFIDENCE.T(C19,,)</f>
        <v>#NUM!</v>
      </c>
      <c r="S19" s="6">
        <f>_xlfn.CONFIDENCE.T(D19,10,3)</f>
        <v>7.5724018541853582</v>
      </c>
      <c r="T19" s="6">
        <f>_xlfn.CONFIDENCE.T(E19,"1",5)</f>
        <v>0.18521944067022253</v>
      </c>
      <c r="U19" s="6" t="e" vm="88">
        <f>_xlfn.CONFIDENCE.T(F19,-1,"TRUE")</f>
        <v>#VALUE!</v>
      </c>
      <c r="V19" s="6" t="e">
        <f>_xlfn.CONFIDENCE.T(G19, 7,1)</f>
        <v>#DIV/0!</v>
      </c>
      <c r="W19" s="6" t="e">
        <f>_xlfn.CONFIDENCE.T(H19,H19,1)</f>
        <v>#NUM!</v>
      </c>
      <c r="X19" s="6" t="e">
        <f>_xlfn.CONFIDENCE.T(I19,I19,1)</f>
        <v>#NUM!</v>
      </c>
      <c r="Y19" s="6" t="e">
        <f>_xlfn.CONFIDENCE.T(J19,I19,1)</f>
        <v>#NUM!</v>
      </c>
      <c r="Z19" s="6" t="e">
        <f t="shared" ref="Z19:AF19" si="16">_xlfn.CONFIDENCE.T(K19,I19,1)</f>
        <v>#VALUE!</v>
      </c>
      <c r="AA19" s="6" t="e">
        <f t="shared" si="16"/>
        <v>#N/A</v>
      </c>
      <c r="AB19" s="6" t="e">
        <f t="shared" si="16"/>
        <v>#DIV/0!</v>
      </c>
      <c r="AC19" s="6" t="e">
        <f t="shared" si="16"/>
        <v>#NAME?</v>
      </c>
      <c r="AD19" s="6" t="e">
        <f t="shared" si="16"/>
        <v>#NULL!</v>
      </c>
      <c r="AE19" s="6" t="e">
        <f t="shared" si="16"/>
        <v>#NUM!</v>
      </c>
      <c r="AF19" s="6" t="e">
        <f t="shared" si="16"/>
        <v>#REF!</v>
      </c>
      <c r="AG19" s="6" t="e">
        <f t="array" ref="AG19">_xlfn.CONFIDENCE.T(C19:Q19,3,1)</f>
        <v>#DIV/0!</v>
      </c>
      <c r="AH19" s="6" t="e">
        <f t="array" ref="AH19:AW19">_xlfn.CONFIDENCE.T(C19:Q19,3,1)</f>
        <v>#DIV/0!</v>
      </c>
      <c r="AI19" s="6" t="e">
        <v>#DIV/0!</v>
      </c>
      <c r="AJ19" s="6" t="e">
        <v>#DIV/0!</v>
      </c>
      <c r="AK19" s="6" t="e">
        <v>#DIV/0!</v>
      </c>
      <c r="AL19" s="6" t="e">
        <v>#DIV/0!</v>
      </c>
      <c r="AM19" s="6" t="e">
        <v>#NUM!</v>
      </c>
      <c r="AN19" s="6" t="e">
        <v>#NUM!</v>
      </c>
      <c r="AO19" s="6" t="e">
        <v>#NUM!</v>
      </c>
      <c r="AP19" s="6" t="e">
        <v>#VALUE!</v>
      </c>
      <c r="AQ19" s="6" t="e">
        <v>#N/A</v>
      </c>
      <c r="AR19" s="6" t="e">
        <v>#DIV/0!</v>
      </c>
      <c r="AS19" s="6" t="e">
        <v>#NAME?</v>
      </c>
      <c r="AT19" s="6" t="e">
        <v>#NULL!</v>
      </c>
      <c r="AU19" s="6" t="e">
        <v>#NUM!</v>
      </c>
      <c r="AV19" s="6" t="e">
        <v>#REF!</v>
      </c>
      <c r="AW19" s="4" t="e">
        <v>#N/A</v>
      </c>
    </row>
    <row r="20" spans="1:49" x14ac:dyDescent="0.15">
      <c r="A20" s="35" t="s">
        <v>116</v>
      </c>
      <c r="B20" s="36" t="s">
        <v>541</v>
      </c>
      <c r="C20" s="4">
        <v>0</v>
      </c>
      <c r="D20" s="4">
        <v>0.1</v>
      </c>
      <c r="E20" s="4">
        <v>0.2</v>
      </c>
      <c r="F20" s="4">
        <v>0.3</v>
      </c>
      <c r="G20" s="4">
        <v>-0.1</v>
      </c>
      <c r="H20" s="6"/>
      <c r="I20" s="16" t="s">
        <v>444</v>
      </c>
      <c r="J20" s="6" t="b">
        <v>1</v>
      </c>
      <c r="K20" s="6" t="e">
        <v>#VALUE!</v>
      </c>
      <c r="L20" s="6" t="e">
        <v>#N/A</v>
      </c>
      <c r="M20" s="7" t="e">
        <v>#DIV/0!</v>
      </c>
      <c r="N20" s="7" t="e">
        <v>#NAME?</v>
      </c>
      <c r="O20" s="7" t="e">
        <v>#NULL!</v>
      </c>
      <c r="P20" s="7" t="e">
        <v>#NUM!</v>
      </c>
      <c r="Q20" s="7" t="e">
        <v>#REF!</v>
      </c>
      <c r="R20" s="4">
        <f t="shared" ref="R20:AC20" si="17">CORREL(C20:E20,E20:G20)</f>
        <v>-0.72057669212289199</v>
      </c>
      <c r="S20" s="4">
        <f t="shared" si="17"/>
        <v>-1</v>
      </c>
      <c r="T20" s="4" t="e">
        <f t="shared" si="17"/>
        <v>#DIV/0!</v>
      </c>
      <c r="U20" s="4" t="e">
        <f t="shared" si="17"/>
        <v>#DIV/0!</v>
      </c>
      <c r="V20" s="4" t="e">
        <f t="shared" si="17"/>
        <v>#VALUE!</v>
      </c>
      <c r="W20" s="4" t="e">
        <f t="shared" si="17"/>
        <v>#VALUE!</v>
      </c>
      <c r="X20" s="4" t="e">
        <f t="shared" si="17"/>
        <v>#VALUE!</v>
      </c>
      <c r="Y20" s="4" t="e">
        <f t="shared" si="17"/>
        <v>#N/A</v>
      </c>
      <c r="Z20" s="4" t="e">
        <f t="shared" si="17"/>
        <v>#VALUE!</v>
      </c>
      <c r="AA20" s="4" t="e">
        <f t="shared" si="17"/>
        <v>#N/A</v>
      </c>
      <c r="AB20" s="4" t="e">
        <f t="shared" si="17"/>
        <v>#DIV/0!</v>
      </c>
      <c r="AC20" s="4" t="e">
        <f t="shared" si="17"/>
        <v>#NAME?</v>
      </c>
      <c r="AD20" s="4" t="e">
        <f>CORREL(P20:Q20,Q20:S20)</f>
        <v>#N/A</v>
      </c>
      <c r="AE20" s="4" t="e">
        <f>CORREL(P20:R20,R20:T20)</f>
        <v>#NUM!</v>
      </c>
      <c r="AF20" s="4" t="e">
        <f>CORREL(Q20:S20,S20:U20)</f>
        <v>#REF!</v>
      </c>
      <c r="AG20" s="4">
        <f>CORREL(C20:E20,E20:G20)</f>
        <v>-0.72057669212289199</v>
      </c>
      <c r="AH20" s="4">
        <f t="array" ref="AH20:AW20">CORREL(C20:E20,E20:G20)</f>
        <v>-0.72057669212289199</v>
      </c>
      <c r="AI20" s="4">
        <v>-0.72057669212289199</v>
      </c>
      <c r="AJ20" s="4">
        <v>-0.72057669212289199</v>
      </c>
      <c r="AK20" s="4">
        <v>-0.72057669212289199</v>
      </c>
      <c r="AL20" s="4">
        <v>-0.72057669212289199</v>
      </c>
      <c r="AM20" s="4">
        <v>-0.72057669212289199</v>
      </c>
      <c r="AN20" s="4">
        <v>-0.72057669212289199</v>
      </c>
      <c r="AO20" s="4">
        <v>-0.72057669212289199</v>
      </c>
      <c r="AP20" s="4">
        <v>-0.72057669212289199</v>
      </c>
      <c r="AQ20" s="4">
        <v>-0.72057669212289199</v>
      </c>
      <c r="AR20" s="4">
        <v>-0.72057669212289199</v>
      </c>
      <c r="AS20" s="4">
        <v>-0.72057669212289199</v>
      </c>
      <c r="AT20" s="4">
        <v>-0.72057669212289199</v>
      </c>
      <c r="AU20" s="4">
        <v>-0.72057669212289199</v>
      </c>
      <c r="AV20" s="4">
        <v>-0.72057669212289199</v>
      </c>
      <c r="AW20" s="4">
        <v>-0.72057669212289199</v>
      </c>
    </row>
    <row r="21" spans="1:49" x14ac:dyDescent="0.15">
      <c r="A21" s="35" t="s">
        <v>117</v>
      </c>
      <c r="B21" s="36" t="s">
        <v>541</v>
      </c>
      <c r="C21" s="4">
        <v>0</v>
      </c>
      <c r="D21" s="4">
        <v>0.1</v>
      </c>
      <c r="E21" s="4">
        <v>0.2</v>
      </c>
      <c r="F21" s="4">
        <v>0.3</v>
      </c>
      <c r="G21" s="4">
        <v>-0.1</v>
      </c>
      <c r="H21" s="6"/>
      <c r="I21" s="16" t="s">
        <v>444</v>
      </c>
      <c r="J21" s="6" t="b">
        <v>1</v>
      </c>
      <c r="K21" s="6" t="e">
        <v>#VALUE!</v>
      </c>
      <c r="L21" s="6" t="e">
        <v>#N/A</v>
      </c>
      <c r="M21" s="7" t="e">
        <v>#DIV/0!</v>
      </c>
      <c r="N21" s="7" t="e">
        <v>#NAME?</v>
      </c>
      <c r="O21" s="7" t="e">
        <v>#NULL!</v>
      </c>
      <c r="P21" s="7" t="e">
        <v>#NUM!</v>
      </c>
      <c r="Q21" s="7" t="e">
        <v>#REF!</v>
      </c>
      <c r="R21" s="6">
        <f>COUNT(C21:D21,D21:E21,E21:F21,TRUE,"26/08")</f>
        <v>8</v>
      </c>
      <c r="S21" s="6">
        <f>COUNT(D21:E21,E21:F21,F21:G21)</f>
        <v>6</v>
      </c>
      <c r="T21" s="6">
        <f>COUNT(E21:F21,F21:G21,G21:H21)</f>
        <v>5</v>
      </c>
      <c r="U21" s="6">
        <f>COUNT(H21)</f>
        <v>0</v>
      </c>
      <c r="V21" s="6">
        <f>COUNT(G21:H21,H21:I21,I21:J21)</f>
        <v>1</v>
      </c>
      <c r="W21" s="6">
        <f>COUNT(G21:H21)</f>
        <v>1</v>
      </c>
      <c r="X21" s="6">
        <f t="shared" ref="X21:AF21" si="18">COUNT(I21,G21)</f>
        <v>1</v>
      </c>
      <c r="Y21" s="6">
        <f t="shared" si="18"/>
        <v>0</v>
      </c>
      <c r="Z21" s="6">
        <f t="shared" si="18"/>
        <v>0</v>
      </c>
      <c r="AA21" s="6">
        <f t="shared" si="18"/>
        <v>0</v>
      </c>
      <c r="AB21" s="6">
        <f t="shared" si="18"/>
        <v>0</v>
      </c>
      <c r="AC21" s="6">
        <f t="shared" si="18"/>
        <v>0</v>
      </c>
      <c r="AD21" s="6">
        <f t="shared" si="18"/>
        <v>0</v>
      </c>
      <c r="AE21" s="6">
        <f t="shared" si="18"/>
        <v>0</v>
      </c>
      <c r="AF21" s="6">
        <f t="shared" si="18"/>
        <v>0</v>
      </c>
      <c r="AG21" s="6">
        <f>COUNT(H21:J21)</f>
        <v>0</v>
      </c>
      <c r="AH21" s="6">
        <f t="array" ref="AH21:AM21">COUNT(C21:J21)</f>
        <v>5</v>
      </c>
      <c r="AI21" s="6">
        <v>5</v>
      </c>
      <c r="AJ21" s="6">
        <v>5</v>
      </c>
      <c r="AK21" s="6">
        <v>5</v>
      </c>
      <c r="AL21" s="6">
        <v>5</v>
      </c>
      <c r="AM21" s="6">
        <v>5</v>
      </c>
      <c r="AN21" s="6">
        <f t="array" ref="AN21:AW21">COUNT(J21:Q21)</f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4">
        <v>0</v>
      </c>
    </row>
    <row r="22" spans="1:49" x14ac:dyDescent="0.15">
      <c r="A22" s="35" t="s">
        <v>118</v>
      </c>
      <c r="B22" s="36" t="s">
        <v>541</v>
      </c>
      <c r="C22" s="4">
        <v>0</v>
      </c>
      <c r="D22" s="4">
        <v>0.1</v>
      </c>
      <c r="E22" s="4">
        <v>-2</v>
      </c>
      <c r="F22" s="4">
        <v>-3</v>
      </c>
      <c r="G22" s="4">
        <v>4</v>
      </c>
      <c r="H22" s="6"/>
      <c r="I22" s="16" t="s">
        <v>444</v>
      </c>
      <c r="J22" s="6" t="b">
        <v>1</v>
      </c>
      <c r="K22" s="6" t="e">
        <v>#VALUE!</v>
      </c>
      <c r="L22" s="6" t="e">
        <v>#N/A</v>
      </c>
      <c r="M22" s="7" t="e">
        <v>#DIV/0!</v>
      </c>
      <c r="N22" s="7" t="e">
        <v>#NAME?</v>
      </c>
      <c r="O22" s="7" t="e">
        <v>#NULL!</v>
      </c>
      <c r="P22" s="7" t="e">
        <v>#NUM!</v>
      </c>
      <c r="Q22" s="7" t="e">
        <v>#REF!</v>
      </c>
      <c r="R22" s="6">
        <f>COUNTA(C22:D22,D22:E22,E22:F22,TRUE,"26/08")</f>
        <v>8</v>
      </c>
      <c r="S22" s="6">
        <f>COUNTA(D22:E22,E22:F22,F22:G22)</f>
        <v>6</v>
      </c>
      <c r="T22" s="6">
        <f>COUNTA(E22:F22,F22:G22,G22:H22)</f>
        <v>5</v>
      </c>
      <c r="U22" s="6">
        <f>COUNTA(H22)</f>
        <v>0</v>
      </c>
      <c r="V22" s="6">
        <f>COUNTA(G22:H22,H22:I22,I22:J22)</f>
        <v>4</v>
      </c>
      <c r="W22" s="6">
        <f>COUNTA(G22:H22)</f>
        <v>1</v>
      </c>
      <c r="X22" s="6">
        <f t="shared" ref="X22:AF22" si="19">COUNTA(I22,G22)</f>
        <v>2</v>
      </c>
      <c r="Y22" s="6">
        <f t="shared" si="19"/>
        <v>1</v>
      </c>
      <c r="Z22" s="6">
        <f t="shared" si="19"/>
        <v>2</v>
      </c>
      <c r="AA22" s="6">
        <f t="shared" si="19"/>
        <v>2</v>
      </c>
      <c r="AB22" s="6">
        <f t="shared" si="19"/>
        <v>2</v>
      </c>
      <c r="AC22" s="6">
        <f t="shared" si="19"/>
        <v>2</v>
      </c>
      <c r="AD22" s="6">
        <f t="shared" si="19"/>
        <v>2</v>
      </c>
      <c r="AE22" s="6">
        <f t="shared" si="19"/>
        <v>2</v>
      </c>
      <c r="AF22" s="6">
        <f t="shared" si="19"/>
        <v>2</v>
      </c>
      <c r="AG22" s="6">
        <f>COUNTA(H22:J22)</f>
        <v>2</v>
      </c>
      <c r="AH22" s="6">
        <f t="array" ref="AH22:AM22">COUNTA(C22:J22)</f>
        <v>7</v>
      </c>
      <c r="AI22" s="6">
        <v>7</v>
      </c>
      <c r="AJ22" s="6">
        <v>7</v>
      </c>
      <c r="AK22" s="6">
        <v>7</v>
      </c>
      <c r="AL22" s="6">
        <v>7</v>
      </c>
      <c r="AM22" s="6">
        <v>7</v>
      </c>
      <c r="AN22" s="6">
        <f t="array" ref="AN22:AW22">COUNTA(J22:Q22)</f>
        <v>8</v>
      </c>
      <c r="AO22" s="6">
        <v>8</v>
      </c>
      <c r="AP22" s="6">
        <v>8</v>
      </c>
      <c r="AQ22" s="6">
        <v>8</v>
      </c>
      <c r="AR22" s="6">
        <v>8</v>
      </c>
      <c r="AS22" s="6">
        <v>8</v>
      </c>
      <c r="AT22" s="6">
        <v>8</v>
      </c>
      <c r="AU22" s="6">
        <v>8</v>
      </c>
      <c r="AV22" s="6">
        <v>8</v>
      </c>
      <c r="AW22" s="4">
        <v>8</v>
      </c>
    </row>
    <row r="23" spans="1:49" x14ac:dyDescent="0.15">
      <c r="A23" s="35" t="s">
        <v>119</v>
      </c>
      <c r="B23" s="36" t="s">
        <v>541</v>
      </c>
      <c r="C23" s="4">
        <v>0</v>
      </c>
      <c r="D23" s="4">
        <v>0.1</v>
      </c>
      <c r="E23" s="4">
        <v>-2</v>
      </c>
      <c r="F23" s="4">
        <v>-3</v>
      </c>
      <c r="G23" s="4">
        <v>4</v>
      </c>
      <c r="H23" s="6"/>
      <c r="I23" s="16" t="s">
        <v>446</v>
      </c>
      <c r="J23" s="6" t="b">
        <v>1</v>
      </c>
      <c r="K23" s="6" t="e">
        <v>#VALUE!</v>
      </c>
      <c r="L23" s="6" t="e">
        <v>#N/A</v>
      </c>
      <c r="M23" s="7" t="e">
        <v>#DIV/0!</v>
      </c>
      <c r="N23" s="7" t="e">
        <v>#NAME?</v>
      </c>
      <c r="O23" s="7" t="e">
        <v>#NULL!</v>
      </c>
      <c r="P23" s="7" t="e">
        <v>#NUM!</v>
      </c>
      <c r="Q23" s="7" t="e">
        <v>#REF!</v>
      </c>
      <c r="R23" s="6">
        <f>COUNTBLANK(C23:D23)</f>
        <v>0</v>
      </c>
      <c r="S23" s="6">
        <f>COUNTBLANK(D23:E23)</f>
        <v>0</v>
      </c>
      <c r="T23" s="6">
        <f>COUNTBLANK(C23)</f>
        <v>0</v>
      </c>
      <c r="U23" s="6">
        <f t="shared" ref="U23:AF23" si="20">COUNTBLANK(F23:G23)</f>
        <v>0</v>
      </c>
      <c r="V23" s="6">
        <f t="shared" si="20"/>
        <v>1</v>
      </c>
      <c r="W23" s="6">
        <f t="shared" si="20"/>
        <v>2</v>
      </c>
      <c r="X23" s="6">
        <f t="shared" si="20"/>
        <v>1</v>
      </c>
      <c r="Y23" s="6">
        <f t="shared" si="20"/>
        <v>0</v>
      </c>
      <c r="Z23" s="6">
        <f t="shared" si="20"/>
        <v>0</v>
      </c>
      <c r="AA23" s="6">
        <f t="shared" si="20"/>
        <v>0</v>
      </c>
      <c r="AB23" s="6">
        <f t="shared" si="20"/>
        <v>0</v>
      </c>
      <c r="AC23" s="6">
        <f t="shared" si="20"/>
        <v>0</v>
      </c>
      <c r="AD23" s="6">
        <f t="shared" si="20"/>
        <v>0</v>
      </c>
      <c r="AE23" s="6">
        <f t="shared" si="20"/>
        <v>0</v>
      </c>
      <c r="AF23" s="6">
        <f t="shared" si="20"/>
        <v>0</v>
      </c>
      <c r="AG23" s="6">
        <f>COUNTA(H23:J23)</f>
        <v>2</v>
      </c>
      <c r="AH23" s="6">
        <f t="array" ref="AH23:AM23">COUNTA(C23:J23)</f>
        <v>7</v>
      </c>
      <c r="AI23" s="6">
        <v>7</v>
      </c>
      <c r="AJ23" s="6">
        <v>7</v>
      </c>
      <c r="AK23" s="6">
        <v>7</v>
      </c>
      <c r="AL23" s="6">
        <v>7</v>
      </c>
      <c r="AM23" s="6">
        <v>7</v>
      </c>
      <c r="AN23" s="6">
        <f t="array" ref="AN23:AW23">COUNTA(J23:Q23)</f>
        <v>8</v>
      </c>
      <c r="AO23" s="6">
        <v>8</v>
      </c>
      <c r="AP23" s="6">
        <v>8</v>
      </c>
      <c r="AQ23" s="6">
        <v>8</v>
      </c>
      <c r="AR23" s="6">
        <v>8</v>
      </c>
      <c r="AS23" s="6">
        <v>8</v>
      </c>
      <c r="AT23" s="6">
        <v>8</v>
      </c>
      <c r="AU23" s="6">
        <v>8</v>
      </c>
      <c r="AV23" s="6">
        <v>8</v>
      </c>
      <c r="AW23" s="4">
        <v>8</v>
      </c>
    </row>
    <row r="24" spans="1:49" x14ac:dyDescent="0.15">
      <c r="A24" s="35" t="s">
        <v>120</v>
      </c>
      <c r="B24" s="36" t="s">
        <v>541</v>
      </c>
      <c r="C24" s="4">
        <v>0</v>
      </c>
      <c r="D24" s="4">
        <v>1</v>
      </c>
      <c r="E24" s="4">
        <v>2.2999999999999998</v>
      </c>
      <c r="F24" s="4">
        <v>10</v>
      </c>
      <c r="G24" s="4">
        <v>-1</v>
      </c>
      <c r="H24" s="6"/>
      <c r="I24" s="16" t="s">
        <v>444</v>
      </c>
      <c r="J24" s="6" t="b">
        <v>1</v>
      </c>
      <c r="K24" s="6" t="e">
        <v>#VALUE!</v>
      </c>
      <c r="L24" s="6" t="e">
        <v>#N/A</v>
      </c>
      <c r="M24" s="7" t="e">
        <v>#DIV/0!</v>
      </c>
      <c r="N24" s="7" t="e">
        <v>#NAME?</v>
      </c>
      <c r="O24" s="7" t="e">
        <v>#NULL!</v>
      </c>
      <c r="P24" s="7" t="e">
        <v>#NUM!</v>
      </c>
      <c r="Q24" s="7" t="e">
        <v>#REF!</v>
      </c>
      <c r="R24" s="6">
        <f>COUNTIF(C24:D24,1)</f>
        <v>1</v>
      </c>
      <c r="S24" s="6">
        <f>COUNTIF(D24:E24,"1")</f>
        <v>1</v>
      </c>
      <c r="T24" s="6">
        <f>COUNTIF(E24:F24,"&gt;1")</f>
        <v>2</v>
      </c>
      <c r="U24" s="6">
        <f>COUNTIF(F24:G24,"&lt;&gt;-1")</f>
        <v>1</v>
      </c>
      <c r="V24" s="6">
        <f>COUNTIF(G24:H24,1)</f>
        <v>0</v>
      </c>
      <c r="W24" s="6">
        <f>COUNTIF(H24:I24,H24)</f>
        <v>0</v>
      </c>
      <c r="X24" s="6">
        <f>COUNTIF(I24:J24,I24)</f>
        <v>1</v>
      </c>
      <c r="Y24" s="6">
        <f>COUNTIF(I24:J24,"&lt;=TRUE")</f>
        <v>1</v>
      </c>
      <c r="Z24" s="6">
        <f t="shared" ref="Z24:AF24" si="21">COUNTIF(I24:J24,I24)</f>
        <v>1</v>
      </c>
      <c r="AA24" s="6">
        <f t="shared" si="21"/>
        <v>1</v>
      </c>
      <c r="AB24" s="6">
        <f t="shared" si="21"/>
        <v>1</v>
      </c>
      <c r="AC24" s="6">
        <f t="shared" si="21"/>
        <v>1</v>
      </c>
      <c r="AD24" s="6">
        <f t="shared" si="21"/>
        <v>1</v>
      </c>
      <c r="AE24" s="6">
        <f t="shared" si="21"/>
        <v>1</v>
      </c>
      <c r="AF24" s="6">
        <f t="shared" si="21"/>
        <v>1</v>
      </c>
      <c r="AG24" s="6">
        <f t="array" ref="AG24">COUNTIF(D24:H24,{1,"&gt;3"})</f>
        <v>1</v>
      </c>
      <c r="AH24" s="6">
        <f t="array" ref="AH24:AW24">COUNTIF(F24:J24,{"*ao","","TRUE",TRUE,"*a?"})</f>
        <v>0</v>
      </c>
      <c r="AI24" s="6">
        <v>1</v>
      </c>
      <c r="AJ24" s="6">
        <v>1</v>
      </c>
      <c r="AK24" s="6">
        <v>1</v>
      </c>
      <c r="AL24" s="6">
        <v>0</v>
      </c>
      <c r="AM24" s="6" t="e">
        <v>#N/A</v>
      </c>
      <c r="AN24" s="6" t="e">
        <v>#N/A</v>
      </c>
      <c r="AO24" s="6" t="e">
        <v>#N/A</v>
      </c>
      <c r="AP24" s="6" t="e">
        <v>#N/A</v>
      </c>
      <c r="AQ24" s="6" t="e">
        <v>#N/A</v>
      </c>
      <c r="AR24" s="6" t="e">
        <v>#N/A</v>
      </c>
      <c r="AS24" s="6" t="e">
        <v>#N/A</v>
      </c>
      <c r="AT24" s="6" t="e">
        <v>#N/A</v>
      </c>
      <c r="AU24" s="6" t="e">
        <v>#N/A</v>
      </c>
      <c r="AV24" s="6" t="e">
        <v>#N/A</v>
      </c>
      <c r="AW24" s="4" t="e">
        <v>#N/A</v>
      </c>
    </row>
    <row r="25" spans="1:49" x14ac:dyDescent="0.15">
      <c r="A25" s="35" t="s">
        <v>121</v>
      </c>
      <c r="B25" s="36" t="s">
        <v>541</v>
      </c>
      <c r="C25" s="4">
        <v>1</v>
      </c>
      <c r="D25" s="4">
        <v>1</v>
      </c>
      <c r="E25" s="4">
        <v>2.2999999999999998</v>
      </c>
      <c r="F25" s="4">
        <v>10</v>
      </c>
      <c r="G25" s="4">
        <v>-1</v>
      </c>
      <c r="H25" s="6"/>
      <c r="I25" s="16" t="s">
        <v>32</v>
      </c>
      <c r="J25" s="6" t="b">
        <v>1</v>
      </c>
      <c r="K25" s="6" t="e">
        <v>#VALUE!</v>
      </c>
      <c r="L25" s="6" t="e">
        <v>#N/A</v>
      </c>
      <c r="M25" s="7" t="e">
        <v>#DIV/0!</v>
      </c>
      <c r="N25" s="7" t="e">
        <v>#NAME?</v>
      </c>
      <c r="O25" s="7" t="e">
        <v>#NULL!</v>
      </c>
      <c r="P25" s="7" t="e">
        <v>#NUM!</v>
      </c>
      <c r="Q25" s="7" t="e">
        <v>#REF!</v>
      </c>
      <c r="R25" s="6">
        <f>COUNTIFS( C25:D25,1,E25:F25,2.3)</f>
        <v>1</v>
      </c>
      <c r="S25" s="6">
        <f>COUNTIFS(D25:E25,"1")</f>
        <v>1</v>
      </c>
      <c r="T25" s="6">
        <f>COUNTIFS( E25:F25,"&gt;1")</f>
        <v>2</v>
      </c>
      <c r="U25" s="6">
        <f>COUNTIFS(F25:G25,"&lt;&gt;-1")</f>
        <v>1</v>
      </c>
      <c r="V25" s="6">
        <f>COUNTIFS(G25:H25,1)</f>
        <v>0</v>
      </c>
      <c r="W25" s="6">
        <f>COUNTIFS(H25:I25,H25)</f>
        <v>0</v>
      </c>
      <c r="X25" s="6">
        <f>COUNTIFS(I25:J25,I25)</f>
        <v>1</v>
      </c>
      <c r="Y25" s="6">
        <f>COUNTIFS(I25:J25,"&lt;=TRUE")</f>
        <v>1</v>
      </c>
      <c r="Z25" s="6">
        <f t="shared" ref="Z25:AF25" si="22">COUNTIFS(I25:J25,I25)</f>
        <v>1</v>
      </c>
      <c r="AA25" s="6">
        <f t="shared" si="22"/>
        <v>1</v>
      </c>
      <c r="AB25" s="6">
        <f t="shared" si="22"/>
        <v>1</v>
      </c>
      <c r="AC25" s="6">
        <f t="shared" si="22"/>
        <v>1</v>
      </c>
      <c r="AD25" s="6">
        <f t="shared" si="22"/>
        <v>1</v>
      </c>
      <c r="AE25" s="6">
        <f t="shared" si="22"/>
        <v>1</v>
      </c>
      <c r="AF25" s="6">
        <f t="shared" si="22"/>
        <v>1</v>
      </c>
      <c r="AG25" s="6" t="e">
        <f t="array" ref="AG25">COUNTIFS(D25:H25,{1,"&gt;3"}, C25:F25,{0,1})</f>
        <v>#VALUE!</v>
      </c>
      <c r="AH25" s="6">
        <f t="array" ref="AH25:AW25">COUNTIFS(F25:J25,{"*ao","","TRUE",TRUE,"*a?"},D25:H25, "&gt;0")</f>
        <v>0</v>
      </c>
      <c r="AI25" s="6">
        <v>1</v>
      </c>
      <c r="AJ25" s="6">
        <v>0</v>
      </c>
      <c r="AK25" s="6">
        <v>0</v>
      </c>
      <c r="AL25" s="6">
        <v>0</v>
      </c>
      <c r="AM25" s="6" t="e">
        <v>#N/A</v>
      </c>
      <c r="AN25" s="6" t="e">
        <v>#N/A</v>
      </c>
      <c r="AO25" s="6" t="e">
        <v>#N/A</v>
      </c>
      <c r="AP25" s="6" t="e">
        <v>#N/A</v>
      </c>
      <c r="AQ25" s="6" t="e">
        <v>#N/A</v>
      </c>
      <c r="AR25" s="6" t="e">
        <v>#N/A</v>
      </c>
      <c r="AS25" s="6" t="e">
        <v>#N/A</v>
      </c>
      <c r="AT25" s="6" t="e">
        <v>#N/A</v>
      </c>
      <c r="AU25" s="6" t="e">
        <v>#N/A</v>
      </c>
      <c r="AV25" s="6" t="e">
        <v>#N/A</v>
      </c>
      <c r="AW25" s="4" t="e">
        <v>#N/A</v>
      </c>
    </row>
    <row r="26" spans="1:49" x14ac:dyDescent="0.15">
      <c r="A26" s="35" t="s">
        <v>122</v>
      </c>
      <c r="B26" s="36" t="s">
        <v>541</v>
      </c>
      <c r="C26" s="4">
        <v>0</v>
      </c>
      <c r="D26" s="4">
        <v>0.1</v>
      </c>
      <c r="E26" s="4">
        <v>0.2</v>
      </c>
      <c r="F26" s="4">
        <v>0.3</v>
      </c>
      <c r="G26" s="4">
        <v>-0.1</v>
      </c>
      <c r="H26" s="6"/>
      <c r="I26" s="16" t="s">
        <v>444</v>
      </c>
      <c r="J26" s="6" t="b">
        <v>1</v>
      </c>
      <c r="K26" s="6" t="e">
        <v>#VALUE!</v>
      </c>
      <c r="L26" s="6" t="e">
        <v>#N/A</v>
      </c>
      <c r="M26" s="7" t="e">
        <v>#DIV/0!</v>
      </c>
      <c r="N26" s="7" t="e">
        <v>#NAME?</v>
      </c>
      <c r="O26" s="7" t="e">
        <v>#NULL!</v>
      </c>
      <c r="P26" s="7" t="e">
        <v>#NUM!</v>
      </c>
      <c r="Q26" s="7" t="e">
        <v>#REF!</v>
      </c>
      <c r="R26" s="4">
        <f t="shared" ref="R26:Y26" si="23">_xlfn.COVARIANCE.P(C26:E26,E26:G26)</f>
        <v>-0.01</v>
      </c>
      <c r="S26" s="4">
        <f t="shared" si="23"/>
        <v>-1.0000000000000002E-2</v>
      </c>
      <c r="T26" s="4">
        <f t="shared" si="23"/>
        <v>0</v>
      </c>
      <c r="U26" s="4" t="e">
        <f t="shared" si="23"/>
        <v>#DIV/0!</v>
      </c>
      <c r="V26" s="4" t="e">
        <f t="shared" si="23"/>
        <v>#VALUE!</v>
      </c>
      <c r="W26" s="4" t="e">
        <f t="shared" si="23"/>
        <v>#VALUE!</v>
      </c>
      <c r="X26" s="4" t="e">
        <f t="shared" si="23"/>
        <v>#VALUE!</v>
      </c>
      <c r="Y26" s="4" t="e">
        <f t="shared" si="23"/>
        <v>#N/A</v>
      </c>
      <c r="Z26" s="4" t="e">
        <f t="shared" ref="Z26:AF26" si="24">_xlfn.COVARIANCE.P(K26:M26,M26:O26)</f>
        <v>#VALUE!</v>
      </c>
      <c r="AA26" s="4" t="e">
        <f t="shared" si="24"/>
        <v>#N/A</v>
      </c>
      <c r="AB26" s="4" t="e">
        <f t="shared" si="24"/>
        <v>#DIV/0!</v>
      </c>
      <c r="AC26" s="4" t="e">
        <f t="shared" si="24"/>
        <v>#NAME?</v>
      </c>
      <c r="AD26" s="4" t="e">
        <f t="shared" si="24"/>
        <v>#NUM!</v>
      </c>
      <c r="AE26" s="4" t="e">
        <f t="shared" si="24"/>
        <v>#NUM!</v>
      </c>
      <c r="AF26" s="4" t="e">
        <f t="shared" si="24"/>
        <v>#REF!</v>
      </c>
      <c r="AG26" s="4">
        <f t="array" ref="AG26">_xlfn.COVARIANCE.P(C26:E26,E26:G26)</f>
        <v>-0.01</v>
      </c>
      <c r="AH26" s="4">
        <f t="array" ref="AH26:AW26">_xlfn.COVARIANCE.P(C26:E26,E26:G26)</f>
        <v>-0.01</v>
      </c>
      <c r="AI26" s="4">
        <v>-0.01</v>
      </c>
      <c r="AJ26" s="4">
        <v>-0.01</v>
      </c>
      <c r="AK26" s="4">
        <v>-0.01</v>
      </c>
      <c r="AL26" s="4">
        <v>-0.01</v>
      </c>
      <c r="AM26" s="4">
        <v>-0.01</v>
      </c>
      <c r="AN26" s="4">
        <v>-0.01</v>
      </c>
      <c r="AO26" s="4">
        <v>-0.01</v>
      </c>
      <c r="AP26" s="4">
        <v>-0.01</v>
      </c>
      <c r="AQ26" s="4">
        <v>-0.01</v>
      </c>
      <c r="AR26" s="4">
        <v>-0.01</v>
      </c>
      <c r="AS26" s="4">
        <v>-0.01</v>
      </c>
      <c r="AT26" s="4">
        <v>-0.01</v>
      </c>
      <c r="AU26" s="4">
        <v>-0.01</v>
      </c>
      <c r="AV26" s="4">
        <v>-0.01</v>
      </c>
      <c r="AW26" s="4">
        <v>-0.01</v>
      </c>
    </row>
    <row r="27" spans="1:49" x14ac:dyDescent="0.15">
      <c r="A27" s="35" t="s">
        <v>123</v>
      </c>
      <c r="B27" s="36" t="s">
        <v>541</v>
      </c>
      <c r="C27" s="4">
        <v>0</v>
      </c>
      <c r="D27" s="4">
        <v>0.1</v>
      </c>
      <c r="E27" s="4">
        <v>0.2</v>
      </c>
      <c r="F27" s="4">
        <v>0.3</v>
      </c>
      <c r="G27" s="4">
        <v>-0.1</v>
      </c>
      <c r="H27" s="6"/>
      <c r="I27" s="16" t="s">
        <v>444</v>
      </c>
      <c r="J27" s="6" t="b">
        <v>1</v>
      </c>
      <c r="K27" s="6" t="e">
        <v>#VALUE!</v>
      </c>
      <c r="L27" s="6" t="e">
        <v>#N/A</v>
      </c>
      <c r="M27" s="7" t="e">
        <v>#DIV/0!</v>
      </c>
      <c r="N27" s="7" t="e">
        <v>#NAME?</v>
      </c>
      <c r="O27" s="7" t="e">
        <v>#NULL!</v>
      </c>
      <c r="P27" s="7" t="e">
        <v>#NUM!</v>
      </c>
      <c r="Q27" s="7" t="e">
        <v>#REF!</v>
      </c>
      <c r="R27" s="4">
        <f>_xlfn.COVARIANCE.S(C27:E27,E27:G27)</f>
        <v>-1.5000000000000001E-2</v>
      </c>
      <c r="S27" s="4">
        <f>_xlfn.COVARIANCE.S(D27:F27,F27:H27)</f>
        <v>-2.0000000000000004E-2</v>
      </c>
      <c r="T27" s="4" t="e">
        <f>_xlfn.COVARIANCE.S(E27:G27,G27:I27)</f>
        <v>#DIV/0!</v>
      </c>
      <c r="U27" s="4" t="e">
        <f>_xlfn.COVARIANCE.S(F27:H27,H27:J27)</f>
        <v>#DIV/0!</v>
      </c>
      <c r="V27" s="4" t="e">
        <f>_xlfn.COVARIANCE.S(G27:I27,I27:K27)</f>
        <v>#VALUE!</v>
      </c>
      <c r="W27" s="4" t="e">
        <f t="shared" ref="W27:AF27" si="25">_xlfn.COVARIANCE.S(H27:J27,J27:L27)</f>
        <v>#VALUE!</v>
      </c>
      <c r="X27" s="4" t="e">
        <f t="shared" si="25"/>
        <v>#VALUE!</v>
      </c>
      <c r="Y27" s="4" t="e">
        <f t="shared" si="25"/>
        <v>#N/A</v>
      </c>
      <c r="Z27" s="4" t="e">
        <f t="shared" si="25"/>
        <v>#VALUE!</v>
      </c>
      <c r="AA27" s="4" t="e">
        <f t="shared" si="25"/>
        <v>#N/A</v>
      </c>
      <c r="AB27" s="4" t="e">
        <f t="shared" si="25"/>
        <v>#DIV/0!</v>
      </c>
      <c r="AC27" s="4" t="e">
        <f t="shared" si="25"/>
        <v>#NAME?</v>
      </c>
      <c r="AD27" s="4" t="e">
        <f t="shared" si="25"/>
        <v>#NUM!</v>
      </c>
      <c r="AE27" s="4" t="e">
        <f t="shared" si="25"/>
        <v>#NUM!</v>
      </c>
      <c r="AF27" s="4" t="e">
        <f t="shared" si="25"/>
        <v>#REF!</v>
      </c>
      <c r="AG27" s="4">
        <f t="array" ref="AG27">_xlfn.COVARIANCE.S(C27:E27,E27:G27)</f>
        <v>-1.5000000000000001E-2</v>
      </c>
      <c r="AH27" s="4">
        <f t="array" ref="AH27:AW27">_xlfn.COVARIANCE.S(C27:E27,E27:G27)</f>
        <v>-1.5000000000000001E-2</v>
      </c>
      <c r="AI27" s="4">
        <v>-1.5000000000000001E-2</v>
      </c>
      <c r="AJ27" s="4">
        <v>-1.5000000000000001E-2</v>
      </c>
      <c r="AK27" s="4">
        <v>-1.5000000000000001E-2</v>
      </c>
      <c r="AL27" s="4">
        <v>-1.5000000000000001E-2</v>
      </c>
      <c r="AM27" s="4">
        <v>-1.5000000000000001E-2</v>
      </c>
      <c r="AN27" s="4">
        <v>-1.5000000000000001E-2</v>
      </c>
      <c r="AO27" s="4">
        <v>-1.5000000000000001E-2</v>
      </c>
      <c r="AP27" s="4">
        <v>-1.5000000000000001E-2</v>
      </c>
      <c r="AQ27" s="4">
        <v>-1.5000000000000001E-2</v>
      </c>
      <c r="AR27" s="4">
        <v>-1.5000000000000001E-2</v>
      </c>
      <c r="AS27" s="4">
        <v>-1.5000000000000001E-2</v>
      </c>
      <c r="AT27" s="4">
        <v>-1.5000000000000001E-2</v>
      </c>
      <c r="AU27" s="4">
        <v>-1.5000000000000001E-2</v>
      </c>
      <c r="AV27" s="4">
        <v>-1.5000000000000001E-2</v>
      </c>
      <c r="AW27" s="4">
        <v>-1.5000000000000001E-2</v>
      </c>
    </row>
    <row r="28" spans="1:49" x14ac:dyDescent="0.15">
      <c r="A28" s="35" t="s">
        <v>124</v>
      </c>
      <c r="B28" s="36" t="s">
        <v>541</v>
      </c>
      <c r="C28" s="4">
        <v>0</v>
      </c>
      <c r="D28" s="4">
        <v>0.1</v>
      </c>
      <c r="E28" s="4">
        <v>0.2</v>
      </c>
      <c r="F28" s="4">
        <v>0.3</v>
      </c>
      <c r="G28" s="4">
        <v>-0.1</v>
      </c>
      <c r="H28" s="6"/>
      <c r="I28" s="16" t="s">
        <v>444</v>
      </c>
      <c r="J28" s="6" t="b">
        <v>1</v>
      </c>
      <c r="K28" s="6" t="e">
        <v>#VALUE!</v>
      </c>
      <c r="L28" s="6" t="e">
        <v>#N/A</v>
      </c>
      <c r="M28" s="7" t="e">
        <v>#DIV/0!</v>
      </c>
      <c r="N28" s="7" t="e">
        <v>#NAME?</v>
      </c>
      <c r="O28" s="7" t="e">
        <v>#NULL!</v>
      </c>
      <c r="P28" s="7" t="e">
        <v>#NUM!</v>
      </c>
      <c r="Q28" s="7" t="e">
        <v>#REF!</v>
      </c>
      <c r="R28" s="6">
        <f>DEVSQ(C28:D28,D28:E28,E28:F28)</f>
        <v>5.4999999999999993E-2</v>
      </c>
      <c r="S28" s="6" t="e" vm="89">
        <f>DEVSQ(D28:E28,E28:F28,F28:G28,"")</f>
        <v>#VALUE!</v>
      </c>
      <c r="T28" s="6">
        <f>DEVSQ(E28:F28,F28:G28,G28:H28,"29/02/1900")</f>
        <v>2988.18</v>
      </c>
      <c r="U28" s="6">
        <f>DEVSQ(F28:G28,G28:H28,H28:I28)</f>
        <v>0.10666666666666667</v>
      </c>
      <c r="V28" s="6">
        <f>DEVSQ(G28:H28,H28:I28,I28:J28)</f>
        <v>0</v>
      </c>
      <c r="W28" s="6">
        <f>DEVSQ(G28:H28)</f>
        <v>0</v>
      </c>
      <c r="X28" s="6">
        <f>DEVSQ(I28,G28)</f>
        <v>0</v>
      </c>
      <c r="Y28" s="6">
        <f>DEVSQ(J28,G28)</f>
        <v>0</v>
      </c>
      <c r="Z28" s="6" t="e">
        <f>DEVSQ(K28:L28)</f>
        <v>#VALUE!</v>
      </c>
      <c r="AA28" s="6" t="e">
        <f t="shared" ref="AA28:AF28" si="26">DEVSQ(L28:M28)</f>
        <v>#N/A</v>
      </c>
      <c r="AB28" s="6" t="e">
        <f t="shared" si="26"/>
        <v>#DIV/0!</v>
      </c>
      <c r="AC28" s="6" t="e">
        <f t="shared" si="26"/>
        <v>#NAME?</v>
      </c>
      <c r="AD28" s="6" t="e">
        <f t="shared" si="26"/>
        <v>#NULL!</v>
      </c>
      <c r="AE28" s="6" t="e">
        <f t="shared" si="26"/>
        <v>#NUM!</v>
      </c>
      <c r="AF28" s="6" t="e">
        <f t="shared" si="26"/>
        <v>#REF!</v>
      </c>
      <c r="AG28" s="6" t="e">
        <f t="array" ref="AG28">DEVSQ(H28:J28)</f>
        <v>#NUM!</v>
      </c>
      <c r="AH28" s="6">
        <f t="array" ref="AH28:AW28">DEVSQ(C28:J28)</f>
        <v>9.9999999999999992E-2</v>
      </c>
      <c r="AI28" s="6">
        <v>9.9999999999999992E-2</v>
      </c>
      <c r="AJ28" s="6">
        <v>9.9999999999999992E-2</v>
      </c>
      <c r="AK28" s="6">
        <v>9.9999999999999992E-2</v>
      </c>
      <c r="AL28" s="6">
        <v>9.9999999999999992E-2</v>
      </c>
      <c r="AM28" s="6">
        <v>9.9999999999999992E-2</v>
      </c>
      <c r="AN28" s="6">
        <v>9.9999999999999992E-2</v>
      </c>
      <c r="AO28" s="6">
        <v>9.9999999999999992E-2</v>
      </c>
      <c r="AP28" s="6">
        <v>9.9999999999999992E-2</v>
      </c>
      <c r="AQ28" s="6">
        <v>9.9999999999999992E-2</v>
      </c>
      <c r="AR28" s="6">
        <v>9.9999999999999992E-2</v>
      </c>
      <c r="AS28" s="6">
        <v>9.9999999999999992E-2</v>
      </c>
      <c r="AT28" s="6">
        <v>9.9999999999999992E-2</v>
      </c>
      <c r="AU28" s="6">
        <v>9.9999999999999992E-2</v>
      </c>
      <c r="AV28" s="6">
        <v>9.9999999999999992E-2</v>
      </c>
      <c r="AW28" s="4">
        <v>9.9999999999999992E-2</v>
      </c>
    </row>
    <row r="29" spans="1:49" x14ac:dyDescent="0.15">
      <c r="A29" s="35" t="s">
        <v>125</v>
      </c>
      <c r="B29" s="36" t="s">
        <v>541</v>
      </c>
      <c r="C29" s="4">
        <v>0</v>
      </c>
      <c r="D29" s="4">
        <v>5</v>
      </c>
      <c r="E29" s="4">
        <v>0.7</v>
      </c>
      <c r="F29" s="4">
        <v>3</v>
      </c>
      <c r="G29" s="4">
        <v>4</v>
      </c>
      <c r="H29" s="6"/>
      <c r="I29" s="16" t="s">
        <v>444</v>
      </c>
      <c r="J29" s="6" t="b">
        <v>1</v>
      </c>
      <c r="K29" s="6" t="e">
        <v>#VALUE!</v>
      </c>
      <c r="L29" s="6" t="e">
        <v>#N/A</v>
      </c>
      <c r="M29" s="7" t="e">
        <v>#DIV/0!</v>
      </c>
      <c r="N29" s="7" t="e">
        <v>#NAME?</v>
      </c>
      <c r="O29" s="7" t="e">
        <v>#NULL!</v>
      </c>
      <c r="P29" s="7" t="e">
        <v>#NUM!</v>
      </c>
      <c r="Q29" s="7" t="e">
        <v>#REF!</v>
      </c>
      <c r="R29" s="6" t="e">
        <f>_xlfn.EXPON.DIST(C29,,)</f>
        <v>#NUM!</v>
      </c>
      <c r="S29" s="6">
        <f>_xlfn.EXPON.DIST(D29,10,FALSE)</f>
        <v>1.9287498479639177E-21</v>
      </c>
      <c r="T29" s="6">
        <f>_xlfn.EXPON.DIST(E29,"1",5)</f>
        <v>0.50341469620859047</v>
      </c>
      <c r="U29" s="6" t="e">
        <f>_xlfn.EXPON.DIST(F29,-1,"TRUE")</f>
        <v>#NUM!</v>
      </c>
      <c r="V29" s="6">
        <f>_xlfn.EXPON.DIST(G29, 7,1)</f>
        <v>0.99999999999930855</v>
      </c>
      <c r="W29" s="6" t="e">
        <f>_xlfn.EXPON.DIST(H29,H29,1)</f>
        <v>#NUM!</v>
      </c>
      <c r="X29" s="6">
        <f>_xlfn.EXPON.DIST(I29,I29,1)</f>
        <v>1</v>
      </c>
      <c r="Y29" s="6">
        <f>_xlfn.EXPON.DIST(J29,I29,1)</f>
        <v>1</v>
      </c>
      <c r="Z29" s="6" t="e">
        <f>_xlfn.EXPON.DIST(K29,I29,1)</f>
        <v>#VALUE!</v>
      </c>
      <c r="AA29" s="6" t="e">
        <f t="shared" ref="AA29:AF29" si="27">_xlfn.EXPON.DIST(L29,J29,1)</f>
        <v>#N/A</v>
      </c>
      <c r="AB29" s="6" t="e">
        <f t="shared" si="27"/>
        <v>#DIV/0!</v>
      </c>
      <c r="AC29" s="6" t="e">
        <f t="shared" si="27"/>
        <v>#NAME?</v>
      </c>
      <c r="AD29" s="6" t="e">
        <f t="shared" si="27"/>
        <v>#NULL!</v>
      </c>
      <c r="AE29" s="6" t="e">
        <f t="shared" si="27"/>
        <v>#NUM!</v>
      </c>
      <c r="AF29" s="6" t="e">
        <f t="shared" si="27"/>
        <v>#REF!</v>
      </c>
      <c r="AG29" s="6">
        <f t="array" ref="AG29">_xlfn.EXPON.DIST(C29:Q29,3,1)</f>
        <v>0</v>
      </c>
      <c r="AH29" s="6">
        <f t="array" ref="AH29:AW29">_xlfn.EXPON.DIST(C29:Q29,3,1)</f>
        <v>0</v>
      </c>
      <c r="AI29" s="6">
        <v>0.99999969409767953</v>
      </c>
      <c r="AJ29" s="6">
        <v>0.87754357174701803</v>
      </c>
      <c r="AK29" s="6">
        <v>0.99987659019591335</v>
      </c>
      <c r="AL29" s="6">
        <v>0.99999385578764666</v>
      </c>
      <c r="AM29" s="6">
        <v>0</v>
      </c>
      <c r="AN29" s="6">
        <v>1</v>
      </c>
      <c r="AO29" s="6">
        <v>0.95021293163213605</v>
      </c>
      <c r="AP29" s="6" t="e">
        <v>#VALUE!</v>
      </c>
      <c r="AQ29" s="6" t="e">
        <v>#N/A</v>
      </c>
      <c r="AR29" s="6" t="e">
        <v>#DIV/0!</v>
      </c>
      <c r="AS29" s="6" t="e">
        <v>#NAME?</v>
      </c>
      <c r="AT29" s="6" t="e">
        <v>#NULL!</v>
      </c>
      <c r="AU29" s="6" t="e">
        <v>#NUM!</v>
      </c>
      <c r="AV29" s="6" t="e">
        <v>#REF!</v>
      </c>
      <c r="AW29" s="4" t="e">
        <v>#N/A</v>
      </c>
    </row>
    <row r="30" spans="1:49" x14ac:dyDescent="0.15">
      <c r="A30" s="35" t="s">
        <v>126</v>
      </c>
      <c r="B30" s="36" t="s">
        <v>541</v>
      </c>
      <c r="C30" s="4">
        <v>0</v>
      </c>
      <c r="D30" s="4">
        <v>5</v>
      </c>
      <c r="E30" s="4">
        <v>0.7</v>
      </c>
      <c r="F30" s="4">
        <v>3</v>
      </c>
      <c r="G30" s="4">
        <v>4</v>
      </c>
      <c r="H30" s="6"/>
      <c r="I30" s="16" t="s">
        <v>444</v>
      </c>
      <c r="J30" s="6" t="b">
        <v>1</v>
      </c>
      <c r="K30" s="6" t="e">
        <v>#VALUE!</v>
      </c>
      <c r="L30" s="6" t="e">
        <v>#N/A</v>
      </c>
      <c r="M30" s="7" t="e">
        <v>#DIV/0!</v>
      </c>
      <c r="N30" s="7" t="e">
        <v>#NAME?</v>
      </c>
      <c r="O30" s="7" t="e">
        <v>#NULL!</v>
      </c>
      <c r="P30" s="7" t="e">
        <v>#NUM!</v>
      </c>
      <c r="Q30" s="7" t="e">
        <v>#REF!</v>
      </c>
      <c r="R30" s="6" t="e">
        <f>_xlfn.F.DIST(C30,,,)</f>
        <v>#NUM!</v>
      </c>
      <c r="S30" s="6">
        <f>_xlfn.F.DIST(D30,10,30,FALSE)</f>
        <v>4.5224536625353411E-4</v>
      </c>
      <c r="T30" s="6">
        <f>_xlfn.F.DIST(E30,"1",5, 3)</f>
        <v>0.55907537593022871</v>
      </c>
      <c r="U30" s="6" t="e">
        <f>_xlfn.F.DIST(F30,-1,3,"TRUE")</f>
        <v>#NUM!</v>
      </c>
      <c r="V30" s="6">
        <f>_xlfn.F.DIST(G30, 7,4,1)</f>
        <v>0.90081589124327466</v>
      </c>
      <c r="W30" s="6" t="e">
        <f>_xlfn.F.DIST(H30,H30,4,1)</f>
        <v>#NUM!</v>
      </c>
      <c r="X30" s="6">
        <f>_xlfn.F.DIST(I30,I30,4,1)</f>
        <v>0.99943934837180626</v>
      </c>
      <c r="Y30" s="6">
        <f>_xlfn.F.DIST(J30,I30,32,1)</f>
        <v>0.48743085777161144</v>
      </c>
      <c r="Z30" s="6" t="e">
        <f>_xlfn.F.DIST(K30,I30,3,1)</f>
        <v>#VALUE!</v>
      </c>
      <c r="AA30" s="6" t="e">
        <f t="shared" ref="AA30:AF30" si="28">_xlfn.F.DIST(L30,J30,3,1)</f>
        <v>#N/A</v>
      </c>
      <c r="AB30" s="6" t="e">
        <f t="shared" si="28"/>
        <v>#DIV/0!</v>
      </c>
      <c r="AC30" s="6" t="e">
        <f t="shared" si="28"/>
        <v>#NAME?</v>
      </c>
      <c r="AD30" s="6" t="e">
        <f t="shared" si="28"/>
        <v>#NULL!</v>
      </c>
      <c r="AE30" s="6" t="e">
        <f t="shared" si="28"/>
        <v>#NUM!</v>
      </c>
      <c r="AF30" s="6" t="e">
        <f t="shared" si="28"/>
        <v>#REF!</v>
      </c>
      <c r="AG30" s="6">
        <f t="array" ref="AG30">_xlfn.F.DIST(C30:Q30,3,3,1)</f>
        <v>0</v>
      </c>
      <c r="AH30" s="6">
        <f t="array" ref="AH30:AW30">_xlfn.F.DIST(C30:Q30,20,3,1)</f>
        <v>0</v>
      </c>
      <c r="AI30" s="6">
        <v>0.89514488786997504</v>
      </c>
      <c r="AJ30" s="6">
        <v>0.26399570701585229</v>
      </c>
      <c r="AK30" s="6">
        <v>0.8013478754251111</v>
      </c>
      <c r="AL30" s="6">
        <v>0.86037411343026449</v>
      </c>
      <c r="AM30" s="6">
        <v>0</v>
      </c>
      <c r="AN30" s="6">
        <v>0.99696915259841523</v>
      </c>
      <c r="AO30" s="6">
        <v>0.41325191406245987</v>
      </c>
      <c r="AP30" s="6" t="e">
        <v>#VALUE!</v>
      </c>
      <c r="AQ30" s="6" t="e">
        <v>#N/A</v>
      </c>
      <c r="AR30" s="6" t="e">
        <v>#DIV/0!</v>
      </c>
      <c r="AS30" s="6" t="e">
        <v>#NAME?</v>
      </c>
      <c r="AT30" s="6" t="e">
        <v>#NULL!</v>
      </c>
      <c r="AU30" s="6" t="e">
        <v>#NUM!</v>
      </c>
      <c r="AV30" s="6" t="e">
        <v>#REF!</v>
      </c>
      <c r="AW30" s="4" t="e">
        <v>#N/A</v>
      </c>
    </row>
    <row r="31" spans="1:49" x14ac:dyDescent="0.15">
      <c r="A31" s="35" t="s">
        <v>127</v>
      </c>
      <c r="B31" s="36" t="s">
        <v>541</v>
      </c>
      <c r="C31" s="4">
        <v>0</v>
      </c>
      <c r="D31" s="4">
        <v>5</v>
      </c>
      <c r="E31" s="4">
        <v>0.7</v>
      </c>
      <c r="F31" s="4">
        <v>3</v>
      </c>
      <c r="G31" s="4">
        <v>4</v>
      </c>
      <c r="H31" s="6"/>
      <c r="I31" s="16" t="s">
        <v>444</v>
      </c>
      <c r="J31" s="6" t="b">
        <v>1</v>
      </c>
      <c r="K31" s="6" t="e">
        <v>#VALUE!</v>
      </c>
      <c r="L31" s="6" t="e">
        <v>#N/A</v>
      </c>
      <c r="M31" s="7" t="e">
        <v>#DIV/0!</v>
      </c>
      <c r="N31" s="7" t="e">
        <v>#NAME?</v>
      </c>
      <c r="O31" s="7" t="e">
        <v>#NULL!</v>
      </c>
      <c r="P31" s="7" t="e">
        <v>#NUM!</v>
      </c>
      <c r="Q31" s="7" t="e">
        <v>#REF!</v>
      </c>
      <c r="R31" s="6" t="e">
        <f>_xlfn.F.DIST.RT(C31,,)</f>
        <v>#NUM!</v>
      </c>
      <c r="S31" s="6">
        <f>_xlfn.F.DIST.RT(D31,10,65)</f>
        <v>2.3172483433474348E-5</v>
      </c>
      <c r="T31" s="6">
        <f>_xlfn.F.DIST.RT(E31,3,"1")</f>
        <v>0.68213245632798214</v>
      </c>
      <c r="U31" s="6" t="e">
        <f>_xlfn.F.DIST.RT(F31,-1,32)</f>
        <v>#NUM!</v>
      </c>
      <c r="V31" s="6">
        <f>_xlfn.F.DIST.RT(G31,32, 7)</f>
        <v>3.1519045038553836E-2</v>
      </c>
      <c r="W31" s="6" t="e">
        <f>_xlfn.F.DIST.RT(H31,H31,32)</f>
        <v>#NUM!</v>
      </c>
      <c r="X31" s="6">
        <f>_xlfn.F.DIST.RT(I31,I31,3)</f>
        <v>2.9635692284924148E-3</v>
      </c>
      <c r="Y31" s="6">
        <f>_xlfn.F.DIST.RT(J31,I31,3)</f>
        <v>0.60084238782053156</v>
      </c>
      <c r="Z31" s="6" t="e">
        <f>_xlfn.F.DIST.RT(K31,I31,89)</f>
        <v>#VALUE!</v>
      </c>
      <c r="AA31" s="6" t="e">
        <f t="shared" ref="AA31:AF31" si="29">_xlfn.F.DIST.RT(L31,J31,89)</f>
        <v>#N/A</v>
      </c>
      <c r="AB31" s="6" t="e">
        <f t="shared" si="29"/>
        <v>#DIV/0!</v>
      </c>
      <c r="AC31" s="6" t="e">
        <f t="shared" si="29"/>
        <v>#NAME?</v>
      </c>
      <c r="AD31" s="6" t="e">
        <f t="shared" si="29"/>
        <v>#NULL!</v>
      </c>
      <c r="AE31" s="6" t="e">
        <f t="shared" si="29"/>
        <v>#NUM!</v>
      </c>
      <c r="AF31" s="6" t="e">
        <f t="shared" si="29"/>
        <v>#REF!</v>
      </c>
      <c r="AG31" s="6">
        <f t="array" ref="AG31">_xlfn.F.DIST.RT(C31:Q31,3,20)</f>
        <v>1</v>
      </c>
      <c r="AH31" s="6">
        <f t="array" ref="AH31:AW31">_xlfn.F.DIST.RT(C31:Q31,3,7)</f>
        <v>1</v>
      </c>
      <c r="AI31" s="6">
        <v>3.667335421818646E-2</v>
      </c>
      <c r="AJ31" s="6">
        <v>0.58124967890558699</v>
      </c>
      <c r="AK31" s="6">
        <v>0.10457022123528917</v>
      </c>
      <c r="AL31" s="6">
        <v>5.9630822151202661E-2</v>
      </c>
      <c r="AM31" s="6">
        <v>1</v>
      </c>
      <c r="AN31" s="6">
        <v>2.3280966491805181E-5</v>
      </c>
      <c r="AO31" s="6">
        <v>0.44707961346848368</v>
      </c>
      <c r="AP31" s="6" t="e">
        <v>#VALUE!</v>
      </c>
      <c r="AQ31" s="6" t="e">
        <v>#N/A</v>
      </c>
      <c r="AR31" s="6" t="e">
        <v>#DIV/0!</v>
      </c>
      <c r="AS31" s="6" t="e">
        <v>#NAME?</v>
      </c>
      <c r="AT31" s="6" t="e">
        <v>#NULL!</v>
      </c>
      <c r="AU31" s="6" t="e">
        <v>#NUM!</v>
      </c>
      <c r="AV31" s="6" t="e">
        <v>#REF!</v>
      </c>
      <c r="AW31" s="4" t="e">
        <v>#N/A</v>
      </c>
    </row>
    <row r="32" spans="1:49" x14ac:dyDescent="0.15">
      <c r="A32" s="35" t="s">
        <v>128</v>
      </c>
      <c r="B32" s="36" t="s">
        <v>541</v>
      </c>
      <c r="C32" s="4">
        <v>10</v>
      </c>
      <c r="D32" s="4">
        <v>0.1</v>
      </c>
      <c r="E32" s="4">
        <v>0.7</v>
      </c>
      <c r="F32" s="4">
        <v>100</v>
      </c>
      <c r="G32" s="4">
        <v>4</v>
      </c>
      <c r="H32" s="6"/>
      <c r="I32" s="16" t="s">
        <v>785</v>
      </c>
      <c r="J32" s="6" t="b">
        <v>1</v>
      </c>
      <c r="K32" s="6" t="e">
        <v>#VALUE!</v>
      </c>
      <c r="L32" s="6" t="e">
        <v>#N/A</v>
      </c>
      <c r="M32" s="7" t="e">
        <v>#DIV/0!</v>
      </c>
      <c r="N32" s="7" t="e">
        <v>#NAME?</v>
      </c>
      <c r="O32" s="7" t="e">
        <v>#NULL!</v>
      </c>
      <c r="P32" s="7" t="e">
        <v>#NUM!</v>
      </c>
      <c r="Q32" s="7" t="e">
        <v>#REF!</v>
      </c>
      <c r="R32" s="6" t="e">
        <f>_xlfn.F.INV(C32,0.4,3)</f>
        <v>#NUM!</v>
      </c>
      <c r="S32" s="6">
        <f>_xlfn.F.INV(D32,90,9)</f>
        <v>0.58752577218026747</v>
      </c>
      <c r="T32" s="6" t="e">
        <f>_xlfn.F.INV(0.4,E32, 32)</f>
        <v>#NUM!</v>
      </c>
      <c r="U32" s="6">
        <f>_xlfn.F.INV(0.01, F32,2)</f>
        <v>0.20730072492563645</v>
      </c>
      <c r="V32" s="6">
        <f>_xlfn.F.INV(D32,G32,32)</f>
        <v>0.2621924609789803</v>
      </c>
      <c r="W32" s="6">
        <f>_xlfn.F.INV(H32,3, 2.22)</f>
        <v>0</v>
      </c>
      <c r="X32" s="6">
        <f>_xlfn.F.INV(0.9,I32,781)</f>
        <v>1.5325988240336117</v>
      </c>
      <c r="Y32" s="6">
        <f>_xlfn.F.INV(0.3,J32, 332)</f>
        <v>0.14872892753424596</v>
      </c>
      <c r="Z32" s="6" t="e">
        <f>_xlfn.F.INV(K32,C32, 21)</f>
        <v>#VALUE!</v>
      </c>
      <c r="AA32" s="6" t="e">
        <f t="shared" ref="AA32:AF32" si="30">_xlfn.F.INV(L32,D32, 21)</f>
        <v>#N/A</v>
      </c>
      <c r="AB32" s="6" t="e">
        <f t="shared" si="30"/>
        <v>#DIV/0!</v>
      </c>
      <c r="AC32" s="6" t="e">
        <f t="shared" si="30"/>
        <v>#NAME?</v>
      </c>
      <c r="AD32" s="6" t="e">
        <f t="shared" si="30"/>
        <v>#NULL!</v>
      </c>
      <c r="AE32" s="6" t="e">
        <f t="shared" si="30"/>
        <v>#NUM!</v>
      </c>
      <c r="AF32" s="6" t="e">
        <f t="shared" si="30"/>
        <v>#REF!</v>
      </c>
      <c r="AG32" s="6">
        <f t="array" ref="AG32">_xlfn.F.INV(0.6, C32:Q32,32)</f>
        <v>1.0877943883796795</v>
      </c>
      <c r="AH32" s="6">
        <f t="array" ref="AH32:AW32">_xlfn.F.INV(0.5, C32:Q32, 23)</f>
        <v>0.96198984781359798</v>
      </c>
      <c r="AI32" s="6" t="e">
        <v>#NUM!</v>
      </c>
      <c r="AJ32" s="6" t="e">
        <v>#NUM!</v>
      </c>
      <c r="AK32" s="6">
        <v>1.0228193637603507</v>
      </c>
      <c r="AL32" s="6">
        <v>0.86441766942188658</v>
      </c>
      <c r="AM32" s="6" t="e">
        <v>#NUM!</v>
      </c>
      <c r="AN32" s="6">
        <v>0.97743196449332337</v>
      </c>
      <c r="AO32" s="6">
        <v>0.46964469475022608</v>
      </c>
      <c r="AP32" s="6" t="e">
        <v>#VALUE!</v>
      </c>
      <c r="AQ32" s="6" t="e">
        <v>#N/A</v>
      </c>
      <c r="AR32" s="6" t="e">
        <v>#DIV/0!</v>
      </c>
      <c r="AS32" s="6" t="e">
        <v>#NAME?</v>
      </c>
      <c r="AT32" s="6" t="e">
        <v>#NULL!</v>
      </c>
      <c r="AU32" s="6" t="e">
        <v>#NUM!</v>
      </c>
      <c r="AV32" s="6" t="e">
        <v>#REF!</v>
      </c>
      <c r="AW32" s="4" t="e">
        <v>#N/A</v>
      </c>
    </row>
    <row r="33" spans="1:49" x14ac:dyDescent="0.15">
      <c r="A33" s="35" t="s">
        <v>129</v>
      </c>
      <c r="B33" s="36" t="s">
        <v>541</v>
      </c>
      <c r="C33" s="4">
        <v>10</v>
      </c>
      <c r="D33" s="4">
        <v>0.1</v>
      </c>
      <c r="E33" s="4">
        <v>0.7</v>
      </c>
      <c r="F33" s="4">
        <v>100</v>
      </c>
      <c r="G33" s="4">
        <v>4</v>
      </c>
      <c r="H33" s="6"/>
      <c r="I33" s="16" t="s">
        <v>785</v>
      </c>
      <c r="J33" s="6" t="b">
        <v>1</v>
      </c>
      <c r="K33" s="6" t="e">
        <v>#VALUE!</v>
      </c>
      <c r="L33" s="6" t="e">
        <v>#N/A</v>
      </c>
      <c r="M33" s="7" t="e">
        <v>#DIV/0!</v>
      </c>
      <c r="N33" s="7" t="e">
        <v>#NAME?</v>
      </c>
      <c r="O33" s="7" t="e">
        <v>#NULL!</v>
      </c>
      <c r="P33" s="7" t="e">
        <v>#NUM!</v>
      </c>
      <c r="Q33" s="7" t="e">
        <v>#REF!</v>
      </c>
      <c r="R33" s="6" t="e">
        <f>_xlfn.F.INV.RT(C33,0.4, 0.3)</f>
        <v>#NUM!</v>
      </c>
      <c r="S33" s="6">
        <f>_xlfn.F.INV.RT(D33,9,34)</f>
        <v>1.8224282565178647</v>
      </c>
      <c r="T33" s="6" t="e">
        <f>_xlfn.F.INV.RT(0.4,E33,32)</f>
        <v>#NUM!</v>
      </c>
      <c r="U33" s="6">
        <f>_xlfn.F.INV.RT(0.01, F33,2)</f>
        <v>99.489162808433377</v>
      </c>
      <c r="V33" s="6">
        <f>_xlfn.F.INV.RT(D33,G33,32)</f>
        <v>2.1292875704522456</v>
      </c>
      <c r="W33" s="6" t="e">
        <f>_xlfn.F.INV.RT(H33,3,33)</f>
        <v>#NUM!</v>
      </c>
      <c r="X33" s="6">
        <f>_xlfn.F.INV.RT(0.9,I33,33)</f>
        <v>0.51329505123245234</v>
      </c>
      <c r="Y33" s="6">
        <f>_xlfn.F.INV.RT(0.3,J33,12)</f>
        <v>1.1733469814074031</v>
      </c>
      <c r="Z33" s="6" t="e">
        <f>_xlfn.F.INV.RT(K33,C33,32)</f>
        <v>#VALUE!</v>
      </c>
      <c r="AA33" s="6" t="e">
        <f t="shared" ref="AA33:AF33" si="31">_xlfn.F.INV.RT(L33,D33,32)</f>
        <v>#N/A</v>
      </c>
      <c r="AB33" s="6" t="e">
        <f t="shared" si="31"/>
        <v>#DIV/0!</v>
      </c>
      <c r="AC33" s="6" t="e">
        <f t="shared" si="31"/>
        <v>#NAME?</v>
      </c>
      <c r="AD33" s="6" t="e">
        <f t="shared" si="31"/>
        <v>#NULL!</v>
      </c>
      <c r="AE33" s="6" t="e">
        <f t="shared" si="31"/>
        <v>#NUM!</v>
      </c>
      <c r="AF33" s="6" t="e">
        <f t="shared" si="31"/>
        <v>#REF!</v>
      </c>
      <c r="AG33" s="6">
        <f t="array" ref="AG33">_xlfn.F.INV.RT(0.6, C33:Q33, 12)</f>
        <v>0.8445336875855578</v>
      </c>
      <c r="AH33" s="6">
        <f t="array" ref="AH33:AW33">_xlfn.F.INV.RT(0.5, C33:Q33, 120)</f>
        <v>0.93942398667190341</v>
      </c>
      <c r="AI33" s="6" t="e">
        <v>#NUM!</v>
      </c>
      <c r="AJ33" s="6" t="e">
        <v>#NUM!</v>
      </c>
      <c r="AK33" s="6">
        <v>0.99888544471546459</v>
      </c>
      <c r="AL33" s="6">
        <v>0.8439349115137853</v>
      </c>
      <c r="AM33" s="6" t="e">
        <v>#NUM!</v>
      </c>
      <c r="AN33" s="6">
        <v>0.95453041680675432</v>
      </c>
      <c r="AO33" s="6">
        <v>0.45770599938470274</v>
      </c>
      <c r="AP33" s="6" t="e">
        <v>#VALUE!</v>
      </c>
      <c r="AQ33" s="6" t="e">
        <v>#N/A</v>
      </c>
      <c r="AR33" s="6" t="e">
        <v>#DIV/0!</v>
      </c>
      <c r="AS33" s="6" t="e">
        <v>#NAME?</v>
      </c>
      <c r="AT33" s="6" t="e">
        <v>#NULL!</v>
      </c>
      <c r="AU33" s="6" t="e">
        <v>#NUM!</v>
      </c>
      <c r="AV33" s="6" t="e">
        <v>#REF!</v>
      </c>
      <c r="AW33" s="4" t="e">
        <v>#N/A</v>
      </c>
    </row>
    <row r="34" spans="1:49" x14ac:dyDescent="0.15">
      <c r="A34" s="35" t="s">
        <v>130</v>
      </c>
      <c r="B34" s="36" t="s">
        <v>541</v>
      </c>
      <c r="C34" s="4">
        <v>10</v>
      </c>
      <c r="D34" s="4">
        <v>3.2</v>
      </c>
      <c r="E34" s="4">
        <v>0.7</v>
      </c>
      <c r="F34" s="4">
        <v>2</v>
      </c>
      <c r="G34" s="4">
        <v>4</v>
      </c>
      <c r="H34" s="6"/>
      <c r="I34" s="16" t="s">
        <v>785</v>
      </c>
      <c r="J34" s="6" t="b">
        <v>1</v>
      </c>
      <c r="K34" s="6" t="e">
        <v>#VALUE!</v>
      </c>
      <c r="L34" s="6" t="e">
        <v>#N/A</v>
      </c>
      <c r="M34" s="7" t="e">
        <v>#DIV/0!</v>
      </c>
      <c r="N34" s="7" t="e">
        <v>#NAME?</v>
      </c>
      <c r="O34" s="7" t="e">
        <v>#NULL!</v>
      </c>
      <c r="P34" s="7" t="e">
        <v>#NUM!</v>
      </c>
      <c r="Q34" s="7" t="e">
        <v>#REF!</v>
      </c>
      <c r="R34" s="18" t="e">
        <f>_xlfn.F.TEST(C33:D34,E31:E34)</f>
        <v>#DIV/0!</v>
      </c>
      <c r="S34" s="6">
        <f>_xlfn.F.TEST(D34:E34,E34:G34)</f>
        <v>0.79799820212449957</v>
      </c>
      <c r="T34" s="6" t="e">
        <f>_xlfn.F.TEST(E34:F34,G34:H34)</f>
        <v>#DIV/0!</v>
      </c>
      <c r="U34" s="6" t="e">
        <f>_xlfn.F.TEST(D34,F34)</f>
        <v>#DIV/0!</v>
      </c>
      <c r="V34" s="6" t="e">
        <f>_xlfn.F.TEST(G34:I34,H34:J34)</f>
        <v>#DIV/0!</v>
      </c>
      <c r="W34" s="6" t="e">
        <f t="shared" ref="W34:AF34" si="32">_xlfn.F.TEST(H34:I34,J34:K34)</f>
        <v>#VALUE!</v>
      </c>
      <c r="X34" s="6" t="e">
        <f t="shared" si="32"/>
        <v>#VALUE!</v>
      </c>
      <c r="Y34" s="6" t="e">
        <f t="shared" si="32"/>
        <v>#VALUE!</v>
      </c>
      <c r="Z34" s="6" t="e">
        <f t="shared" si="32"/>
        <v>#VALUE!</v>
      </c>
      <c r="AA34" s="6" t="e">
        <f t="shared" si="32"/>
        <v>#N/A</v>
      </c>
      <c r="AB34" s="6" t="e">
        <f t="shared" si="32"/>
        <v>#DIV/0!</v>
      </c>
      <c r="AC34" s="6" t="e">
        <f t="shared" si="32"/>
        <v>#NAME?</v>
      </c>
      <c r="AD34" s="6" t="e">
        <f t="shared" si="32"/>
        <v>#NUM!</v>
      </c>
      <c r="AE34" s="6" t="e">
        <f t="shared" si="32"/>
        <v>#NUM!</v>
      </c>
      <c r="AF34" s="6" t="e">
        <f t="shared" si="32"/>
        <v>#REF!</v>
      </c>
      <c r="AG34" s="6">
        <f t="array" ref="AG34">_xlfn.F.TEST(C33:D34, F33:G34)</f>
        <v>3.6510706026020258E-3</v>
      </c>
      <c r="AH34" s="71">
        <f t="array" ref="AH34:AW34">_xlfn.F.TEST(D34:E34, E34:F34)</f>
        <v>0.61054292502838059</v>
      </c>
      <c r="AI34" s="6">
        <v>0.61054292502838059</v>
      </c>
      <c r="AJ34" s="6">
        <v>0.61054292502838059</v>
      </c>
      <c r="AK34" s="6">
        <v>0.61054292502838059</v>
      </c>
      <c r="AL34" s="6">
        <v>0.61054292502838059</v>
      </c>
      <c r="AM34" s="6">
        <v>0.61054292502838059</v>
      </c>
      <c r="AN34" s="6">
        <v>0.61054292502838059</v>
      </c>
      <c r="AO34" s="6">
        <v>0.61054292502838059</v>
      </c>
      <c r="AP34" s="6">
        <v>0.61054292502838059</v>
      </c>
      <c r="AQ34" s="6">
        <v>0.61054292502838059</v>
      </c>
      <c r="AR34" s="6">
        <v>0.61054292502838059</v>
      </c>
      <c r="AS34" s="6">
        <v>0.61054292502838059</v>
      </c>
      <c r="AT34" s="6">
        <v>0.61054292502838059</v>
      </c>
      <c r="AU34" s="6">
        <v>0.61054292502838059</v>
      </c>
      <c r="AV34" s="6">
        <v>0.61054292502838059</v>
      </c>
      <c r="AW34" s="4">
        <v>0.61054292502838059</v>
      </c>
    </row>
    <row r="35" spans="1:49" x14ac:dyDescent="0.15">
      <c r="A35" s="35" t="s">
        <v>131</v>
      </c>
      <c r="B35" s="36" t="s">
        <v>541</v>
      </c>
      <c r="C35" s="4">
        <v>0</v>
      </c>
      <c r="D35" s="4">
        <v>0.1</v>
      </c>
      <c r="E35" s="4">
        <v>0.2</v>
      </c>
      <c r="F35" s="4">
        <v>0.3</v>
      </c>
      <c r="G35" s="4">
        <v>-0.1</v>
      </c>
      <c r="H35" s="6"/>
      <c r="I35" s="16" t="s">
        <v>444</v>
      </c>
      <c r="J35" s="6" t="b">
        <v>1</v>
      </c>
      <c r="K35" s="6" t="e">
        <v>#VALUE!</v>
      </c>
      <c r="L35" s="6" t="e">
        <v>#N/A</v>
      </c>
      <c r="M35" s="7" t="e">
        <v>#DIV/0!</v>
      </c>
      <c r="N35" s="7" t="e">
        <v>#NAME?</v>
      </c>
      <c r="O35" s="7" t="e">
        <v>#NULL!</v>
      </c>
      <c r="P35" s="7" t="e">
        <v>#NUM!</v>
      </c>
      <c r="Q35" s="7" t="e">
        <v>#REF!</v>
      </c>
      <c r="R35" s="4">
        <f>FISHER(C35)</f>
        <v>0</v>
      </c>
      <c r="S35" s="4">
        <f t="shared" ref="S35:AE35" si="33">FISHER(D35)</f>
        <v>0.10033534773107562</v>
      </c>
      <c r="T35" s="4">
        <f t="shared" si="33"/>
        <v>0.20273255405408211</v>
      </c>
      <c r="U35" s="4">
        <f t="shared" si="33"/>
        <v>0.30951960420311181</v>
      </c>
      <c r="V35" s="4">
        <f t="shared" si="33"/>
        <v>-0.10033534773107562</v>
      </c>
      <c r="W35" s="4">
        <f t="shared" si="33"/>
        <v>0</v>
      </c>
      <c r="X35" s="4" t="e">
        <f t="shared" si="33"/>
        <v>#NUM!</v>
      </c>
      <c r="Y35" s="4" t="e">
        <f t="shared" si="33"/>
        <v>#NUM!</v>
      </c>
      <c r="Z35" s="4" t="e">
        <f t="shared" si="33"/>
        <v>#VALUE!</v>
      </c>
      <c r="AA35" s="4" t="e">
        <f t="shared" si="33"/>
        <v>#N/A</v>
      </c>
      <c r="AB35" s="4" t="e">
        <f t="shared" si="33"/>
        <v>#DIV/0!</v>
      </c>
      <c r="AC35" s="4" t="e">
        <f t="shared" si="33"/>
        <v>#NAME?</v>
      </c>
      <c r="AD35" s="4" t="e">
        <f t="shared" si="33"/>
        <v>#NULL!</v>
      </c>
      <c r="AE35" s="4" t="e">
        <f t="shared" si="33"/>
        <v>#NUM!</v>
      </c>
      <c r="AF35" s="4" t="e">
        <f>FISHER(Q35)</f>
        <v>#REF!</v>
      </c>
      <c r="AG35" s="4">
        <f t="array" ref="AG35">FISHER(C35:Q35)</f>
        <v>0</v>
      </c>
      <c r="AH35" s="4">
        <f t="array" ref="AH35:AW35">FISHER(C35:Q35)</f>
        <v>0</v>
      </c>
      <c r="AI35" s="4">
        <v>0.10033534773107562</v>
      </c>
      <c r="AJ35" s="4">
        <v>0.20273255405408211</v>
      </c>
      <c r="AK35" s="4">
        <v>0.30951960420311181</v>
      </c>
      <c r="AL35" s="4">
        <v>-0.10033534773107562</v>
      </c>
      <c r="AM35" s="4">
        <v>0</v>
      </c>
      <c r="AN35" s="4" t="e">
        <v>#NUM!</v>
      </c>
      <c r="AO35" s="4" t="e">
        <v>#NUM!</v>
      </c>
      <c r="AP35" s="4" t="e">
        <v>#VALUE!</v>
      </c>
      <c r="AQ35" s="4" t="e">
        <v>#N/A</v>
      </c>
      <c r="AR35" s="4" t="e">
        <v>#DIV/0!</v>
      </c>
      <c r="AS35" s="4" t="e">
        <v>#NAME?</v>
      </c>
      <c r="AT35" s="4" t="e">
        <v>#NULL!</v>
      </c>
      <c r="AU35" s="4" t="e">
        <v>#NUM!</v>
      </c>
      <c r="AV35" s="4" t="e">
        <v>#REF!</v>
      </c>
      <c r="AW35" s="4" t="e">
        <v>#N/A</v>
      </c>
    </row>
    <row r="36" spans="1:49" x14ac:dyDescent="0.15">
      <c r="A36" s="35" t="s">
        <v>132</v>
      </c>
      <c r="B36" s="36" t="s">
        <v>541</v>
      </c>
      <c r="C36" s="4">
        <v>0</v>
      </c>
      <c r="D36" s="4">
        <v>0.1</v>
      </c>
      <c r="E36" s="4">
        <v>0.2</v>
      </c>
      <c r="F36" s="4">
        <v>0.3</v>
      </c>
      <c r="G36" s="4">
        <v>-0.1</v>
      </c>
      <c r="H36" s="6"/>
      <c r="I36" s="16" t="s">
        <v>444</v>
      </c>
      <c r="J36" s="6" t="b">
        <v>1</v>
      </c>
      <c r="K36" s="6" t="e">
        <v>#VALUE!</v>
      </c>
      <c r="L36" s="6" t="e">
        <v>#N/A</v>
      </c>
      <c r="M36" s="7" t="e">
        <v>#DIV/0!</v>
      </c>
      <c r="N36" s="7" t="e">
        <v>#NAME?</v>
      </c>
      <c r="O36" s="7" t="e">
        <v>#NULL!</v>
      </c>
      <c r="P36" s="7" t="e">
        <v>#NUM!</v>
      </c>
      <c r="Q36" s="7" t="e">
        <v>#REF!</v>
      </c>
      <c r="R36" s="4">
        <f>FISHERINV(C36)</f>
        <v>0</v>
      </c>
      <c r="S36" s="4">
        <f t="shared" ref="S36:AF36" si="34">FISHERINV(D36)</f>
        <v>9.9667994624955833E-2</v>
      </c>
      <c r="T36" s="4">
        <f t="shared" si="34"/>
        <v>0.19737532022490401</v>
      </c>
      <c r="U36" s="4">
        <f t="shared" si="34"/>
        <v>0.29131261245159085</v>
      </c>
      <c r="V36" s="4">
        <f t="shared" si="34"/>
        <v>-9.9667994624955847E-2</v>
      </c>
      <c r="W36" s="4">
        <f t="shared" si="34"/>
        <v>0</v>
      </c>
      <c r="X36" s="4">
        <f t="shared" si="34"/>
        <v>1</v>
      </c>
      <c r="Y36" s="4">
        <f t="shared" si="34"/>
        <v>0.76159415595576485</v>
      </c>
      <c r="Z36" s="4" t="e">
        <f t="shared" si="34"/>
        <v>#VALUE!</v>
      </c>
      <c r="AA36" s="4" t="e">
        <f t="shared" si="34"/>
        <v>#N/A</v>
      </c>
      <c r="AB36" s="4" t="e">
        <f t="shared" si="34"/>
        <v>#DIV/0!</v>
      </c>
      <c r="AC36" s="4" t="e">
        <f t="shared" si="34"/>
        <v>#NAME?</v>
      </c>
      <c r="AD36" s="4" t="e">
        <f t="shared" si="34"/>
        <v>#NULL!</v>
      </c>
      <c r="AE36" s="4" t="e">
        <f t="shared" si="34"/>
        <v>#NUM!</v>
      </c>
      <c r="AF36" s="4" t="e">
        <f t="shared" si="34"/>
        <v>#REF!</v>
      </c>
      <c r="AG36" s="4">
        <f t="array" ref="AG36">FISHERINV(C36:Q36)</f>
        <v>0</v>
      </c>
      <c r="AH36" s="4">
        <f t="array" ref="AH36:AW36">FISHERINV(C36:Q36)</f>
        <v>0</v>
      </c>
      <c r="AI36" s="4">
        <v>9.9667994624955833E-2</v>
      </c>
      <c r="AJ36" s="4">
        <v>0.19737532022490401</v>
      </c>
      <c r="AK36" s="4">
        <v>0.29131261245159085</v>
      </c>
      <c r="AL36" s="4">
        <v>-9.9667994624955847E-2</v>
      </c>
      <c r="AM36" s="4">
        <v>0</v>
      </c>
      <c r="AN36" s="4">
        <v>1</v>
      </c>
      <c r="AO36" s="4">
        <v>0.76159415595576485</v>
      </c>
      <c r="AP36" s="4" t="e">
        <v>#VALUE!</v>
      </c>
      <c r="AQ36" s="4" t="e">
        <v>#N/A</v>
      </c>
      <c r="AR36" s="4" t="e">
        <v>#DIV/0!</v>
      </c>
      <c r="AS36" s="4" t="e">
        <v>#NAME?</v>
      </c>
      <c r="AT36" s="4" t="e">
        <v>#NULL!</v>
      </c>
      <c r="AU36" s="4" t="e">
        <v>#NUM!</v>
      </c>
      <c r="AV36" s="4" t="e">
        <v>#REF!</v>
      </c>
      <c r="AW36" s="4" t="e">
        <v>#N/A</v>
      </c>
    </row>
    <row r="37" spans="1:49" x14ac:dyDescent="0.15">
      <c r="A37" s="35" t="s">
        <v>133</v>
      </c>
      <c r="B37" s="36" t="s">
        <v>541</v>
      </c>
      <c r="C37" s="4">
        <v>0</v>
      </c>
      <c r="D37" s="4">
        <v>0.1</v>
      </c>
      <c r="E37" s="4">
        <v>0.2</v>
      </c>
      <c r="F37" s="4">
        <v>0.3</v>
      </c>
      <c r="G37" s="4">
        <v>-0.1</v>
      </c>
      <c r="H37" s="6"/>
      <c r="I37" s="16" t="s">
        <v>444</v>
      </c>
      <c r="J37" s="6" t="b">
        <v>1</v>
      </c>
      <c r="K37" s="6" t="e">
        <v>#VALUE!</v>
      </c>
      <c r="L37" s="6" t="e">
        <v>#N/A</v>
      </c>
      <c r="M37" s="7" t="e">
        <v>#DIV/0!</v>
      </c>
      <c r="N37" s="7" t="e">
        <v>#NAME?</v>
      </c>
      <c r="O37" s="7" t="e">
        <v>#NULL!</v>
      </c>
      <c r="P37" s="7" t="e">
        <v>#NUM!</v>
      </c>
      <c r="Q37" s="7" t="e">
        <v>#REF!</v>
      </c>
      <c r="R37" s="4">
        <f>FORECAST(32,C37:E37,D37:F37)</f>
        <v>31.900000000000006</v>
      </c>
      <c r="S37" s="4">
        <f t="shared" ref="S37:AC37" si="35">FORECAST(I37,D37:F37,E37:G37)</f>
        <v>-20.523076923076921</v>
      </c>
      <c r="T37" s="4">
        <f t="shared" si="35"/>
        <v>2.500000000000005E-2</v>
      </c>
      <c r="U37" s="4" t="e">
        <f t="shared" si="35"/>
        <v>#VALUE!</v>
      </c>
      <c r="V37" s="4" t="e">
        <f t="shared" si="35"/>
        <v>#N/A</v>
      </c>
      <c r="W37" s="4" t="e">
        <f t="shared" si="35"/>
        <v>#DIV/0!</v>
      </c>
      <c r="X37" s="4" t="e">
        <f t="shared" si="35"/>
        <v>#NAME?</v>
      </c>
      <c r="Y37" s="4" t="e">
        <f t="shared" si="35"/>
        <v>#NULL!</v>
      </c>
      <c r="Z37" s="4" t="e">
        <f>FORECAST(P37,K37:M37,L37:N37)</f>
        <v>#NUM!</v>
      </c>
      <c r="AA37" s="4" t="e">
        <f t="shared" si="35"/>
        <v>#REF!</v>
      </c>
      <c r="AB37" s="4" t="e">
        <f t="shared" si="35"/>
        <v>#DIV/0!</v>
      </c>
      <c r="AC37" s="4" t="e">
        <f t="shared" si="35"/>
        <v>#NAME?</v>
      </c>
      <c r="AD37" s="4" t="e">
        <f>FORECAST(T37,I37:K37,N37:P37)</f>
        <v>#NAME?</v>
      </c>
      <c r="AE37" s="4" t="e">
        <f>FORECAST(U37,P37:R37,Q37:S37)</f>
        <v>#VALUE!</v>
      </c>
      <c r="AF37" s="4" t="e">
        <f>FORECAST(V37,Q37:S37,R37:T37)</f>
        <v>#N/A</v>
      </c>
      <c r="AG37" s="4">
        <f t="array" ref="AG37">FORECAST(C37:Q37,{1,7,3,0}, {7,2,9,4})</f>
        <v>5.1206896551724137</v>
      </c>
      <c r="AH37" s="4">
        <f t="array" ref="AH37:AW37">FORECAST(C37:Q37,{1,7,3,0}, {7,2,9,4})</f>
        <v>5.1206896551724137</v>
      </c>
      <c r="AI37" s="4">
        <v>5.0775862068965516</v>
      </c>
      <c r="AJ37" s="4">
        <v>5.0344827586206895</v>
      </c>
      <c r="AK37" s="4">
        <v>4.9913793103448274</v>
      </c>
      <c r="AL37" s="4">
        <v>5.1637931034482758</v>
      </c>
      <c r="AM37" s="4">
        <v>5.1206896551724137</v>
      </c>
      <c r="AN37" s="4">
        <v>-20.741379310344826</v>
      </c>
      <c r="AO37" s="4">
        <v>4.6896551724137927</v>
      </c>
      <c r="AP37" s="4" t="e">
        <v>#VALUE!</v>
      </c>
      <c r="AQ37" s="4" t="e">
        <v>#N/A</v>
      </c>
      <c r="AR37" s="4" t="e">
        <v>#DIV/0!</v>
      </c>
      <c r="AS37" s="4" t="e">
        <v>#NAME?</v>
      </c>
      <c r="AT37" s="4" t="e">
        <v>#NULL!</v>
      </c>
      <c r="AU37" s="4" t="e">
        <v>#NUM!</v>
      </c>
      <c r="AV37" s="4" t="e">
        <v>#REF!</v>
      </c>
      <c r="AW37" s="4" t="e">
        <v>#N/A</v>
      </c>
    </row>
    <row r="38" spans="1:49" x14ac:dyDescent="0.15">
      <c r="A38" s="35" t="s">
        <v>134</v>
      </c>
      <c r="B38" s="36" t="s">
        <v>541</v>
      </c>
      <c r="C38" s="4">
        <v>10</v>
      </c>
      <c r="D38" s="4">
        <v>0.1</v>
      </c>
      <c r="E38" s="4">
        <v>0.7</v>
      </c>
      <c r="F38" s="4">
        <v>100</v>
      </c>
      <c r="G38" s="4">
        <v>-1</v>
      </c>
      <c r="H38" s="6"/>
      <c r="I38" s="16" t="s">
        <v>444</v>
      </c>
      <c r="J38" s="6" t="b">
        <v>1</v>
      </c>
      <c r="K38" s="6" t="e">
        <v>#VALUE!</v>
      </c>
      <c r="L38" s="6" t="e">
        <v>#N/A</v>
      </c>
      <c r="M38" s="7" t="e">
        <v>#DIV/0!</v>
      </c>
      <c r="N38" s="7" t="e">
        <v>#NAME?</v>
      </c>
      <c r="O38" s="7" t="e">
        <v>#NULL!</v>
      </c>
      <c r="P38" s="7" t="e">
        <v>#NUM!</v>
      </c>
      <c r="Q38" s="7" t="e">
        <v>#REF!</v>
      </c>
      <c r="R38" s="74">
        <f>_xlfn.FORECAST.ETS(C38,{3,3,1,2,3,2,1,3,2,1},{3,7,5,6,7,8,1,3,4,9},4)</f>
        <v>2</v>
      </c>
      <c r="S38" s="4">
        <f>_xlfn.FORECAST.ETS(D38,{3,3,1,2,3,2,1,3,2,1},{3,7,5,6,7,8,1,3,4,9},4,1,4)</f>
        <v>9.9999999999999645E-2</v>
      </c>
      <c r="T38" s="4">
        <f>_xlfn.FORECAST.ETS(E38,{3,3,1,2,3,2,1,3,2,1},{3,7,5,6,7,8,1,3,4,9},4,1)</f>
        <v>0.69999999999999929</v>
      </c>
      <c r="U38" s="4">
        <f>_xlfn.FORECAST.ETS(F38,{3,3,1,2,3,2,1,3,2,1},{3,7,5,6,7,8,1,3,4,9},4,1)</f>
        <v>2</v>
      </c>
      <c r="V38" s="4" t="e">
        <f>_xlfn.FORECAST.ETS(G38,{3,3,1,2,3,2,1,3,2,1},{3,7,5,6,7,8,1,3,4,9},4,1)</f>
        <v>#NUM!</v>
      </c>
      <c r="W38" s="4" t="e">
        <f>_xlfn.FORECAST.ETS(H38,{3,3,1,2,3,2,1,3,2,1},{3,7,5,6,7,8,1,3,4,9},4,1)</f>
        <v>#NUM!</v>
      </c>
      <c r="X38" s="4">
        <f>_xlfn.FORECAST.ETS(I38,{3,3,1,2,3,2,1,3,2,1},{3,7,5,6,7,8,1,3,4,9},4,1)</f>
        <v>2</v>
      </c>
      <c r="Y38" s="4">
        <f>_xlfn.FORECAST.ETS(J38,{3,3,1,2,3,2,1,3,2,1},{3,7,5,6,7,8,1,3,4,9},4,1)</f>
        <v>1</v>
      </c>
      <c r="Z38" s="4" t="e">
        <f>_xlfn.FORECAST.ETS(K38,{3,3,1,2,3,2,1,3,2,1},{3,7,5,6,7,8,1,3,4,9},4,1)</f>
        <v>#VALUE!</v>
      </c>
      <c r="AA38" s="4" t="e">
        <f>_xlfn.FORECAST.ETS(L38,{3,3,1,2,3,2,1,3,2,1},{3,7,5,6,7,8,1,3,4,9},4,1)</f>
        <v>#N/A</v>
      </c>
      <c r="AB38" s="4" t="e">
        <f>_xlfn.FORECAST.ETS(M38,{3,3,1,2,3,2,1,3,2,1},{3,7,5,6,7,8,1,3,4,9},4,1)</f>
        <v>#DIV/0!</v>
      </c>
      <c r="AC38" s="4" t="e">
        <f>_xlfn.FORECAST.ETS(N38,{3,3,1,2,3,2,1,3,2,1},{3,7,5,6,7,8,1,3,4,9},4,1)</f>
        <v>#NAME?</v>
      </c>
      <c r="AD38" s="4" t="e">
        <f>_xlfn.FORECAST.ETS(O38,{3,3,1,2,3,2,1,3,2,1},{3,7,5,6,7,8,1,3,4,9},4,1)</f>
        <v>#NULL!</v>
      </c>
      <c r="AE38" s="4" t="e">
        <f>_xlfn.FORECAST.ETS(P38,{3,3,1,2,3,2,1,3,2,1},{3,7,5,6,7,8,1,3,4,9},4,1)</f>
        <v>#NUM!</v>
      </c>
      <c r="AF38" s="4" t="e">
        <f>_xlfn.FORECAST.ETS(Q38,{3,3,1,2,3,2,1,3,2,1},{3,7,5,6,7,8,1,3,4,9},4,1)</f>
        <v>#REF!</v>
      </c>
      <c r="AG38" s="4">
        <f t="array" ref="AG38">_xlfn.FORECAST.ETS(C38:Q38,{3,3,1,2,3,2,1,3,2,1},{3,7,5,6,7,8,1,3,4,9},4,1,)</f>
        <v>2</v>
      </c>
      <c r="AH38" s="4">
        <f t="array" ref="AH38:AW38">_xlfn.FORECAST.ETS(C38:Q38,{3,3,1,2,3,2,1,3,2,1},{3,7,5,6,7,8,1,3,4,9},4,1,)</f>
        <v>2</v>
      </c>
      <c r="AI38" s="4">
        <v>9.9999999999999645E-2</v>
      </c>
      <c r="AJ38" s="4">
        <v>0.69999999999999929</v>
      </c>
      <c r="AK38" s="4">
        <v>2</v>
      </c>
      <c r="AL38" s="4" t="e">
        <v>#NUM!</v>
      </c>
      <c r="AM38" s="4" t="e">
        <v>#NUM!</v>
      </c>
      <c r="AN38" s="4">
        <v>2</v>
      </c>
      <c r="AO38" s="4">
        <v>1</v>
      </c>
      <c r="AP38" s="4" t="e">
        <v>#VALUE!</v>
      </c>
      <c r="AQ38" s="4" t="e">
        <v>#N/A</v>
      </c>
      <c r="AR38" s="4" t="e">
        <v>#DIV/0!</v>
      </c>
      <c r="AS38" s="4" t="e">
        <v>#NAME?</v>
      </c>
      <c r="AT38" s="4" t="e">
        <v>#NULL!</v>
      </c>
      <c r="AU38" s="4" t="e">
        <v>#NUM!</v>
      </c>
      <c r="AV38" s="4" t="e">
        <v>#REF!</v>
      </c>
      <c r="AW38" s="4" t="e">
        <v>#N/A</v>
      </c>
    </row>
    <row r="39" spans="1:49" x14ac:dyDescent="0.15">
      <c r="A39" s="35" t="s">
        <v>135</v>
      </c>
      <c r="B39" s="36" t="s">
        <v>541</v>
      </c>
      <c r="C39" s="4">
        <v>10</v>
      </c>
      <c r="D39" s="4">
        <v>0.1</v>
      </c>
      <c r="E39" s="4">
        <v>0.7</v>
      </c>
      <c r="F39" s="4">
        <v>100</v>
      </c>
      <c r="G39" s="4">
        <v>-1</v>
      </c>
      <c r="H39" s="6"/>
      <c r="I39" s="16" t="s">
        <v>444</v>
      </c>
      <c r="J39" s="6" t="b">
        <v>1</v>
      </c>
      <c r="K39" s="6" t="e">
        <v>#VALUE!</v>
      </c>
      <c r="L39" s="6" t="e">
        <v>#N/A</v>
      </c>
      <c r="M39" s="7" t="e">
        <v>#DIV/0!</v>
      </c>
      <c r="N39" s="7" t="e">
        <v>#NAME?</v>
      </c>
      <c r="O39" s="7" t="e">
        <v>#NULL!</v>
      </c>
      <c r="P39" s="7" t="e">
        <v>#NUM!</v>
      </c>
      <c r="Q39" s="7" t="e">
        <v>#REF!</v>
      </c>
      <c r="R39" s="4" t="e">
        <f>_xlfn.FORECAST.ETS.CONFINT(50,{3,3,1,2,3,2,1,3,2,1},{3,7,5,6,7,8,1,3,4,9},C39,4,1,)</f>
        <v>#NUM!</v>
      </c>
      <c r="S39" s="4">
        <f>_xlfn.FORECAST.ETS.CONFINT(50,{3,3,1,2,3,2,1,3,2,1},{3,7,5,6,7,8,1,3,4,9},D39,4,1,)</f>
        <v>0</v>
      </c>
      <c r="T39" s="4">
        <f>_xlfn.FORECAST.ETS.CONFINT(50,{3,3,1,2,3,2,1,3,2,1},{3,7,5,6,7,8,1,3,4,9},E39,4,1,)</f>
        <v>0</v>
      </c>
      <c r="U39" s="4" t="e">
        <f>_xlfn.FORECAST.ETS.CONFINT(50,{3,3,1,2,3,2,1,3,2,1},{3,7,5,6,7,8,1,3,4,9},F39,4,1,)</f>
        <v>#NUM!</v>
      </c>
      <c r="V39" s="4" t="e">
        <f>_xlfn.FORECAST.ETS.CONFINT(50,{3,3,1,2,3,2,1,3,2,1},{3,7,5,6,7,8,1,3,4,9},G39,4,1,)</f>
        <v>#NUM!</v>
      </c>
      <c r="W39" s="4">
        <f>_xlfn.FORECAST.ETS.CONFINT(50,{3,3,1,2,3,2,1,3,2,1},{3,7,5,6,7,8,1,3,4,9},H39,4,1,)</f>
        <v>0</v>
      </c>
      <c r="X39" s="4" t="e">
        <f>_xlfn.FORECAST.ETS.CONFINT(50,{3,3,1,2,3,2,1,3,2,1},{3,7,5,6,7,8,1,3,4,9},I39,4,1,)</f>
        <v>#NUM!</v>
      </c>
      <c r="Y39" s="4" t="e">
        <f>_xlfn.FORECAST.ETS.CONFINT(50,{3,3,1,2,3,2,1,3,2,1},{3,7,5,6,7,8,1,3,4,9},J39,4,1,)</f>
        <v>#NUM!</v>
      </c>
      <c r="Z39" s="4" t="e">
        <f>_xlfn.FORECAST.ETS.CONFINT(50,{3,3,1,2,3,2,1,3,2,1},{3,7,5,6,7,8,1,3,4,9},K39,4,1,)</f>
        <v>#VALUE!</v>
      </c>
      <c r="AA39" s="4" t="e">
        <f>_xlfn.FORECAST.ETS.CONFINT(50,{3,3,1,2,3,2,1,3,2,1},{3,7,5,6,7,8,1,3,4,9},L39,4,1,)</f>
        <v>#N/A</v>
      </c>
      <c r="AB39" s="4" t="e">
        <f>_xlfn.FORECAST.ETS.CONFINT(50,{3,3,1,2,3,2,1,3,2,1},{3,7,5,6,7,8,1,3,4,9},M39,4,1,)</f>
        <v>#DIV/0!</v>
      </c>
      <c r="AC39" s="4" t="e">
        <f>_xlfn.FORECAST.ETS.CONFINT(50,{3,3,1,2,3,2,1,3,2,1},{3,7,5,6,7,8,1,3,4,9},N39,4,1,)</f>
        <v>#NAME?</v>
      </c>
      <c r="AD39" s="4" t="e">
        <f>_xlfn.FORECAST.ETS.CONFINT(50,{3,3,1,2,3,2,1,3,2,1},{3,7,5,6,7,8,1,3,4,9},O39,4,1,)</f>
        <v>#NULL!</v>
      </c>
      <c r="AE39" s="4" t="e">
        <f>_xlfn.FORECAST.ETS.CONFINT(50,{3,3,1,2,3,2,1,3,2,1},{3,7,5,6,7,8,1,3,4,9},P39,4,1,)</f>
        <v>#NUM!</v>
      </c>
      <c r="AF39" s="4" t="e">
        <f>_xlfn.FORECAST.ETS.CONFINT(50,{3,3,1,2,3,2,1,3,2,1},{3,7,5,6,7,8,1,3,4,9},Q39,4,1,)</f>
        <v>#REF!</v>
      </c>
      <c r="AG39" s="4" t="e">
        <f t="array" ref="AG39">_xlfn.FORECAST.ETS.CONFINT(50,{3,3,1,2,3,2,1,3,2,1},{3,7,5,6,7,8,1,3,4,9},C39:Q39,4,1,)</f>
        <v>#NUM!</v>
      </c>
      <c r="AH39" s="4" t="e">
        <f t="array" ref="AH39:AW39">_xlfn.FORECAST.ETS.CONFINT(50,{3,3,1,2,3,2,1,3,2,1},{3,7,5,6,7,8,1,3,4,9},C39:Q39,4,1,)</f>
        <v>#NUM!</v>
      </c>
      <c r="AI39" s="4">
        <v>0</v>
      </c>
      <c r="AJ39" s="4">
        <v>0</v>
      </c>
      <c r="AK39" s="4" t="e">
        <v>#NUM!</v>
      </c>
      <c r="AL39" s="4" t="e">
        <v>#NUM!</v>
      </c>
      <c r="AM39" s="4">
        <v>0</v>
      </c>
      <c r="AN39" s="4" t="e">
        <v>#NUM!</v>
      </c>
      <c r="AO39" s="4" t="e">
        <v>#NUM!</v>
      </c>
      <c r="AP39" s="4" t="e">
        <v>#VALUE!</v>
      </c>
      <c r="AQ39" s="4" t="e">
        <v>#N/A</v>
      </c>
      <c r="AR39" s="4" t="e">
        <v>#DIV/0!</v>
      </c>
      <c r="AS39" s="4" t="e">
        <v>#NAME?</v>
      </c>
      <c r="AT39" s="4" t="e">
        <v>#NULL!</v>
      </c>
      <c r="AU39" s="4" t="e">
        <v>#NUM!</v>
      </c>
      <c r="AV39" s="4" t="e">
        <v>#REF!</v>
      </c>
      <c r="AW39" s="4" t="e">
        <v>#N/A</v>
      </c>
    </row>
    <row r="40" spans="1:49" x14ac:dyDescent="0.15">
      <c r="A40" s="35" t="s">
        <v>136</v>
      </c>
      <c r="B40" s="36" t="s">
        <v>541</v>
      </c>
      <c r="C40" s="4">
        <v>1</v>
      </c>
      <c r="D40" s="4">
        <v>2</v>
      </c>
      <c r="E40" s="4">
        <v>3</v>
      </c>
      <c r="F40" s="4">
        <v>0</v>
      </c>
      <c r="G40" s="4">
        <v>-1</v>
      </c>
      <c r="H40" s="6"/>
      <c r="I40" s="16" t="s">
        <v>444</v>
      </c>
      <c r="J40" s="6" t="b">
        <v>1</v>
      </c>
      <c r="K40" s="6" t="e">
        <v>#VALUE!</v>
      </c>
      <c r="L40" s="6" t="e">
        <v>#N/A</v>
      </c>
      <c r="M40" s="7" t="e">
        <v>#DIV/0!</v>
      </c>
      <c r="N40" s="7" t="e">
        <v>#NAME?</v>
      </c>
      <c r="O40" s="7" t="e">
        <v>#NULL!</v>
      </c>
      <c r="P40" s="7" t="e">
        <v>#NUM!</v>
      </c>
      <c r="Q40" s="7" t="e">
        <v>#REF!</v>
      </c>
      <c r="R40" s="4">
        <f>_xlfn.FORECAST.ETS.SEASONALITY({3,3,1,2,3,2,1,3,2,1},{3,7,5,6,7,8,1,3,4,9},C40)</f>
        <v>0</v>
      </c>
      <c r="S40" s="4" t="e">
        <f>_xlfn.FORECAST.ETS.SEASONALITY({3,3,1,2,3,2,1,3,2,1},{3,7,5,6,7,8,1,3,4,9},D40)</f>
        <v>#NUM!</v>
      </c>
      <c r="T40" s="4" t="e">
        <f>_xlfn.FORECAST.ETS.SEASONALITY({3,3,1,2,3,2,1,3,2,1},{3,7,5,6,7,8,1,3,4,9},E40)</f>
        <v>#NUM!</v>
      </c>
      <c r="U40" s="4">
        <f>_xlfn.FORECAST.ETS.SEASONALITY({3,3,1,2,3,2,1,3,2,1},{3,7,5,6,7,8,1,3,4,9},F40)</f>
        <v>0</v>
      </c>
      <c r="V40" s="4" t="e">
        <f>_xlfn.FORECAST.ETS.SEASONALITY({3,3,1,2,3,2,1,3,2,1},{3,7,5,6,7,8,1,3,4,9},G40)</f>
        <v>#NUM!</v>
      </c>
      <c r="W40" s="4">
        <f>_xlfn.FORECAST.ETS.SEASONALITY({3,3,1,2,3,2,1,3,2,1},{3,7,5,6,7,8,1,3,4,9},H40)</f>
        <v>0</v>
      </c>
      <c r="X40" s="4" t="e">
        <f>_xlfn.FORECAST.ETS.SEASONALITY({3,3,1,2,3,2,1,3,2,1},{3,7,5,6,7,8,1,3,4,9},I40)</f>
        <v>#NUM!</v>
      </c>
      <c r="Y40" s="4">
        <f>_xlfn.FORECAST.ETS.SEASONALITY({3,3,1,2,3,2,1,3,2,1},{3,7,5,6,7,8,1,3,4,9},J40)</f>
        <v>0</v>
      </c>
      <c r="Z40" s="4" t="e">
        <f>_xlfn.FORECAST.ETS.SEASONALITY({3,3,1,2,3,2,1,3,2,1},{3,7,5,6,7,8,1,3,4,9},K40)</f>
        <v>#VALUE!</v>
      </c>
      <c r="AA40" s="4" t="e">
        <f>_xlfn.FORECAST.ETS.SEASONALITY({3,3,1,2,3,2,1,3,2,1},{3,7,5,6,7,8,1,3,4,9},L40)</f>
        <v>#N/A</v>
      </c>
      <c r="AB40" s="4" t="e">
        <f>_xlfn.FORECAST.ETS.SEASONALITY({3,3,1,2,3,2,1,3,2,1},{3,7,5,6,7,8,1,3,4,9},M40)</f>
        <v>#DIV/0!</v>
      </c>
      <c r="AC40" s="4" t="e">
        <f>_xlfn.FORECAST.ETS.SEASONALITY({3,3,1,2,3,2,1,3,2,1},{3,7,5,6,7,8,1,3,4,9},N40)</f>
        <v>#NAME?</v>
      </c>
      <c r="AD40" s="4" t="e">
        <f>_xlfn.FORECAST.ETS.SEASONALITY({3,3,1,2,3,2,1,3,2,1},{3,7,5,6,7,8,1,3,4,9},O40)</f>
        <v>#NULL!</v>
      </c>
      <c r="AE40" s="4" t="e">
        <f>_xlfn.FORECAST.ETS.SEASONALITY({3,3,1,2,3,2,1,3,2,1},{3,7,5,6,7,8,1,3,4,9},P40)</f>
        <v>#NUM!</v>
      </c>
      <c r="AF40" s="4" t="e">
        <f>_xlfn.FORECAST.ETS.SEASONALITY({3,3,1,2,3,2,1,3,2,1},{3,7,5,6,7,8,1,3,4,9},Q40)</f>
        <v>#REF!</v>
      </c>
      <c r="AG40" s="4">
        <f t="array" ref="AG40">_xlfn.FORECAST.ETS.SEASONALITY({3,3,1,2,3,2,1,3,2,1},{3,7,5,6,7,8,1,3,4,9},C40:Q40)</f>
        <v>0</v>
      </c>
      <c r="AH40" s="4">
        <f t="array" ref="AH40:AW40">_xlfn.FORECAST.ETS.SEASONALITY({3,3,1,2,3,2,1,3,2,1},{3,7,5,6,7,8,1,3,4,9},C40:Q40)</f>
        <v>0</v>
      </c>
      <c r="AI40" s="4" t="e">
        <v>#NUM!</v>
      </c>
      <c r="AJ40" s="4" t="e">
        <v>#NUM!</v>
      </c>
      <c r="AK40" s="4">
        <v>0</v>
      </c>
      <c r="AL40" s="4" t="e">
        <v>#NUM!</v>
      </c>
      <c r="AM40" s="4">
        <v>0</v>
      </c>
      <c r="AN40" s="4" t="e">
        <v>#NUM!</v>
      </c>
      <c r="AO40" s="4">
        <v>0</v>
      </c>
      <c r="AP40" s="4" t="e">
        <v>#VALUE!</v>
      </c>
      <c r="AQ40" s="4" t="e">
        <v>#N/A</v>
      </c>
      <c r="AR40" s="4" t="e">
        <v>#DIV/0!</v>
      </c>
      <c r="AS40" s="4" t="e">
        <v>#NAME?</v>
      </c>
      <c r="AT40" s="4" t="e">
        <v>#NULL!</v>
      </c>
      <c r="AU40" s="4" t="e">
        <v>#NUM!</v>
      </c>
      <c r="AV40" s="4" t="e">
        <v>#REF!</v>
      </c>
      <c r="AW40" s="4" t="e">
        <v>#N/A</v>
      </c>
    </row>
    <row r="41" spans="1:49" x14ac:dyDescent="0.15">
      <c r="A41" s="35" t="s">
        <v>137</v>
      </c>
      <c r="B41" s="36" t="s">
        <v>541</v>
      </c>
      <c r="C41" s="4">
        <v>4</v>
      </c>
      <c r="D41" s="4">
        <v>5</v>
      </c>
      <c r="E41" s="4">
        <v>6</v>
      </c>
      <c r="F41" s="4">
        <v>7</v>
      </c>
      <c r="G41" s="4">
        <v>8</v>
      </c>
      <c r="H41" s="6"/>
      <c r="I41" s="16" t="s">
        <v>444</v>
      </c>
      <c r="J41" s="6" t="b">
        <v>0</v>
      </c>
      <c r="K41" s="6" t="e">
        <v>#VALUE!</v>
      </c>
      <c r="L41" s="6" t="e">
        <v>#N/A</v>
      </c>
      <c r="M41" s="7" t="e">
        <v>#DIV/0!</v>
      </c>
      <c r="N41" s="7" t="e">
        <v>#NAME?</v>
      </c>
      <c r="O41" s="7" t="e">
        <v>#NULL!</v>
      </c>
      <c r="P41" s="7" t="e">
        <v>#NUM!</v>
      </c>
      <c r="Q41" s="7" t="e">
        <v>#REF!</v>
      </c>
      <c r="R41" s="4">
        <f>_xlfn.FORECAST.ETS.STAT({3,3,1,2,3,2,1,3,2,1},{3,7,5,6,7,8,1,3,4,9},C41,4,1,)</f>
        <v>0</v>
      </c>
      <c r="S41" s="4">
        <f>_xlfn.FORECAST.ETS.STAT({3,3,1,2,3,2,1,3,2,1},{3,7,5,6,7,8,1,3,4,9},D41,4,1,)</f>
        <v>0</v>
      </c>
      <c r="T41" s="4">
        <f>_xlfn.FORECAST.ETS.STAT({3,3,1,2,3,2,1,3,2,1},{3,7,5,6,7,8,1,3,4,9},E41,4,1,)</f>
        <v>0</v>
      </c>
      <c r="U41" s="4">
        <f>_xlfn.FORECAST.ETS.STAT({3,3,1,2,3,2,1,3,2,1},{3,7,5,6,7,8,1,3,4,9},F41,4,1,)</f>
        <v>0</v>
      </c>
      <c r="V41" s="4">
        <f>_xlfn.FORECAST.ETS.STAT({3,3,1,2,3,2,1,3,2,1},{3,7,5,6,7,8,1,3,4,9},G41,4,1,)</f>
        <v>1</v>
      </c>
      <c r="W41" s="4" t="e">
        <f>_xlfn.FORECAST.ETS.STAT({3,3,1,2,3,2,1,3,2,1},{3,7,5,6,7,8,1,3,4,9},H41,4,1,)</f>
        <v>#NUM!</v>
      </c>
      <c r="X41" s="4" t="e">
        <f>_xlfn.FORECAST.ETS.STAT({3,3,1,2,3,2,1,3,2,1},{3,7,5,6,7,8,1,3,4,9},I41,4,1,)</f>
        <v>#NUM!</v>
      </c>
      <c r="Y41" s="4" t="e">
        <f>_xlfn.FORECAST.ETS.STAT({3,3,1,2,3,2,1,3,2,1},{3,7,5,6,7,8,1,3,4,9},J41,4,1,)</f>
        <v>#NUM!</v>
      </c>
      <c r="Z41" s="4" t="e">
        <f>_xlfn.FORECAST.ETS.STAT({3,3,1,2,3,2,1,3,2,1},{3,7,5,6,7,8,1,3,4,9},K41,4,1,)</f>
        <v>#VALUE!</v>
      </c>
      <c r="AA41" s="4" t="e">
        <f>_xlfn.FORECAST.ETS.STAT({3,3,1,2,3,2,1,3,2,1},{3,7,5,6,7,8,1,3,4,9},L41,4,1,)</f>
        <v>#N/A</v>
      </c>
      <c r="AB41" s="4" t="e">
        <f>_xlfn.FORECAST.ETS.STAT({3,3,1,2,3,2,1,3,2,1},{3,7,5,6,7,8,1,3,4,9},M41,4,1,)</f>
        <v>#DIV/0!</v>
      </c>
      <c r="AC41" s="4" t="e">
        <f>_xlfn.FORECAST.ETS.STAT({3,3,1,2,3,2,1,3,2,1},{3,7,5,6,7,8,1,3,4,9},N41,4,1,)</f>
        <v>#NAME?</v>
      </c>
      <c r="AD41" s="4" t="e">
        <f>_xlfn.FORECAST.ETS.STAT({3,3,1,2,3,2,1,3,2,1},{3,7,5,6,7,8,1,3,4,9},O41,4,1,)</f>
        <v>#NULL!</v>
      </c>
      <c r="AE41" s="4" t="e">
        <f>_xlfn.FORECAST.ETS.STAT({3,3,1,2,3,2,1,3,2,1},{3,7,5,6,7,8,1,3,4,9},P41,4,1,)</f>
        <v>#NUM!</v>
      </c>
      <c r="AF41" s="4" t="e">
        <f>_xlfn.FORECAST.ETS.STAT({3,3,1,2,3,2,1,3,2,1},{3,7,5,6,7,8,1,3,4,9},Q41,4,1,)</f>
        <v>#REF!</v>
      </c>
      <c r="AG41" s="4">
        <f t="array" ref="AG41">_xlfn.FORECAST.ETS.STAT({3,3,1,2,3,2,1,3,2,1},{3,7,5,6,7,8,1,3,4,9},C41:Q41,4,1,)</f>
        <v>0</v>
      </c>
      <c r="AH41" s="4">
        <f t="array" ref="AH41:AW41">_xlfn.FORECAST.ETS.STAT({3,3,1,2,3,2,1,3,2,1},{3,7,5,6,7,8,1,3,4,9},C41:Q41,4,1,)</f>
        <v>0</v>
      </c>
      <c r="AI41" s="4">
        <v>0</v>
      </c>
      <c r="AJ41" s="4">
        <v>0</v>
      </c>
      <c r="AK41" s="4">
        <v>0</v>
      </c>
      <c r="AL41" s="4">
        <v>1</v>
      </c>
      <c r="AM41" s="4" t="e">
        <v>#NUM!</v>
      </c>
      <c r="AN41" s="4" t="e">
        <v>#NUM!</v>
      </c>
      <c r="AO41" s="4" t="e">
        <v>#NUM!</v>
      </c>
      <c r="AP41" s="4" t="e">
        <v>#VALUE!</v>
      </c>
      <c r="AQ41" s="4" t="e">
        <v>#N/A</v>
      </c>
      <c r="AR41" s="4" t="e">
        <v>#DIV/0!</v>
      </c>
      <c r="AS41" s="4" t="e">
        <v>#NAME?</v>
      </c>
      <c r="AT41" s="4" t="e">
        <v>#NULL!</v>
      </c>
      <c r="AU41" s="4" t="e">
        <v>#NUM!</v>
      </c>
      <c r="AV41" s="4" t="e">
        <v>#REF!</v>
      </c>
      <c r="AW41" s="4" t="e">
        <v>#N/A</v>
      </c>
    </row>
    <row r="42" spans="1:49" x14ac:dyDescent="0.15">
      <c r="A42" s="35" t="s">
        <v>138</v>
      </c>
      <c r="B42" s="36" t="s">
        <v>541</v>
      </c>
      <c r="C42" s="4">
        <v>0</v>
      </c>
      <c r="D42" s="4">
        <v>0.1</v>
      </c>
      <c r="E42" s="4">
        <v>0.2</v>
      </c>
      <c r="F42" s="4">
        <v>0.3</v>
      </c>
      <c r="G42" s="4">
        <v>-0.1</v>
      </c>
      <c r="H42" s="6"/>
      <c r="I42" s="16" t="s">
        <v>444</v>
      </c>
      <c r="J42" s="6" t="b">
        <v>1</v>
      </c>
      <c r="K42" s="6" t="e">
        <v>#VALUE!</v>
      </c>
      <c r="L42" s="6" t="e">
        <v>#N/A</v>
      </c>
      <c r="M42" s="7" t="e">
        <v>#DIV/0!</v>
      </c>
      <c r="N42" s="7" t="e">
        <v>#NAME?</v>
      </c>
      <c r="O42" s="7" t="e">
        <v>#NULL!</v>
      </c>
      <c r="P42" s="7" t="e">
        <v>#NUM!</v>
      </c>
      <c r="Q42" s="7" t="e">
        <v>#REF!</v>
      </c>
      <c r="R42" s="4">
        <f>_xlfn.FORECAST.LINEAR(D42,{1,7,3,0}, {7,2,9,4})</f>
        <v>5.0775862068965516</v>
      </c>
      <c r="S42" s="4">
        <f>_xlfn.FORECAST.LINEAR(E42,{1,7,3,0}, {7,2,9,4})</f>
        <v>5.0344827586206895</v>
      </c>
      <c r="T42" s="4">
        <f>_xlfn.FORECAST.LINEAR(F42,{1,7,3,0}, {7,2,9,4})</f>
        <v>4.9913793103448274</v>
      </c>
      <c r="U42" s="4">
        <f>_xlfn.FORECAST.LINEAR(G42,{1,7,3,0}, {7,2,9,4})</f>
        <v>5.1637931034482758</v>
      </c>
      <c r="V42" s="4" t="e">
        <f>_xlfn.FORECAST.LINEAR(I37,F41, H41)</f>
        <v>#VALUE!</v>
      </c>
      <c r="W42" s="4">
        <f>_xlfn.FORECAST.LINEAR(I42,{1,7,3,0}, {7,2,9,4})</f>
        <v>-20.741379310344826</v>
      </c>
      <c r="X42" s="4">
        <f>_xlfn.FORECAST.LINEAR(J42,{1,7,3,0}, {7,2,9,4})</f>
        <v>4.6896551724137927</v>
      </c>
      <c r="Y42" s="4" t="e">
        <f>_xlfn.FORECAST.LINEAR(I37,H41:H42, H41:H42)</f>
        <v>#DIV/0!</v>
      </c>
      <c r="Z42" s="4" t="e">
        <f>_xlfn.FORECAST.LINEAR(L42,{1,7,3,0}, {7,2,9,4})</f>
        <v>#N/A</v>
      </c>
      <c r="AA42" s="4" t="e">
        <f>_xlfn.FORECAST.LINEAR(M42,{1,7,3,0}, {7,2,9,4})</f>
        <v>#DIV/0!</v>
      </c>
      <c r="AB42" s="4" t="e">
        <f>_xlfn.FORECAST.LINEAR(N42,H42, D42:E42)</f>
        <v>#NAME?</v>
      </c>
      <c r="AC42" s="4" t="e">
        <f>_xlfn.FORECAST.LINEAR(O42,{1,7,3,0}, {7,2,9,4})</f>
        <v>#NULL!</v>
      </c>
      <c r="AD42" s="4" t="e">
        <f>_xlfn.FORECAST.LINEAR(P42,{1,7,3,0}, {7,2,9,4})</f>
        <v>#NUM!</v>
      </c>
      <c r="AE42" s="4" t="e">
        <f>_xlfn.FORECAST.LINEAR(Q42,{1,7,3,0}, {7,2,9,4})</f>
        <v>#REF!</v>
      </c>
      <c r="AF42" s="4">
        <f>_xlfn.FORECAST.LINEAR(R42,{1,7,3,0}, {7,2,9,4})</f>
        <v>2.932074910820452</v>
      </c>
      <c r="AG42" s="4">
        <f t="array" ref="AG42">_xlfn.FORECAST.LINEAR(C42:Q42,{1,7,3,0}, {7,2,9,4})</f>
        <v>5.1206896551724137</v>
      </c>
      <c r="AH42" s="4">
        <f t="array" ref="AH42:AW42">_xlfn.FORECAST.LINEAR(C42:Q42,{1,7,3,0}, {7,2,9,4})</f>
        <v>5.1206896551724137</v>
      </c>
      <c r="AI42" s="4">
        <v>5.0775862068965516</v>
      </c>
      <c r="AJ42" s="4">
        <v>5.0344827586206895</v>
      </c>
      <c r="AK42" s="4">
        <v>4.9913793103448274</v>
      </c>
      <c r="AL42" s="4">
        <v>5.1637931034482758</v>
      </c>
      <c r="AM42" s="4">
        <v>5.1206896551724137</v>
      </c>
      <c r="AN42" s="4">
        <v>-20.741379310344826</v>
      </c>
      <c r="AO42" s="4">
        <v>4.6896551724137927</v>
      </c>
      <c r="AP42" s="4" t="e">
        <v>#VALUE!</v>
      </c>
      <c r="AQ42" s="4" t="e">
        <v>#N/A</v>
      </c>
      <c r="AR42" s="4" t="e">
        <v>#DIV/0!</v>
      </c>
      <c r="AS42" s="4" t="e">
        <v>#NAME?</v>
      </c>
      <c r="AT42" s="4" t="e">
        <v>#NULL!</v>
      </c>
      <c r="AU42" s="4" t="e">
        <v>#NUM!</v>
      </c>
      <c r="AV42" s="4" t="e">
        <v>#REF!</v>
      </c>
      <c r="AW42" s="4" t="e">
        <v>#N/A</v>
      </c>
    </row>
    <row r="43" spans="1:49" x14ac:dyDescent="0.15">
      <c r="A43" s="35" t="s">
        <v>139</v>
      </c>
      <c r="B43" s="36" t="s">
        <v>541</v>
      </c>
      <c r="C43" s="4">
        <v>1</v>
      </c>
      <c r="D43" s="4">
        <v>2</v>
      </c>
      <c r="E43" s="4">
        <v>3</v>
      </c>
      <c r="F43" s="4">
        <v>0</v>
      </c>
      <c r="G43" s="4">
        <v>-1</v>
      </c>
      <c r="H43" s="6"/>
      <c r="I43" s="16" t="s">
        <v>444</v>
      </c>
      <c r="J43" s="6" t="b">
        <v>1</v>
      </c>
      <c r="K43" s="6" t="e">
        <v>#VALUE!</v>
      </c>
      <c r="L43" s="6" t="e">
        <v>#N/A</v>
      </c>
      <c r="M43" s="7" t="e">
        <v>#DIV/0!</v>
      </c>
      <c r="N43" s="7" t="e">
        <v>#NAME?</v>
      </c>
      <c r="O43" s="7" t="e">
        <v>#NULL!</v>
      </c>
      <c r="P43" s="7" t="e">
        <v>#NUM!</v>
      </c>
      <c r="Q43" s="7" t="e">
        <v>#REF!</v>
      </c>
      <c r="R43" s="4">
        <f t="array" ref="R43">FREQUENCY(C43:G43,{1,3;5,3})</f>
        <v>3</v>
      </c>
      <c r="S43" s="4">
        <f t="array" ref="S43">FREQUENCY(D43:H43,{1,3;5,3})</f>
        <v>2</v>
      </c>
      <c r="T43" s="4">
        <f t="array" ref="T43">FREQUENCY(E43:I43,{1,3;5,3})</f>
        <v>2</v>
      </c>
      <c r="U43" s="4">
        <f t="array" ref="U43">FREQUENCY(F43:J43,{1,3;5,3})</f>
        <v>2</v>
      </c>
      <c r="V43" s="4" t="e" cm="1">
        <f t="array" ref="V43">FREQUENCY(G43:K43,{1,3;5,3})</f>
        <v>#VALUE!</v>
      </c>
      <c r="W43" s="4">
        <f t="array" ref="W43">FREQUENCY(C43:G43,H43)</f>
        <v>2</v>
      </c>
      <c r="X43" s="4">
        <f t="array" ref="X43">FREQUENCY(H43,{1,3;5,3})</f>
        <v>0</v>
      </c>
      <c r="Y43" s="4" t="e">
        <f t="array" ref="Y43">FREQUENCY(J43:N43,{1,3;5,3})</f>
        <v>#VALUE!</v>
      </c>
      <c r="Z43" s="4" t="e">
        <f t="array" ref="Z43">FREQUENCY(K43:O43,{1,3;5,3})</f>
        <v>#VALUE!</v>
      </c>
      <c r="AA43" s="4" t="e">
        <f t="array" ref="AA43">FREQUENCY(L43:P43,{1,3;5,3})</f>
        <v>#N/A</v>
      </c>
      <c r="AB43" s="4" t="e">
        <f t="array" ref="AB43">FREQUENCY(M43:Q43,{1,3;5,3})</f>
        <v>#DIV/0!</v>
      </c>
      <c r="AC43" s="4" t="e">
        <f t="array" ref="AC43">FREQUENCY(N43:R43,{1,3;5,3})</f>
        <v>#NAME?</v>
      </c>
      <c r="AD43" s="4" t="e">
        <f t="array" ref="AD43">FREQUENCY(O43:S43,{1,3;5,3})</f>
        <v>#NULL!</v>
      </c>
      <c r="AE43" s="4" t="e">
        <f t="array" ref="AE43">FREQUENCY(P43:T43,{1,3;5,3})</f>
        <v>#NUM!</v>
      </c>
      <c r="AF43" s="4" t="e">
        <f t="array" ref="AF43">FREQUENCY(Q43:U43,{1,3;5,3})</f>
        <v>#REF!</v>
      </c>
      <c r="AG43" s="4">
        <f t="array" ref="AG43">FREQUENCY(C43:G43,{1,3;5,3})</f>
        <v>3</v>
      </c>
      <c r="AH43" s="4">
        <f t="array" ref="AH43:AW43">FREQUENCY(D43:H43,{1,3;5,3})</f>
        <v>2</v>
      </c>
      <c r="AI43" s="4">
        <v>2</v>
      </c>
      <c r="AJ43" s="4">
        <v>2</v>
      </c>
      <c r="AK43" s="4">
        <v>2</v>
      </c>
      <c r="AL43" s="4">
        <v>2</v>
      </c>
      <c r="AM43" s="4">
        <v>2</v>
      </c>
      <c r="AN43" s="4">
        <v>2</v>
      </c>
      <c r="AO43" s="4">
        <v>2</v>
      </c>
      <c r="AP43" s="4">
        <v>2</v>
      </c>
      <c r="AQ43" s="4">
        <v>2</v>
      </c>
      <c r="AR43" s="4">
        <v>2</v>
      </c>
      <c r="AS43" s="4">
        <v>2</v>
      </c>
      <c r="AT43" s="4">
        <v>2</v>
      </c>
      <c r="AU43" s="4">
        <v>2</v>
      </c>
      <c r="AV43" s="4">
        <v>2</v>
      </c>
      <c r="AW43" s="4">
        <v>2</v>
      </c>
    </row>
    <row r="44" spans="1:49" x14ac:dyDescent="0.15">
      <c r="A44" s="35" t="s">
        <v>140</v>
      </c>
      <c r="B44" s="36" t="s">
        <v>541</v>
      </c>
      <c r="C44" s="4">
        <v>0</v>
      </c>
      <c r="D44" s="4">
        <v>0.1</v>
      </c>
      <c r="E44" s="4">
        <v>0.2</v>
      </c>
      <c r="F44" s="4">
        <v>0.3</v>
      </c>
      <c r="G44" s="4">
        <v>-0.1</v>
      </c>
      <c r="H44" s="6"/>
      <c r="I44" s="16" t="s">
        <v>785</v>
      </c>
      <c r="J44" s="6" t="b">
        <v>1</v>
      </c>
      <c r="K44" s="6" t="e">
        <v>#VALUE!</v>
      </c>
      <c r="L44" s="6" t="e">
        <v>#N/A</v>
      </c>
      <c r="M44" s="7" t="e">
        <v>#DIV/0!</v>
      </c>
      <c r="N44" s="7" t="e">
        <v>#NAME?</v>
      </c>
      <c r="O44" s="7" t="e">
        <v>#NULL!</v>
      </c>
      <c r="P44" s="7" t="e">
        <v>#NUM!</v>
      </c>
      <c r="Q44" s="7" t="e">
        <v>#REF!</v>
      </c>
      <c r="R44" s="4" t="e">
        <f>_xlfn.GAMMA(C44)</f>
        <v>#NUM!</v>
      </c>
      <c r="S44" s="4">
        <f t="shared" ref="S44:AF44" si="36">_xlfn.GAMMA(D44)</f>
        <v>9.5135076986687324</v>
      </c>
      <c r="T44" s="4">
        <f t="shared" si="36"/>
        <v>4.5908437119988035</v>
      </c>
      <c r="U44" s="4">
        <f t="shared" si="36"/>
        <v>2.9915689876875908</v>
      </c>
      <c r="V44" s="4">
        <f>_xlfn.GAMMA(G44)</f>
        <v>-10.686287021193195</v>
      </c>
      <c r="W44" s="4" t="e">
        <f t="shared" si="36"/>
        <v>#NUM!</v>
      </c>
      <c r="X44" s="4">
        <f>_xlfn.GAMMA(I44)</f>
        <v>479001600</v>
      </c>
      <c r="Y44" s="4">
        <f t="shared" si="36"/>
        <v>1</v>
      </c>
      <c r="Z44" s="4" t="e">
        <f t="shared" si="36"/>
        <v>#VALUE!</v>
      </c>
      <c r="AA44" s="4" t="e">
        <f t="shared" si="36"/>
        <v>#N/A</v>
      </c>
      <c r="AB44" s="4" t="e">
        <f t="shared" si="36"/>
        <v>#DIV/0!</v>
      </c>
      <c r="AC44" s="4" t="e">
        <f t="shared" si="36"/>
        <v>#NAME?</v>
      </c>
      <c r="AD44" s="4" t="e">
        <f t="shared" si="36"/>
        <v>#NULL!</v>
      </c>
      <c r="AE44" s="4" t="e">
        <f t="shared" si="36"/>
        <v>#NUM!</v>
      </c>
      <c r="AF44" s="4" t="e">
        <f t="shared" si="36"/>
        <v>#REF!</v>
      </c>
      <c r="AG44" s="4" t="e">
        <f t="array" ref="AG44">_xlfn.GAMMA(C44:Q44)</f>
        <v>#NUM!</v>
      </c>
      <c r="AH44" s="4" t="e">
        <f t="array" ref="AH44:AW44">_xlfn.GAMMA(C44:Q44)</f>
        <v>#NUM!</v>
      </c>
      <c r="AI44" s="4">
        <v>9.5135076986687324</v>
      </c>
      <c r="AJ44" s="4">
        <v>4.5908437119988035</v>
      </c>
      <c r="AK44" s="4">
        <v>2.9915689876875908</v>
      </c>
      <c r="AL44" s="4">
        <v>-10.686287021193195</v>
      </c>
      <c r="AM44" s="4" t="e">
        <v>#NUM!</v>
      </c>
      <c r="AN44" s="4">
        <v>479001600</v>
      </c>
      <c r="AO44" s="4">
        <v>1</v>
      </c>
      <c r="AP44" s="4" t="e">
        <v>#VALUE!</v>
      </c>
      <c r="AQ44" s="4" t="e">
        <v>#N/A</v>
      </c>
      <c r="AR44" s="4" t="e">
        <v>#DIV/0!</v>
      </c>
      <c r="AS44" s="4" t="e">
        <v>#NAME?</v>
      </c>
      <c r="AT44" s="4" t="e">
        <v>#NULL!</v>
      </c>
      <c r="AU44" s="4" t="e">
        <v>#NUM!</v>
      </c>
      <c r="AV44" s="4" t="e">
        <v>#REF!</v>
      </c>
      <c r="AW44" s="4" t="e">
        <v>#N/A</v>
      </c>
    </row>
    <row r="45" spans="1:49" x14ac:dyDescent="0.15">
      <c r="A45" s="35" t="s">
        <v>141</v>
      </c>
      <c r="B45" s="36" t="s">
        <v>541</v>
      </c>
      <c r="C45" s="4">
        <v>0</v>
      </c>
      <c r="D45" s="4">
        <v>5</v>
      </c>
      <c r="E45" s="4">
        <v>0.7</v>
      </c>
      <c r="F45" s="4">
        <v>3</v>
      </c>
      <c r="G45" s="4">
        <v>4</v>
      </c>
      <c r="H45" s="6"/>
      <c r="I45" s="16" t="s">
        <v>444</v>
      </c>
      <c r="J45" s="6" t="b">
        <v>1</v>
      </c>
      <c r="K45" s="6" t="e">
        <v>#VALUE!</v>
      </c>
      <c r="L45" s="6" t="e">
        <v>#N/A</v>
      </c>
      <c r="M45" s="7" t="e">
        <v>#DIV/0!</v>
      </c>
      <c r="N45" s="7" t="e">
        <v>#NAME?</v>
      </c>
      <c r="O45" s="7" t="e">
        <v>#NULL!</v>
      </c>
      <c r="P45" s="7" t="e">
        <v>#NUM!</v>
      </c>
      <c r="Q45" s="7" t="e">
        <v>#REF!</v>
      </c>
      <c r="R45" s="6" t="e">
        <f>_xlfn.GAMMA.DIST(C45,,,)</f>
        <v>#NUM!</v>
      </c>
      <c r="S45" s="6">
        <f>_xlfn.GAMMA.DIST(D45,10,30,FALSE)</f>
        <v>7.7156415878129366E-15</v>
      </c>
      <c r="T45" s="6">
        <f>_xlfn.GAMMA.DIST(E45,"1",5, 3)</f>
        <v>0.13064176460119417</v>
      </c>
      <c r="U45" s="6" t="e">
        <f>_xlfn.GAMMA.DIST(F45,-1,3,"TRUE")</f>
        <v>#NUM!</v>
      </c>
      <c r="V45" s="6">
        <f>_xlfn.GAMMA.DIST(G45, 7,4,1)</f>
        <v>8.3241149288023239E-5</v>
      </c>
      <c r="W45" s="6" t="e">
        <f>_xlfn.GAMMA.DIST(H45,H45,4,1)</f>
        <v>#NUM!</v>
      </c>
      <c r="X45" s="6">
        <f>_xlfn.GAMMA.DIST(I45,I45,4,1)</f>
        <v>1.7894865805575686E-18</v>
      </c>
      <c r="Y45" s="6">
        <f>_xlfn.GAMMA.DIST(J45,I45,32,1)</f>
        <v>5.7210703867027741E-173</v>
      </c>
      <c r="Z45" s="6" t="e">
        <f>_xlfn.GAMMA.DIST(K45,I45,3,1)</f>
        <v>#VALUE!</v>
      </c>
      <c r="AA45" s="6" t="e">
        <f t="shared" ref="AA45:AF45" si="37">_xlfn.GAMMA.DIST(L45,J45,3,1)</f>
        <v>#N/A</v>
      </c>
      <c r="AB45" s="6" t="e">
        <f t="shared" si="37"/>
        <v>#DIV/0!</v>
      </c>
      <c r="AC45" s="6" t="e">
        <f t="shared" si="37"/>
        <v>#NAME?</v>
      </c>
      <c r="AD45" s="6" t="e">
        <f t="shared" si="37"/>
        <v>#NULL!</v>
      </c>
      <c r="AE45" s="6" t="e">
        <f t="shared" si="37"/>
        <v>#NUM!</v>
      </c>
      <c r="AF45" s="6" t="e">
        <f t="shared" si="37"/>
        <v>#REF!</v>
      </c>
      <c r="AG45" s="6">
        <f t="array" ref="AG45">_xlfn.GAMMA.DIST(C45:Q45,3,3,1)</f>
        <v>0</v>
      </c>
      <c r="AH45" s="6">
        <f t="array" ref="AH45:AW45">_xlfn.GAMMA.DIST(C45:Q45,1,3,1)</f>
        <v>0</v>
      </c>
      <c r="AI45" s="6">
        <v>0.81112439716243823</v>
      </c>
      <c r="AJ45" s="6">
        <v>0.2081104336632183</v>
      </c>
      <c r="AK45" s="6">
        <v>0.63212055882855767</v>
      </c>
      <c r="AL45" s="6">
        <v>0.73640286188427329</v>
      </c>
      <c r="AM45" s="6">
        <v>0</v>
      </c>
      <c r="AN45" s="6">
        <v>0.99999999793884642</v>
      </c>
      <c r="AO45" s="6">
        <v>0.28346868942621073</v>
      </c>
      <c r="AP45" s="6" t="e">
        <v>#VALUE!</v>
      </c>
      <c r="AQ45" s="6" t="e">
        <v>#N/A</v>
      </c>
      <c r="AR45" s="6" t="e">
        <v>#DIV/0!</v>
      </c>
      <c r="AS45" s="6" t="e">
        <v>#NAME?</v>
      </c>
      <c r="AT45" s="6" t="e">
        <v>#NULL!</v>
      </c>
      <c r="AU45" s="6" t="e">
        <v>#NUM!</v>
      </c>
      <c r="AV45" s="6" t="e">
        <v>#REF!</v>
      </c>
      <c r="AW45" s="4" t="e">
        <v>#N/A</v>
      </c>
    </row>
    <row r="46" spans="1:49" x14ac:dyDescent="0.15">
      <c r="A46" s="35" t="s">
        <v>142</v>
      </c>
      <c r="B46" s="36" t="s">
        <v>541</v>
      </c>
      <c r="C46" s="4">
        <v>10</v>
      </c>
      <c r="D46" s="4">
        <v>0.1</v>
      </c>
      <c r="E46" s="4">
        <v>0.7</v>
      </c>
      <c r="F46" s="4">
        <v>100</v>
      </c>
      <c r="G46" s="4">
        <v>4</v>
      </c>
      <c r="H46" s="6"/>
      <c r="I46" s="16" t="s">
        <v>785</v>
      </c>
      <c r="J46" s="6" t="b">
        <v>1</v>
      </c>
      <c r="K46" s="6" t="e">
        <v>#VALUE!</v>
      </c>
      <c r="L46" s="6" t="e">
        <v>#N/A</v>
      </c>
      <c r="M46" s="7" t="e">
        <v>#DIV/0!</v>
      </c>
      <c r="N46" s="7" t="e">
        <v>#NAME?</v>
      </c>
      <c r="O46" s="7" t="e">
        <v>#NULL!</v>
      </c>
      <c r="P46" s="7" t="e">
        <v>#NUM!</v>
      </c>
      <c r="Q46" s="7" t="e">
        <v>#REF!</v>
      </c>
      <c r="R46" s="6" t="e">
        <f>_xlfn.F.INV(C46,0.4,3)</f>
        <v>#NUM!</v>
      </c>
      <c r="S46" s="6">
        <f>_xlfn.GAMMA.INV(D46,90,9)</f>
        <v>702.68681780365114</v>
      </c>
      <c r="T46" s="6">
        <f>_xlfn.GAMMA.INV(0.4,E46, 32)</f>
        <v>8.8217623708520669</v>
      </c>
      <c r="U46" s="6">
        <f>_xlfn.GAMMA.INV(0.01, F46,2)</f>
        <v>156.43196610759165</v>
      </c>
      <c r="V46" s="6">
        <f>_xlfn.GAMMA.INV(D46,G46,32)</f>
        <v>55.832626010397171</v>
      </c>
      <c r="W46" s="6">
        <f>_xlfn.GAMMA.INV(H46,3, 2.22)</f>
        <v>0</v>
      </c>
      <c r="X46" s="6">
        <f>_xlfn.GAMMA.INV(0.9,I46,781)</f>
        <v>13887.418381686113</v>
      </c>
      <c r="Y46" s="6">
        <f>_xlfn.GAMMA.INV(0.3,J46, 332)</f>
        <v>118.41608138765915</v>
      </c>
      <c r="Z46" s="6" t="e">
        <f>_xlfn.GAMMA.INV(K46,C46, 21)</f>
        <v>#VALUE!</v>
      </c>
      <c r="AA46" s="6" t="e">
        <f t="shared" ref="AA46:AF46" si="38">_xlfn.GAMMA.INV(L46,D46, 21)</f>
        <v>#N/A</v>
      </c>
      <c r="AB46" s="6" t="e">
        <f t="shared" si="38"/>
        <v>#DIV/0!</v>
      </c>
      <c r="AC46" s="6" t="e">
        <f t="shared" si="38"/>
        <v>#NAME?</v>
      </c>
      <c r="AD46" s="6" t="e">
        <f t="shared" si="38"/>
        <v>#NULL!</v>
      </c>
      <c r="AE46" s="6" t="e">
        <f t="shared" si="38"/>
        <v>#NUM!</v>
      </c>
      <c r="AF46" s="6" t="e">
        <f t="shared" si="38"/>
        <v>#REF!</v>
      </c>
      <c r="AG46" s="6">
        <f t="array" ref="AG46">_xlfn.GAMMA.INV(0.6, C46:Q46,32)</f>
        <v>335.22189404421943</v>
      </c>
      <c r="AH46" s="6">
        <f t="array" ref="AH46:AW46">_xlfn.GAMMA.INV(0.5, C46:Q46, 23)</f>
        <v>222.38043613842498</v>
      </c>
      <c r="AI46" s="6">
        <v>1.3647995402585194E-2</v>
      </c>
      <c r="AJ46" s="6">
        <v>9.3707462149581442</v>
      </c>
      <c r="AK46" s="6">
        <v>2292.3378931442562</v>
      </c>
      <c r="AL46" s="6">
        <v>84.457397223570624</v>
      </c>
      <c r="AM46" s="6" t="e">
        <v>#NUM!</v>
      </c>
      <c r="AN46" s="6">
        <v>291.36926835098859</v>
      </c>
      <c r="AO46" s="6">
        <v>15.942385152878742</v>
      </c>
      <c r="AP46" s="6" t="e">
        <v>#VALUE!</v>
      </c>
      <c r="AQ46" s="6" t="e">
        <v>#N/A</v>
      </c>
      <c r="AR46" s="6" t="e">
        <v>#DIV/0!</v>
      </c>
      <c r="AS46" s="6" t="e">
        <v>#NAME?</v>
      </c>
      <c r="AT46" s="6" t="e">
        <v>#NULL!</v>
      </c>
      <c r="AU46" s="6" t="e">
        <v>#NUM!</v>
      </c>
      <c r="AV46" s="6" t="e">
        <v>#REF!</v>
      </c>
      <c r="AW46" s="4" t="e">
        <v>#N/A</v>
      </c>
    </row>
    <row r="47" spans="1:49" x14ac:dyDescent="0.15">
      <c r="A47" s="35" t="s">
        <v>143</v>
      </c>
      <c r="B47" s="36" t="s">
        <v>541</v>
      </c>
      <c r="C47" s="4">
        <v>0</v>
      </c>
      <c r="D47" s="4">
        <v>0.1</v>
      </c>
      <c r="E47" s="4">
        <v>0.2</v>
      </c>
      <c r="F47" s="4">
        <v>0.3</v>
      </c>
      <c r="G47" s="4">
        <v>-0.1</v>
      </c>
      <c r="H47" s="6"/>
      <c r="I47" s="16" t="s">
        <v>444</v>
      </c>
      <c r="J47" s="6" t="b">
        <v>1</v>
      </c>
      <c r="K47" s="6" t="e">
        <v>#VALUE!</v>
      </c>
      <c r="L47" s="6" t="e">
        <v>#N/A</v>
      </c>
      <c r="M47" s="7" t="e">
        <v>#DIV/0!</v>
      </c>
      <c r="N47" s="7" t="e">
        <v>#NAME?</v>
      </c>
      <c r="O47" s="7" t="e">
        <v>#NULL!</v>
      </c>
      <c r="P47" s="7" t="e">
        <v>#NUM!</v>
      </c>
      <c r="Q47" s="7" t="e">
        <v>#REF!</v>
      </c>
      <c r="R47" s="4" t="e">
        <f>_xlfn.GAMMA(C47)</f>
        <v>#NUM!</v>
      </c>
      <c r="S47" s="4">
        <f>GAMMALN(D47)</f>
        <v>2.2527126517342055</v>
      </c>
      <c r="T47" s="4">
        <f t="shared" ref="T47:AF47" si="39">GAMMALN(E47)</f>
        <v>1.5240638224307845</v>
      </c>
      <c r="U47" s="4">
        <f t="shared" si="39"/>
        <v>1.0957979948180756</v>
      </c>
      <c r="V47" s="4" t="e">
        <f t="shared" si="39"/>
        <v>#NUM!</v>
      </c>
      <c r="W47" s="4" t="e">
        <f t="shared" si="39"/>
        <v>#NUM!</v>
      </c>
      <c r="X47" s="4">
        <f t="shared" si="39"/>
        <v>184.53382886144948</v>
      </c>
      <c r="Y47" s="4">
        <f t="shared" si="39"/>
        <v>0</v>
      </c>
      <c r="Z47" s="4" t="e">
        <f t="shared" si="39"/>
        <v>#VALUE!</v>
      </c>
      <c r="AA47" s="4" t="e">
        <f t="shared" si="39"/>
        <v>#N/A</v>
      </c>
      <c r="AB47" s="4" t="e">
        <f t="shared" si="39"/>
        <v>#DIV/0!</v>
      </c>
      <c r="AC47" s="4" t="e">
        <f t="shared" si="39"/>
        <v>#NAME?</v>
      </c>
      <c r="AD47" s="4" t="e">
        <f t="shared" si="39"/>
        <v>#NULL!</v>
      </c>
      <c r="AE47" s="4" t="e">
        <f t="shared" si="39"/>
        <v>#NUM!</v>
      </c>
      <c r="AF47" s="4" t="e">
        <f t="shared" si="39"/>
        <v>#REF!</v>
      </c>
      <c r="AG47" s="4" t="e">
        <f t="array" ref="AG47">GAMMALN(C47:Q47)</f>
        <v>#NUM!</v>
      </c>
      <c r="AH47" s="4" t="e">
        <f t="array" ref="AH47:AW47">GAMMALN(C47:Q47)</f>
        <v>#NUM!</v>
      </c>
      <c r="AI47" s="4">
        <v>2.2527126517342055</v>
      </c>
      <c r="AJ47" s="4">
        <v>1.5240638224307845</v>
      </c>
      <c r="AK47" s="4">
        <v>1.0957979948180756</v>
      </c>
      <c r="AL47" s="4" t="e">
        <v>#NUM!</v>
      </c>
      <c r="AM47" s="4" t="e">
        <v>#NUM!</v>
      </c>
      <c r="AN47" s="4">
        <v>184.53382886144948</v>
      </c>
      <c r="AO47" s="4">
        <v>0</v>
      </c>
      <c r="AP47" s="4" t="e">
        <v>#VALUE!</v>
      </c>
      <c r="AQ47" s="4" t="e">
        <v>#N/A</v>
      </c>
      <c r="AR47" s="4" t="e">
        <v>#DIV/0!</v>
      </c>
      <c r="AS47" s="4" t="e">
        <v>#NAME?</v>
      </c>
      <c r="AT47" s="4" t="e">
        <v>#NULL!</v>
      </c>
      <c r="AU47" s="4" t="e">
        <v>#NUM!</v>
      </c>
      <c r="AV47" s="4" t="e">
        <v>#REF!</v>
      </c>
      <c r="AW47" s="4" t="e">
        <v>#N/A</v>
      </c>
    </row>
    <row r="48" spans="1:49" x14ac:dyDescent="0.15">
      <c r="A48" s="35" t="s">
        <v>144</v>
      </c>
      <c r="B48" s="36" t="s">
        <v>541</v>
      </c>
      <c r="C48" s="4">
        <v>0</v>
      </c>
      <c r="D48" s="4">
        <v>0.1</v>
      </c>
      <c r="E48" s="4">
        <v>0.2</v>
      </c>
      <c r="F48" s="4">
        <v>0.3</v>
      </c>
      <c r="G48" s="4">
        <v>-0.1</v>
      </c>
      <c r="H48" s="6"/>
      <c r="I48" s="16" t="s">
        <v>444</v>
      </c>
      <c r="J48" s="6" t="b">
        <v>1</v>
      </c>
      <c r="K48" s="6" t="e">
        <v>#VALUE!</v>
      </c>
      <c r="L48" s="6" t="e">
        <v>#N/A</v>
      </c>
      <c r="M48" s="7" t="e">
        <v>#DIV/0!</v>
      </c>
      <c r="N48" s="7" t="e">
        <v>#NAME?</v>
      </c>
      <c r="O48" s="7" t="e">
        <v>#NULL!</v>
      </c>
      <c r="P48" s="7" t="e">
        <v>#NUM!</v>
      </c>
      <c r="Q48" s="7" t="e">
        <v>#REF!</v>
      </c>
      <c r="R48" s="4" t="e">
        <f>_xlfn.GAMMA(C48)</f>
        <v>#NUM!</v>
      </c>
      <c r="S48" s="4">
        <f>_xlfn.GAMMALN.PRECISE(D48)</f>
        <v>2.2527126517342055</v>
      </c>
      <c r="T48" s="4">
        <f t="shared" ref="T48:AE48" si="40">_xlfn.GAMMALN.PRECISE(E48)</f>
        <v>1.5240638224307845</v>
      </c>
      <c r="U48" s="4">
        <f t="shared" si="40"/>
        <v>1.0957979948180756</v>
      </c>
      <c r="V48" s="4" t="e">
        <f t="shared" si="40"/>
        <v>#NUM!</v>
      </c>
      <c r="W48" s="4" t="e">
        <f t="shared" si="40"/>
        <v>#NUM!</v>
      </c>
      <c r="X48" s="4">
        <f t="shared" si="40"/>
        <v>184.53382886144948</v>
      </c>
      <c r="Y48" s="4">
        <f t="shared" si="40"/>
        <v>0</v>
      </c>
      <c r="Z48" s="4" t="e">
        <f t="shared" si="40"/>
        <v>#VALUE!</v>
      </c>
      <c r="AA48" s="4" t="e">
        <f t="shared" si="40"/>
        <v>#N/A</v>
      </c>
      <c r="AB48" s="4" t="e">
        <f t="shared" si="40"/>
        <v>#DIV/0!</v>
      </c>
      <c r="AC48" s="4" t="e">
        <f t="shared" si="40"/>
        <v>#NAME?</v>
      </c>
      <c r="AD48" s="4" t="e">
        <f t="shared" si="40"/>
        <v>#NULL!</v>
      </c>
      <c r="AE48" s="4" t="e">
        <f t="shared" si="40"/>
        <v>#NUM!</v>
      </c>
      <c r="AF48" s="4" t="e">
        <f>_xlfn.GAMMALN.PRECISE(Q48)</f>
        <v>#REF!</v>
      </c>
      <c r="AG48" s="4" t="e">
        <f t="array" ref="AG48">_xlfn.GAMMALN.PRECISE(C48:Q48)</f>
        <v>#NUM!</v>
      </c>
      <c r="AH48" s="4" t="e">
        <f t="array" ref="AH48:AW48">_xlfn.GAMMALN.PRECISE(C48:Q48)</f>
        <v>#NUM!</v>
      </c>
      <c r="AI48" s="4">
        <v>2.2527126517342055</v>
      </c>
      <c r="AJ48" s="4">
        <v>1.5240638224307845</v>
      </c>
      <c r="AK48" s="4">
        <v>1.0957979948180756</v>
      </c>
      <c r="AL48" s="4" t="e">
        <v>#NUM!</v>
      </c>
      <c r="AM48" s="4" t="e">
        <v>#NUM!</v>
      </c>
      <c r="AN48" s="4">
        <v>184.53382886144948</v>
      </c>
      <c r="AO48" s="4">
        <v>0</v>
      </c>
      <c r="AP48" s="4" t="e">
        <v>#VALUE!</v>
      </c>
      <c r="AQ48" s="4" t="e">
        <v>#N/A</v>
      </c>
      <c r="AR48" s="4" t="e">
        <v>#DIV/0!</v>
      </c>
      <c r="AS48" s="4" t="e">
        <v>#NAME?</v>
      </c>
      <c r="AT48" s="4" t="e">
        <v>#NULL!</v>
      </c>
      <c r="AU48" s="4" t="e">
        <v>#NUM!</v>
      </c>
      <c r="AV48" s="4" t="e">
        <v>#REF!</v>
      </c>
      <c r="AW48" s="4" t="e">
        <v>#N/A</v>
      </c>
    </row>
    <row r="49" spans="1:49" x14ac:dyDescent="0.15">
      <c r="A49" s="35" t="s">
        <v>145</v>
      </c>
      <c r="B49" s="36" t="s">
        <v>541</v>
      </c>
      <c r="C49" s="4">
        <v>0</v>
      </c>
      <c r="D49" s="4">
        <v>0.1</v>
      </c>
      <c r="E49" s="4">
        <v>0.2</v>
      </c>
      <c r="F49" s="4">
        <v>0.3</v>
      </c>
      <c r="G49" s="4">
        <v>-0.1</v>
      </c>
      <c r="H49" s="6"/>
      <c r="I49" s="16" t="s">
        <v>785</v>
      </c>
      <c r="J49" s="6" t="b">
        <v>1</v>
      </c>
      <c r="K49" s="6" t="e">
        <v>#VALUE!</v>
      </c>
      <c r="L49" s="6" t="e">
        <v>#N/A</v>
      </c>
      <c r="M49" s="7" t="e">
        <v>#DIV/0!</v>
      </c>
      <c r="N49" s="7" t="e">
        <v>#NAME?</v>
      </c>
      <c r="O49" s="7" t="e">
        <v>#NULL!</v>
      </c>
      <c r="P49" s="7" t="e">
        <v>#NUM!</v>
      </c>
      <c r="Q49" s="7" t="e">
        <v>#REF!</v>
      </c>
      <c r="R49" s="4">
        <f>_xlfn.GAUSS(C49)</f>
        <v>0</v>
      </c>
      <c r="S49" s="4">
        <f t="shared" ref="S49:AE49" si="41">_xlfn.GAUSS(D49)</f>
        <v>3.9827837277028988E-2</v>
      </c>
      <c r="T49" s="4">
        <f t="shared" si="41"/>
        <v>7.9259709439102988E-2</v>
      </c>
      <c r="U49" s="4">
        <f t="shared" si="41"/>
        <v>0.11791142218895267</v>
      </c>
      <c r="V49" s="4">
        <f t="shared" si="41"/>
        <v>-3.9827837277028988E-2</v>
      </c>
      <c r="W49" s="4">
        <f t="shared" si="41"/>
        <v>0</v>
      </c>
      <c r="X49" s="4">
        <f t="shared" si="41"/>
        <v>0.5</v>
      </c>
      <c r="Y49" s="4">
        <f t="shared" si="41"/>
        <v>0.34134474606854304</v>
      </c>
      <c r="Z49" s="4" t="e">
        <f t="shared" si="41"/>
        <v>#VALUE!</v>
      </c>
      <c r="AA49" s="4" t="e">
        <f t="shared" si="41"/>
        <v>#N/A</v>
      </c>
      <c r="AB49" s="4" t="e">
        <f t="shared" si="41"/>
        <v>#DIV/0!</v>
      </c>
      <c r="AC49" s="4" t="e">
        <f t="shared" si="41"/>
        <v>#NAME?</v>
      </c>
      <c r="AD49" s="4" t="e">
        <f t="shared" si="41"/>
        <v>#NULL!</v>
      </c>
      <c r="AE49" s="4" t="e">
        <f t="shared" si="41"/>
        <v>#NUM!</v>
      </c>
      <c r="AF49" s="4" t="e">
        <f>_xlfn.GAUSS(Q49)</f>
        <v>#REF!</v>
      </c>
      <c r="AG49" s="4">
        <f t="array" ref="AG49">_xlfn.GAUSS(C49:Q49)</f>
        <v>0</v>
      </c>
      <c r="AH49" s="4">
        <f t="array" ref="AH49:AW49">_xlfn.GAUSS(C49:Q49)</f>
        <v>0</v>
      </c>
      <c r="AI49" s="4">
        <v>3.9827837277028988E-2</v>
      </c>
      <c r="AJ49" s="4">
        <v>7.9259709439102988E-2</v>
      </c>
      <c r="AK49" s="4">
        <v>0.11791142218895267</v>
      </c>
      <c r="AL49" s="4">
        <v>-3.9827837277028988E-2</v>
      </c>
      <c r="AM49" s="4">
        <v>0</v>
      </c>
      <c r="AN49" s="4">
        <v>0.5</v>
      </c>
      <c r="AO49" s="4">
        <v>0.34134474606854304</v>
      </c>
      <c r="AP49" s="4" t="e">
        <v>#VALUE!</v>
      </c>
      <c r="AQ49" s="4" t="e">
        <v>#N/A</v>
      </c>
      <c r="AR49" s="4" t="e">
        <v>#DIV/0!</v>
      </c>
      <c r="AS49" s="4" t="e">
        <v>#NAME?</v>
      </c>
      <c r="AT49" s="4" t="e">
        <v>#NULL!</v>
      </c>
      <c r="AU49" s="4" t="e">
        <v>#NUM!</v>
      </c>
      <c r="AV49" s="4" t="e">
        <v>#REF!</v>
      </c>
      <c r="AW49" s="4" t="e">
        <v>#N/A</v>
      </c>
    </row>
    <row r="50" spans="1:49" x14ac:dyDescent="0.15">
      <c r="A50" s="35" t="s">
        <v>146</v>
      </c>
      <c r="B50" s="36" t="s">
        <v>541</v>
      </c>
      <c r="C50" s="4">
        <v>0</v>
      </c>
      <c r="D50" s="4">
        <v>0.1</v>
      </c>
      <c r="E50" s="4">
        <v>0.2</v>
      </c>
      <c r="F50" s="4">
        <v>0.3</v>
      </c>
      <c r="G50" s="4">
        <v>5</v>
      </c>
      <c r="H50" s="6"/>
      <c r="I50" s="16" t="s">
        <v>444</v>
      </c>
      <c r="J50" s="6" t="b">
        <v>1</v>
      </c>
      <c r="K50" s="6" t="e">
        <v>#VALUE!</v>
      </c>
      <c r="L50" s="6" t="e">
        <v>#N/A</v>
      </c>
      <c r="M50" s="7" t="e">
        <v>#DIV/0!</v>
      </c>
      <c r="N50" s="7" t="e">
        <v>#NAME?</v>
      </c>
      <c r="O50" s="7" t="e">
        <v>#NULL!</v>
      </c>
      <c r="P50" s="7" t="e">
        <v>#NUM!</v>
      </c>
      <c r="Q50" s="7" t="e">
        <v>#REF!</v>
      </c>
      <c r="R50" s="6" t="e">
        <f>GEOMEAN(C50:D50,D50:E50,E50:F50)</f>
        <v>#NUM!</v>
      </c>
      <c r="S50" s="6" t="e" vm="90">
        <f>GEOMEAN(D50:E50,E50:F50,F50:G50,"")</f>
        <v>#VALUE!</v>
      </c>
      <c r="T50" s="6">
        <f>GEOMEAN(E50:F50,F50:G50,G50:H50,"29/02/1900")</f>
        <v>1.7320508075688772</v>
      </c>
      <c r="U50" s="6">
        <f>GEOMEAN(F50:G50,G50:H50,H50:I50)</f>
        <v>1.9574338205844317</v>
      </c>
      <c r="V50" s="6">
        <f>GEOMEAN(G50:H50,H50:I50,I50:J50)</f>
        <v>5</v>
      </c>
      <c r="W50" s="6">
        <f>GEOMEAN(G50:H50)</f>
        <v>5</v>
      </c>
      <c r="X50" s="6">
        <f>GEOMEAN(I50,G50)</f>
        <v>5</v>
      </c>
      <c r="Y50" s="6">
        <f>GEOMEAN(J50,G50)</f>
        <v>5</v>
      </c>
      <c r="Z50" s="6" t="e">
        <f>GEOMEAN(K50:L50)</f>
        <v>#VALUE!</v>
      </c>
      <c r="AA50" s="6" t="e">
        <f t="shared" ref="AA50:AF50" si="42">GEOMEAN(L50:M50)</f>
        <v>#N/A</v>
      </c>
      <c r="AB50" s="6" t="e">
        <f t="shared" si="42"/>
        <v>#DIV/0!</v>
      </c>
      <c r="AC50" s="6" t="e">
        <f t="shared" si="42"/>
        <v>#NAME?</v>
      </c>
      <c r="AD50" s="6" t="e">
        <f t="shared" si="42"/>
        <v>#NULL!</v>
      </c>
      <c r="AE50" s="6" t="e">
        <f t="shared" si="42"/>
        <v>#NUM!</v>
      </c>
      <c r="AF50" s="6" t="e">
        <f t="shared" si="42"/>
        <v>#REF!</v>
      </c>
      <c r="AG50" s="6" t="e">
        <f t="array" ref="AG50">GEOMEAN(C50:G50)</f>
        <v>#NUM!</v>
      </c>
      <c r="AH50" s="6" t="e">
        <f t="array" ref="AH50:AW50">GEOMEAN(C50:J50)</f>
        <v>#NUM!</v>
      </c>
      <c r="AI50" s="6" t="e">
        <v>#NUM!</v>
      </c>
      <c r="AJ50" s="6" t="e">
        <v>#NUM!</v>
      </c>
      <c r="AK50" s="6" t="e">
        <v>#NUM!</v>
      </c>
      <c r="AL50" s="6" t="e">
        <v>#NUM!</v>
      </c>
      <c r="AM50" s="6" t="e">
        <v>#NUM!</v>
      </c>
      <c r="AN50" s="6" t="e">
        <v>#NUM!</v>
      </c>
      <c r="AO50" s="6" t="e">
        <v>#NUM!</v>
      </c>
      <c r="AP50" s="6" t="e">
        <v>#NUM!</v>
      </c>
      <c r="AQ50" s="6" t="e">
        <v>#NUM!</v>
      </c>
      <c r="AR50" s="6" t="e">
        <v>#NUM!</v>
      </c>
      <c r="AS50" s="6" t="e">
        <v>#NUM!</v>
      </c>
      <c r="AT50" s="6" t="e">
        <v>#NUM!</v>
      </c>
      <c r="AU50" s="6" t="e">
        <v>#NUM!</v>
      </c>
      <c r="AV50" s="6" t="e">
        <v>#NUM!</v>
      </c>
      <c r="AW50" s="4" t="e">
        <v>#NUM!</v>
      </c>
    </row>
    <row r="51" spans="1:49" x14ac:dyDescent="0.15">
      <c r="A51" s="99" t="s">
        <v>147</v>
      </c>
      <c r="B51" s="100" t="s">
        <v>541</v>
      </c>
      <c r="C51" s="4">
        <v>4</v>
      </c>
      <c r="D51" s="4">
        <v>0.1</v>
      </c>
      <c r="E51" s="4">
        <v>0.2</v>
      </c>
      <c r="F51" s="4">
        <v>0.3</v>
      </c>
      <c r="G51" s="4">
        <v>5</v>
      </c>
      <c r="H51" s="6"/>
      <c r="I51" s="16" t="s">
        <v>444</v>
      </c>
      <c r="J51" s="6" t="b">
        <v>1</v>
      </c>
      <c r="K51" s="6" t="e">
        <v>#VALUE!</v>
      </c>
      <c r="L51" s="6" t="e">
        <v>#N/A</v>
      </c>
      <c r="M51" s="7" t="e">
        <v>#DIV/0!</v>
      </c>
      <c r="N51" s="7" t="e">
        <v>#NAME?</v>
      </c>
      <c r="O51" s="7" t="e">
        <v>#NULL!</v>
      </c>
      <c r="P51" s="7" t="e">
        <v>#NUM!</v>
      </c>
      <c r="Q51" s="7" t="e">
        <v>#REF!</v>
      </c>
      <c r="R51" s="6" cm="1">
        <f t="array" ref="R51">GROWTH({2;3;4;21;2},{2,1;2,2;5,3;2,4;4,1},C51:D51)</f>
        <v>0.7854753011891914</v>
      </c>
      <c r="S51" s="6" t="e" cm="1">
        <f t="array" ref="S51">GROWTH({2;3;4;21;2},{2,1;2,2;5,3;2,4;4,1},D51:F51)</f>
        <v>#REF!</v>
      </c>
      <c r="T51" s="6" cm="1">
        <f t="array" ref="T51:T52">GROWTH({2;3;4;21;2},{2,1;2,2;5,3;2,4;4,1},E51:F52)</f>
        <v>1.7297068023867628</v>
      </c>
      <c r="U51" s="6" cm="1">
        <f t="array" ref="U51:U52">GROWTH({2;3;4;21;2},{2,1;2,2;5,3;2,4;4,1},F51:G52)</f>
        <v>43.966482049142009</v>
      </c>
      <c r="V51" s="6" t="e" cm="1">
        <f t="array" ref="V51">GROWTH({2;3;4;21;2},{2,1;2,2;5,3;2,4;4,1},G51:H52)</f>
        <v>#VALUE!</v>
      </c>
      <c r="W51" s="6" t="e" cm="1">
        <f t="array" ref="W51">GROWTH({2;3;4;21;2},{2,1;2,2;5,3;2,4;4,1},H51:I52)</f>
        <v>#VALUE!</v>
      </c>
      <c r="X51" s="6" t="e" cm="1">
        <f t="array" ref="X51">GROWTH({2;3;4;21;2},{2,1;2,2;5,3;2,4;4,1},I51:J52)</f>
        <v>#VALUE!</v>
      </c>
      <c r="Y51" s="6" t="e" cm="1">
        <f t="array" ref="Y51">GROWTH({2;3;4;21;2},{2,1;2,2;5,3;2,4;4,1},J51:K52)</f>
        <v>#VALUE!</v>
      </c>
      <c r="Z51" s="6" t="e" cm="1">
        <f t="array" ref="Z51">GROWTH({2;3;4;21;2},{2,1;2,2;5,3;2,4;4,1},K51:L52)</f>
        <v>#VALUE!</v>
      </c>
      <c r="AA51" s="6" t="e" cm="1">
        <f t="array" ref="AA51">GROWTH({2;3;4;21;2},{2,1;2,2;5,3;2,4;4,1},L51:M52)</f>
        <v>#VALUE!</v>
      </c>
      <c r="AB51" s="6" t="e" cm="1">
        <f t="array" ref="AB51">GROWTH({2;3;4;21;2},{2,1;2,2;5,3;2,4;4,1},M51:N52)</f>
        <v>#VALUE!</v>
      </c>
      <c r="AC51" s="6" t="e" cm="1">
        <f t="array" ref="AC51">GROWTH({2;3;4;21;2},{2,1;2,2;5,3;2,4;4,1},N51:O52)</f>
        <v>#VALUE!</v>
      </c>
      <c r="AD51" s="6" t="e" cm="1">
        <f t="array" ref="AD51">GROWTH({2;3;4;21;2},{2,1;2,2;5,3;2,4;4,1},O51:P52)</f>
        <v>#VALUE!</v>
      </c>
      <c r="AE51" s="6" t="e" cm="1">
        <f t="array" ref="AE51">GROWTH({2;3;4;21;2},{2,1;2,2;5,3;2,4;4,1},P51:Q52)</f>
        <v>#VALUE!</v>
      </c>
      <c r="AF51" s="6" t="e" cm="1">
        <f t="array" ref="AF51">GROWTH({2;3;4;21;2},{2,1;2,2;5,3;2,4;4,1},Q51:R52)</f>
        <v>#VALUE!</v>
      </c>
      <c r="AG51" s="6">
        <f t="array" ref="AG51:AG52">GROWTH({2;3;4;21;2},{2,1;2,2;5,3;2,4;4,1},F51:G52)</f>
        <v>43.966482049142009</v>
      </c>
      <c r="AH51" s="6">
        <f t="array" ref="AH51:AW52">GROWTH({2;3;4;21;2},{2,1;2,2;5,3;2,4;4,1},F51:G52)</f>
        <v>43.966482049142009</v>
      </c>
      <c r="AI51" s="6">
        <v>43.966482049142009</v>
      </c>
      <c r="AJ51" s="6">
        <v>43.966482049142009</v>
      </c>
      <c r="AK51" s="6">
        <v>43.966482049142009</v>
      </c>
      <c r="AL51" s="6">
        <v>43.966482049142009</v>
      </c>
      <c r="AM51" s="6">
        <v>43.966482049142009</v>
      </c>
      <c r="AN51" s="6">
        <v>43.966482049142009</v>
      </c>
      <c r="AO51" s="6">
        <v>43.966482049142009</v>
      </c>
      <c r="AP51" s="6">
        <v>43.966482049142009</v>
      </c>
      <c r="AQ51" s="6">
        <v>43.966482049142009</v>
      </c>
      <c r="AR51" s="6">
        <v>43.966482049142009</v>
      </c>
      <c r="AS51" s="6">
        <v>43.966482049142009</v>
      </c>
      <c r="AT51" s="6">
        <v>43.966482049142009</v>
      </c>
      <c r="AU51" s="6">
        <v>43.966482049142009</v>
      </c>
      <c r="AV51" s="6">
        <v>43.966482049142009</v>
      </c>
      <c r="AW51" s="4">
        <v>43.966482049142009</v>
      </c>
    </row>
    <row r="52" spans="1:49" x14ac:dyDescent="0.15">
      <c r="A52" s="99"/>
      <c r="B52" s="100"/>
      <c r="C52" s="4">
        <v>0</v>
      </c>
      <c r="D52" s="4">
        <v>5</v>
      </c>
      <c r="E52" s="4">
        <v>0.7</v>
      </c>
      <c r="F52" s="4">
        <v>3</v>
      </c>
      <c r="G52" s="4">
        <v>4</v>
      </c>
      <c r="H52" s="6">
        <v>1</v>
      </c>
      <c r="I52" s="16">
        <v>2</v>
      </c>
      <c r="J52" s="6">
        <v>3</v>
      </c>
      <c r="K52" s="6">
        <v>4</v>
      </c>
      <c r="L52" s="6">
        <v>5</v>
      </c>
      <c r="M52" s="7">
        <v>6</v>
      </c>
      <c r="N52" s="7">
        <v>7</v>
      </c>
      <c r="O52" s="7">
        <v>8</v>
      </c>
      <c r="P52" s="7">
        <v>9</v>
      </c>
      <c r="Q52" s="7">
        <v>0</v>
      </c>
      <c r="R52" s="6"/>
      <c r="S52" s="6"/>
      <c r="T52" s="6">
        <v>10.286290424519729</v>
      </c>
      <c r="U52" s="6">
        <v>13.857466026169794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13.857466026169794</v>
      </c>
      <c r="AH52" s="6">
        <v>13.857466026169794</v>
      </c>
      <c r="AI52" s="6">
        <v>13.857466026169794</v>
      </c>
      <c r="AJ52" s="6">
        <v>13.857466026169794</v>
      </c>
      <c r="AK52" s="6">
        <v>13.857466026169794</v>
      </c>
      <c r="AL52" s="6">
        <v>13.857466026169794</v>
      </c>
      <c r="AM52" s="6">
        <v>13.857466026169794</v>
      </c>
      <c r="AN52" s="6">
        <v>13.857466026169794</v>
      </c>
      <c r="AO52" s="6">
        <v>13.857466026169794</v>
      </c>
      <c r="AP52" s="6">
        <v>13.857466026169794</v>
      </c>
      <c r="AQ52" s="6">
        <v>13.857466026169794</v>
      </c>
      <c r="AR52" s="6">
        <v>13.857466026169794</v>
      </c>
      <c r="AS52" s="6">
        <v>13.857466026169794</v>
      </c>
      <c r="AT52" s="6">
        <v>13.857466026169794</v>
      </c>
      <c r="AU52" s="6">
        <v>13.857466026169794</v>
      </c>
      <c r="AV52" s="6">
        <v>13.857466026169794</v>
      </c>
      <c r="AW52" s="4">
        <v>13.857466026169794</v>
      </c>
    </row>
    <row r="53" spans="1:49" x14ac:dyDescent="0.15">
      <c r="A53" s="35" t="s">
        <v>148</v>
      </c>
      <c r="B53" s="36" t="s">
        <v>541</v>
      </c>
      <c r="C53" s="4">
        <v>4</v>
      </c>
      <c r="D53" s="4">
        <v>0.1</v>
      </c>
      <c r="E53" s="4">
        <v>0.2</v>
      </c>
      <c r="F53" s="4">
        <v>0.3</v>
      </c>
      <c r="G53" s="4">
        <v>5</v>
      </c>
      <c r="H53" s="6"/>
      <c r="I53" s="16" t="s">
        <v>444</v>
      </c>
      <c r="J53" s="6" t="b">
        <v>1</v>
      </c>
      <c r="K53" s="6" t="e">
        <v>#VALUE!</v>
      </c>
      <c r="L53" s="6" t="e">
        <v>#N/A</v>
      </c>
      <c r="M53" s="7" t="e">
        <v>#DIV/0!</v>
      </c>
      <c r="N53" s="7" t="e">
        <v>#NAME?</v>
      </c>
      <c r="O53" s="7" t="e">
        <v>#NULL!</v>
      </c>
      <c r="P53" s="7" t="e">
        <v>#NUM!</v>
      </c>
      <c r="Q53" s="7" t="e">
        <v>#REF!</v>
      </c>
      <c r="R53" s="6">
        <f>HARMEAN(C53:D53,D53:E53,E53:F53)</f>
        <v>0.17866004962779156</v>
      </c>
      <c r="S53" s="6" t="e" vm="91">
        <f>HARMEAN(D53:E53,E53:F53,F53:G53,"")</f>
        <v>#VALUE!</v>
      </c>
      <c r="T53" s="6">
        <f>HARMEAN(E53:F53,F53:G53,G53:H53,"29/02/1900")</f>
        <v>0.49655172413793103</v>
      </c>
      <c r="U53" s="6">
        <f>HARMEAN(F53:G53,G53:H53,H53:I53)</f>
        <v>0.80357142857142838</v>
      </c>
      <c r="V53" s="6" t="e">
        <f>HARMEAN(G53:H53,H53:I53,I53:J53,0)</f>
        <v>#NUM!</v>
      </c>
      <c r="W53" s="6">
        <f>HARMEAN(G53:H53)</f>
        <v>5</v>
      </c>
      <c r="X53" s="6">
        <f>HARMEAN(I53,G53)</f>
        <v>5</v>
      </c>
      <c r="Y53" s="6">
        <f>HARMEAN(J53,G53)</f>
        <v>5</v>
      </c>
      <c r="Z53" s="6" t="e">
        <f>HARMEAN(K53:L53)</f>
        <v>#VALUE!</v>
      </c>
      <c r="AA53" s="6" t="e">
        <f t="shared" ref="AA53:AF53" si="43">HARMEAN(L53:M53)</f>
        <v>#N/A</v>
      </c>
      <c r="AB53" s="6" t="e">
        <f t="shared" si="43"/>
        <v>#DIV/0!</v>
      </c>
      <c r="AC53" s="6" t="e">
        <f t="shared" si="43"/>
        <v>#NAME?</v>
      </c>
      <c r="AD53" s="6" t="e">
        <f t="shared" si="43"/>
        <v>#NULL!</v>
      </c>
      <c r="AE53" s="6" t="e">
        <f t="shared" si="43"/>
        <v>#NUM!</v>
      </c>
      <c r="AF53" s="6" t="e">
        <f t="shared" si="43"/>
        <v>#REF!</v>
      </c>
      <c r="AG53" s="6">
        <f t="array" ref="AG53">HARMEAN(C53:G53)</f>
        <v>0.26619343389529726</v>
      </c>
      <c r="AH53" s="6">
        <f t="array" ref="AH53:AW53">HARMEAN(C53:J53)</f>
        <v>0.26619343389529726</v>
      </c>
      <c r="AI53" s="6">
        <v>0.26619343389529726</v>
      </c>
      <c r="AJ53" s="6">
        <v>0.26619343389529726</v>
      </c>
      <c r="AK53" s="6">
        <v>0.26619343389529726</v>
      </c>
      <c r="AL53" s="6">
        <v>0.26619343389529726</v>
      </c>
      <c r="AM53" s="6">
        <v>0.26619343389529726</v>
      </c>
      <c r="AN53" s="6">
        <v>0.26619343389529726</v>
      </c>
      <c r="AO53" s="6">
        <v>0.26619343389529726</v>
      </c>
      <c r="AP53" s="6">
        <v>0.26619343389529726</v>
      </c>
      <c r="AQ53" s="6">
        <v>0.26619343389529726</v>
      </c>
      <c r="AR53" s="6">
        <v>0.26619343389529726</v>
      </c>
      <c r="AS53" s="6">
        <v>0.26619343389529726</v>
      </c>
      <c r="AT53" s="6">
        <v>0.26619343389529726</v>
      </c>
      <c r="AU53" s="6">
        <v>0.26619343389529726</v>
      </c>
      <c r="AV53" s="6">
        <v>0.26619343389529726</v>
      </c>
      <c r="AW53" s="4">
        <v>0.26619343389529726</v>
      </c>
    </row>
    <row r="54" spans="1:49" x14ac:dyDescent="0.15">
      <c r="A54" s="35" t="s">
        <v>149</v>
      </c>
      <c r="B54" s="36" t="s">
        <v>541</v>
      </c>
      <c r="C54" s="4">
        <v>0</v>
      </c>
      <c r="D54" s="4">
        <v>5</v>
      </c>
      <c r="E54" s="4">
        <v>0.7</v>
      </c>
      <c r="F54" s="4">
        <v>3</v>
      </c>
      <c r="G54" s="4">
        <v>4</v>
      </c>
      <c r="H54" s="6"/>
      <c r="I54" s="16" t="s">
        <v>444</v>
      </c>
      <c r="J54" s="6" t="b">
        <v>1</v>
      </c>
      <c r="K54" s="6" t="e">
        <v>#VALUE!</v>
      </c>
      <c r="L54" s="6" t="e">
        <v>#N/A</v>
      </c>
      <c r="M54" s="7" t="e">
        <v>#DIV/0!</v>
      </c>
      <c r="N54" s="7" t="e">
        <v>#NAME?</v>
      </c>
      <c r="O54" s="7" t="e">
        <v>#NULL!</v>
      </c>
      <c r="P54" s="7" t="e">
        <v>#NUM!</v>
      </c>
      <c r="Q54" s="7" t="e">
        <v>#REF!</v>
      </c>
      <c r="R54" s="6">
        <f>_xlfn.HYPGEOM.DIST(C54,,,,)</f>
        <v>1</v>
      </c>
      <c r="S54" s="6" t="e">
        <f>_xlfn.HYPGEOM.DIST(D54,10,30,7,FALSE)</f>
        <v>#NUM!</v>
      </c>
      <c r="T54" s="6">
        <f>_xlfn.HYPGEOM.DIST(E54,"1",5,8, 3)</f>
        <v>0.37500000000000006</v>
      </c>
      <c r="U54" s="6" t="e">
        <f>_xlfn.HYPGEOM.DIST(F54,-1,3,5,"TRUE")</f>
        <v>#NUM!</v>
      </c>
      <c r="V54" s="6" t="e">
        <f>_xlfn.HYPGEOM.DIST(G54,3, 7,4,1)</f>
        <v>#NUM!</v>
      </c>
      <c r="W54" s="6">
        <f>_xlfn.HYPGEOM.DIST(H54,H54,4,4,1)</f>
        <v>1</v>
      </c>
      <c r="X54" s="6" t="e">
        <f>_xlfn.HYPGEOM.DIST(I54,I54,4,4,1)</f>
        <v>#NUM!</v>
      </c>
      <c r="Y54" s="6" t="e">
        <f>_xlfn.HYPGEOM.DIST(J54,I54,45,32,1)</f>
        <v>#NUM!</v>
      </c>
      <c r="Z54" s="6" t="e">
        <f>_xlfn.HYPGEOM.DIST(K54,I54,3,3,1)</f>
        <v>#VALUE!</v>
      </c>
      <c r="AA54" s="6" t="e">
        <f t="shared" ref="AA54:AF54" si="44">_xlfn.HYPGEOM.DIST(L54,J54,3,3,1)</f>
        <v>#N/A</v>
      </c>
      <c r="AB54" s="6" t="e">
        <f t="shared" si="44"/>
        <v>#DIV/0!</v>
      </c>
      <c r="AC54" s="6" t="e">
        <f t="shared" si="44"/>
        <v>#NAME?</v>
      </c>
      <c r="AD54" s="6" t="e">
        <f t="shared" si="44"/>
        <v>#NULL!</v>
      </c>
      <c r="AE54" s="6" t="e">
        <f t="shared" si="44"/>
        <v>#NUM!</v>
      </c>
      <c r="AF54" s="6" t="e">
        <f t="shared" si="44"/>
        <v>#REF!</v>
      </c>
      <c r="AG54" s="6">
        <f t="array" ref="AG54">_xlfn.HYPGEOM.DIST(C54:Q54,2,3,3,1)</f>
        <v>0</v>
      </c>
      <c r="AH54" s="6">
        <f t="array" ref="AH54:AW54">_xlfn.HYPGEOM.DIST(C54:Q54, 3,2,30,1)</f>
        <v>0.80689655172413799</v>
      </c>
      <c r="AI54" s="6">
        <v>1</v>
      </c>
      <c r="AJ54" s="6">
        <v>0.80689655172413799</v>
      </c>
      <c r="AK54" s="6">
        <v>1</v>
      </c>
      <c r="AL54" s="6">
        <v>1</v>
      </c>
      <c r="AM54" s="6">
        <v>0.80689655172413799</v>
      </c>
      <c r="AN54" s="6">
        <v>1</v>
      </c>
      <c r="AO54" s="6">
        <v>0.99310344827586206</v>
      </c>
      <c r="AP54" s="6" t="e">
        <v>#VALUE!</v>
      </c>
      <c r="AQ54" s="6" t="e">
        <v>#N/A</v>
      </c>
      <c r="AR54" s="6" t="e">
        <v>#DIV/0!</v>
      </c>
      <c r="AS54" s="6" t="e">
        <v>#NAME?</v>
      </c>
      <c r="AT54" s="6" t="e">
        <v>#NULL!</v>
      </c>
      <c r="AU54" s="6" t="e">
        <v>#NUM!</v>
      </c>
      <c r="AV54" s="6" t="e">
        <v>#REF!</v>
      </c>
      <c r="AW54" s="4" t="e">
        <v>#N/A</v>
      </c>
    </row>
    <row r="55" spans="1:49" x14ac:dyDescent="0.15">
      <c r="A55" s="35" t="s">
        <v>150</v>
      </c>
      <c r="B55" s="36" t="s">
        <v>541</v>
      </c>
      <c r="C55" s="4">
        <v>0</v>
      </c>
      <c r="D55" s="4">
        <v>0.1</v>
      </c>
      <c r="E55" s="4">
        <v>0.2</v>
      </c>
      <c r="F55" s="4">
        <v>0.3</v>
      </c>
      <c r="G55" s="4">
        <v>-0.1</v>
      </c>
      <c r="H55" s="6"/>
      <c r="I55" s="16" t="s">
        <v>444</v>
      </c>
      <c r="J55" s="6" t="b">
        <v>1</v>
      </c>
      <c r="K55" s="6" t="e">
        <v>#VALUE!</v>
      </c>
      <c r="L55" s="6" t="e">
        <v>#N/A</v>
      </c>
      <c r="M55" s="7" t="e">
        <v>#DIV/0!</v>
      </c>
      <c r="N55" s="7" t="e">
        <v>#NAME?</v>
      </c>
      <c r="O55" s="7" t="e">
        <v>#NULL!</v>
      </c>
      <c r="P55" s="7" t="e">
        <v>#NUM!</v>
      </c>
      <c r="Q55" s="7" t="e">
        <v>#REF!</v>
      </c>
      <c r="R55" s="4">
        <f>INTERCEPT(C55:D55,F55:G55)</f>
        <v>7.4999999999999997E-2</v>
      </c>
      <c r="S55" s="4">
        <f>INTERCEPT(D55:F55,F55:H55)</f>
        <v>0.17500000000000002</v>
      </c>
      <c r="T55" s="4" t="e">
        <f>INTERCEPT(E55:G55,G55:I55)</f>
        <v>#DIV/0!</v>
      </c>
      <c r="U55" s="4" t="e">
        <f>INTERCEPT(F55:H55,H55:J55)</f>
        <v>#DIV/0!</v>
      </c>
      <c r="V55" s="4" t="e">
        <f>INTERCEPT(G55:I55,I55:K55)</f>
        <v>#VALUE!</v>
      </c>
      <c r="W55" s="4" t="e">
        <f>INTERCEPT(H55:J55,J55:L55)</f>
        <v>#VALUE!</v>
      </c>
      <c r="X55" s="4" t="e">
        <f t="shared" ref="X55:AF55" si="45">INTERCEPT(I55:K55,K55:M55)</f>
        <v>#VALUE!</v>
      </c>
      <c r="Y55" s="4" t="e">
        <f t="shared" si="45"/>
        <v>#N/A</v>
      </c>
      <c r="Z55" s="4" t="e">
        <f t="shared" si="45"/>
        <v>#VALUE!</v>
      </c>
      <c r="AA55" s="4" t="e">
        <f t="shared" si="45"/>
        <v>#N/A</v>
      </c>
      <c r="AB55" s="4" t="e">
        <f t="shared" si="45"/>
        <v>#DIV/0!</v>
      </c>
      <c r="AC55" s="4" t="e">
        <f t="shared" si="45"/>
        <v>#NAME?</v>
      </c>
      <c r="AD55" s="4" t="e">
        <f>INTERCEPT(O55:S55,K55:O55)</f>
        <v>#NUM!</v>
      </c>
      <c r="AE55" s="4" t="e">
        <f t="shared" si="45"/>
        <v>#NUM!</v>
      </c>
      <c r="AF55" s="4" t="e">
        <f t="shared" si="45"/>
        <v>#REF!</v>
      </c>
      <c r="AG55" s="4">
        <f>INTERCEPT(C55:E55,E55:G55)</f>
        <v>0.14615384615384616</v>
      </c>
      <c r="AH55" s="4">
        <f t="array" ref="AH55:AW55">INTERCEPT(C55:E55,E55:G55)</f>
        <v>0.14615384615384616</v>
      </c>
      <c r="AI55" s="4">
        <v>0.14615384615384616</v>
      </c>
      <c r="AJ55" s="4">
        <v>0.14615384615384616</v>
      </c>
      <c r="AK55" s="4">
        <v>0.14615384615384616</v>
      </c>
      <c r="AL55" s="4">
        <v>0.14615384615384616</v>
      </c>
      <c r="AM55" s="4">
        <v>0.14615384615384616</v>
      </c>
      <c r="AN55" s="4">
        <v>0.14615384615384616</v>
      </c>
      <c r="AO55" s="4">
        <v>0.14615384615384616</v>
      </c>
      <c r="AP55" s="4">
        <v>0.14615384615384616</v>
      </c>
      <c r="AQ55" s="4">
        <v>0.14615384615384616</v>
      </c>
      <c r="AR55" s="4">
        <v>0.14615384615384616</v>
      </c>
      <c r="AS55" s="4">
        <v>0.14615384615384616</v>
      </c>
      <c r="AT55" s="4">
        <v>0.14615384615384616</v>
      </c>
      <c r="AU55" s="4">
        <v>0.14615384615384616</v>
      </c>
      <c r="AV55" s="4">
        <v>0.14615384615384616</v>
      </c>
      <c r="AW55" s="4">
        <v>0.14615384615384616</v>
      </c>
    </row>
    <row r="56" spans="1:49" x14ac:dyDescent="0.15">
      <c r="A56" s="35" t="s">
        <v>151</v>
      </c>
      <c r="B56" s="36" t="s">
        <v>541</v>
      </c>
      <c r="C56" s="4">
        <v>4</v>
      </c>
      <c r="D56" s="4">
        <v>0.1</v>
      </c>
      <c r="E56" s="4">
        <v>0.2</v>
      </c>
      <c r="F56" s="4">
        <v>0.3</v>
      </c>
      <c r="G56" s="4">
        <v>5</v>
      </c>
      <c r="H56" s="6"/>
      <c r="I56" s="16" t="s">
        <v>444</v>
      </c>
      <c r="J56" s="6" t="b">
        <v>1</v>
      </c>
      <c r="K56" s="6" t="e">
        <v>#VALUE!</v>
      </c>
      <c r="L56" s="6" t="e">
        <v>#N/A</v>
      </c>
      <c r="M56" s="7" t="e">
        <v>#DIV/0!</v>
      </c>
      <c r="N56" s="7" t="e">
        <v>#NAME?</v>
      </c>
      <c r="O56" s="7" t="e">
        <v>#NULL!</v>
      </c>
      <c r="P56" s="7" t="e">
        <v>#NUM!</v>
      </c>
      <c r="Q56" s="7" t="e">
        <v>#REF!</v>
      </c>
      <c r="R56" s="6">
        <f>KURT(C56:D56,D56:E56,E56:F56)</f>
        <v>5.9516214379256667</v>
      </c>
      <c r="S56" s="6" t="e" vm="92">
        <f>KURT(D56:E56,E56:F56,F56:G56,"")</f>
        <v>#VALUE!</v>
      </c>
      <c r="T56" s="6">
        <f>KURT(E56:F56,F56:G56,G56:H56,"29/02/1900")</f>
        <v>5.7983761042879731</v>
      </c>
      <c r="U56" s="6" t="e">
        <f>KURT(F56:G56,G56:H56,H56:I56)</f>
        <v>#DIV/0!</v>
      </c>
      <c r="V56" s="6" t="e">
        <f>KURT(G56:H56,H56:I56,I56:J56)</f>
        <v>#DIV/0!</v>
      </c>
      <c r="W56" s="6" t="e">
        <f>KURT(G56:H56)</f>
        <v>#DIV/0!</v>
      </c>
      <c r="X56" s="6" t="e">
        <f>KURT(I56,G56)</f>
        <v>#DIV/0!</v>
      </c>
      <c r="Y56" s="6" t="e">
        <f>KURT(J56,G56)</f>
        <v>#DIV/0!</v>
      </c>
      <c r="Z56" s="6" t="e">
        <f>KURT(K56:L56)</f>
        <v>#VALUE!</v>
      </c>
      <c r="AA56" s="6" t="e">
        <f t="shared" ref="AA56:AF56" si="46">KURT(L56:M56)</f>
        <v>#N/A</v>
      </c>
      <c r="AB56" s="6" t="e">
        <f t="shared" si="46"/>
        <v>#DIV/0!</v>
      </c>
      <c r="AC56" s="6" t="e">
        <f t="shared" si="46"/>
        <v>#NAME?</v>
      </c>
      <c r="AD56" s="6" t="e">
        <f t="shared" si="46"/>
        <v>#NULL!</v>
      </c>
      <c r="AE56" s="6" t="e">
        <f t="shared" si="46"/>
        <v>#NUM!</v>
      </c>
      <c r="AF56" s="6" t="e">
        <f t="shared" si="46"/>
        <v>#REF!</v>
      </c>
      <c r="AG56" s="6">
        <f t="array" ref="AG56">KURT(C56:G56)</f>
        <v>-2.7514684363561024</v>
      </c>
      <c r="AH56" s="6">
        <f t="array" ref="AH56:AW56">KURT(C56:J56)</f>
        <v>-2.7514684363561024</v>
      </c>
      <c r="AI56" s="6">
        <v>-2.7514684363561024</v>
      </c>
      <c r="AJ56" s="6">
        <v>-2.7514684363561024</v>
      </c>
      <c r="AK56" s="6">
        <v>-2.7514684363561024</v>
      </c>
      <c r="AL56" s="6">
        <v>-2.7514684363561024</v>
      </c>
      <c r="AM56" s="6">
        <v>-2.7514684363561024</v>
      </c>
      <c r="AN56" s="6">
        <v>-2.7514684363561024</v>
      </c>
      <c r="AO56" s="6">
        <v>-2.7514684363561024</v>
      </c>
      <c r="AP56" s="6">
        <v>-2.7514684363561024</v>
      </c>
      <c r="AQ56" s="6">
        <v>-2.7514684363561024</v>
      </c>
      <c r="AR56" s="6">
        <v>-2.7514684363561024</v>
      </c>
      <c r="AS56" s="6">
        <v>-2.7514684363561024</v>
      </c>
      <c r="AT56" s="6">
        <v>-2.7514684363561024</v>
      </c>
      <c r="AU56" s="6">
        <v>-2.7514684363561024</v>
      </c>
      <c r="AV56" s="6">
        <v>-2.7514684363561024</v>
      </c>
      <c r="AW56" s="4">
        <v>-2.7514684363561024</v>
      </c>
    </row>
    <row r="57" spans="1:49" x14ac:dyDescent="0.15">
      <c r="A57" s="35" t="s">
        <v>152</v>
      </c>
      <c r="B57" s="36" t="s">
        <v>541</v>
      </c>
      <c r="C57" s="4">
        <v>0.1</v>
      </c>
      <c r="D57" s="4">
        <v>-10</v>
      </c>
      <c r="E57" s="4">
        <v>0.9</v>
      </c>
      <c r="F57" s="4">
        <v>2.2000000000000002</v>
      </c>
      <c r="G57" s="4">
        <v>-0.1</v>
      </c>
      <c r="H57" s="6"/>
      <c r="I57" s="16" t="s">
        <v>447</v>
      </c>
      <c r="J57" s="6" t="b">
        <v>1</v>
      </c>
      <c r="K57" s="6" t="e">
        <v>#VALUE!</v>
      </c>
      <c r="L57" s="6" t="e">
        <v>#N/A</v>
      </c>
      <c r="M57" s="7" t="e">
        <v>#DIV/0!</v>
      </c>
      <c r="N57" s="7" t="e">
        <v>#NAME?</v>
      </c>
      <c r="O57" s="7" t="e">
        <v>#NULL!</v>
      </c>
      <c r="P57" s="7" t="e">
        <v>#NUM!</v>
      </c>
      <c r="Q57" s="7" t="e">
        <v>#REF!</v>
      </c>
      <c r="R57" s="6">
        <f>LARGE($C57:$J57,"1")</f>
        <v>2.2000000000000002</v>
      </c>
      <c r="S57" s="6">
        <f>LARGE($C57:$J57,2)</f>
        <v>0.9</v>
      </c>
      <c r="T57" s="6">
        <f>LARGE($C57:$J57,3)</f>
        <v>0.1</v>
      </c>
      <c r="U57" s="6">
        <f>LARGE($C57:$J57,3)</f>
        <v>0.1</v>
      </c>
      <c r="V57" s="6">
        <f>LARGE($C57:$J57,4)</f>
        <v>-0.1</v>
      </c>
      <c r="W57" s="6" t="e">
        <f>LARGE($C57:$J57,H57)</f>
        <v>#NUM!</v>
      </c>
      <c r="X57" s="6" t="e" vm="93">
        <f>LARGE($C57:$J57,"c")</f>
        <v>#VALUE!</v>
      </c>
      <c r="Y57" s="6">
        <f>LARGE($C57:$J57,J57)</f>
        <v>2.2000000000000002</v>
      </c>
      <c r="Z57" s="6" t="e">
        <f t="shared" ref="Z57:AF57" si="47">LARGE($C57:$K57,K57)</f>
        <v>#VALUE!</v>
      </c>
      <c r="AA57" s="6" t="e">
        <f t="shared" si="47"/>
        <v>#N/A</v>
      </c>
      <c r="AB57" s="6" t="e">
        <f t="shared" si="47"/>
        <v>#DIV/0!</v>
      </c>
      <c r="AC57" s="6" t="e">
        <f t="shared" si="47"/>
        <v>#NAME?</v>
      </c>
      <c r="AD57" s="6" t="e">
        <f t="shared" si="47"/>
        <v>#NULL!</v>
      </c>
      <c r="AE57" s="6" t="e">
        <f t="shared" si="47"/>
        <v>#NUM!</v>
      </c>
      <c r="AF57" s="6" t="e">
        <f t="shared" si="47"/>
        <v>#REF!</v>
      </c>
      <c r="AG57" s="6" t="e">
        <f t="array" ref="AG57">LARGE($C57:$J57,E57:F57)</f>
        <v>#NUM!</v>
      </c>
      <c r="AH57" s="6" t="e">
        <f t="array" ref="AH57:AW57">LARGE($C57:$J57,C57:Q57)</f>
        <v>#NUM!</v>
      </c>
      <c r="AI57" s="6" t="e">
        <v>#NUM!</v>
      </c>
      <c r="AJ57" s="6" t="e">
        <v>#NUM!</v>
      </c>
      <c r="AK57" s="6">
        <v>0.1</v>
      </c>
      <c r="AL57" s="6" t="e">
        <v>#NUM!</v>
      </c>
      <c r="AM57" s="6" t="e">
        <v>#NUM!</v>
      </c>
      <c r="AN57" s="6">
        <v>2.2000000000000002</v>
      </c>
      <c r="AO57" s="6">
        <v>2.2000000000000002</v>
      </c>
      <c r="AP57" s="6" t="e">
        <v>#VALUE!</v>
      </c>
      <c r="AQ57" s="6" t="e">
        <v>#N/A</v>
      </c>
      <c r="AR57" s="6" t="e">
        <v>#DIV/0!</v>
      </c>
      <c r="AS57" s="6" t="e">
        <v>#NAME?</v>
      </c>
      <c r="AT57" s="6" t="e">
        <v>#NULL!</v>
      </c>
      <c r="AU57" s="6" t="e">
        <v>#NUM!</v>
      </c>
      <c r="AV57" s="6" t="e">
        <v>#REF!</v>
      </c>
      <c r="AW57" s="4" t="e">
        <v>#N/A</v>
      </c>
    </row>
    <row r="58" spans="1:49" x14ac:dyDescent="0.15">
      <c r="A58" s="35" t="s">
        <v>153</v>
      </c>
      <c r="B58" s="36" t="s">
        <v>541</v>
      </c>
      <c r="C58" s="4">
        <v>4</v>
      </c>
      <c r="D58" s="4">
        <v>0.1</v>
      </c>
      <c r="E58" s="4">
        <v>0.2</v>
      </c>
      <c r="F58" s="4">
        <v>0.3</v>
      </c>
      <c r="G58" s="4">
        <v>5</v>
      </c>
      <c r="H58" s="6"/>
      <c r="I58" s="16" t="s">
        <v>444</v>
      </c>
      <c r="J58" s="6" t="b">
        <v>1</v>
      </c>
      <c r="K58" s="6" t="e">
        <v>#VALUE!</v>
      </c>
      <c r="L58" s="6" t="e">
        <v>#N/A</v>
      </c>
      <c r="M58" s="7" t="e">
        <v>#DIV/0!</v>
      </c>
      <c r="N58" s="7" t="e">
        <v>#NAME?</v>
      </c>
      <c r="O58" s="7" t="e">
        <v>#NULL!</v>
      </c>
      <c r="P58" s="7" t="e">
        <v>#NUM!</v>
      </c>
      <c r="Q58" s="7" t="e">
        <v>#REF!</v>
      </c>
      <c r="R58" s="6">
        <f t="array" ref="R58:S58">LINEST(C58:E58)</f>
        <v>-1.9000000000000001</v>
      </c>
      <c r="S58" s="6">
        <v>5.2333333333333334</v>
      </c>
      <c r="T58" s="6" t="e" cm="1">
        <f t="array" ref="T58">LINEST(D58:F58,F58:G58,0,0)</f>
        <v>#REF!</v>
      </c>
      <c r="U58" s="6" t="e" cm="1">
        <f t="array" ref="U58">LINEST(E58:G58,G58:I58,0,0)</f>
        <v>#VALUE!</v>
      </c>
      <c r="V58" s="6" t="e" cm="1">
        <f t="array" ref="V58">LINEST(F58:H58,H58:J58,0,0)</f>
        <v>#VALUE!</v>
      </c>
      <c r="W58" s="6" t="e" cm="1">
        <f t="array" ref="W58">LINEST(G58:I58,I58:K58,0,0)</f>
        <v>#VALUE!</v>
      </c>
      <c r="X58" s="6" t="e" cm="1">
        <f t="array" ref="X58">LINEST(H58:J58,J58:L58,0,0)</f>
        <v>#VALUE!</v>
      </c>
      <c r="Y58" s="6" t="e" cm="1">
        <f t="array" ref="Y58">LINEST(I58:K58,K58:M58,0,0)</f>
        <v>#VALUE!</v>
      </c>
      <c r="Z58" s="6" t="e" cm="1">
        <f t="array" ref="Z58">LINEST(C58:E58,E58:G58,L58,0)</f>
        <v>#VALUE!</v>
      </c>
      <c r="AA58" s="6" t="e" cm="1">
        <f t="array" ref="AA58">LINEST(K58:M58,M58:O58,0,0)</f>
        <v>#VALUE!</v>
      </c>
      <c r="AB58" s="6" t="e" cm="1">
        <f t="array" ref="AB58">LINEST(L58:N58,N58:P58,0,0)</f>
        <v>#VALUE!</v>
      </c>
      <c r="AC58" s="6" t="e" cm="1">
        <f t="array" ref="AC58">LINEST(M58:O58,O58:Q58,0,0)</f>
        <v>#VALUE!</v>
      </c>
      <c r="AD58" s="6" t="e" cm="1">
        <f t="array" ref="AD58">LINEST(N58:P58,P58:R58,0,0)</f>
        <v>#VALUE!</v>
      </c>
      <c r="AE58" s="6" t="e" cm="1">
        <f t="array" ref="AE58">LINEST(O58:Q58,Q58:S58,0,0)</f>
        <v>#VALUE!</v>
      </c>
      <c r="AF58" s="6" t="e" cm="1">
        <f t="array" ref="AF58">LINEST(P58:R58,R58:T58,0,0)</f>
        <v>#VALUE!</v>
      </c>
      <c r="AG58" s="6">
        <f t="array" ref="AG58">LINEST(E58:G58,C58:E58,0,0)</f>
        <v>0.11401869158878508</v>
      </c>
      <c r="AH58" s="6">
        <f t="array" ref="AH58:AW58">LINEST(E58:G58,C58:E58,0,0)</f>
        <v>0.11401869158878508</v>
      </c>
      <c r="AI58" s="6">
        <v>0</v>
      </c>
      <c r="AJ58" s="6" t="e">
        <v>#N/A</v>
      </c>
      <c r="AK58" s="6" t="e">
        <v>#N/A</v>
      </c>
      <c r="AL58" s="6" t="e">
        <v>#N/A</v>
      </c>
      <c r="AM58" s="6" t="e">
        <v>#N/A</v>
      </c>
      <c r="AN58" s="6" t="e">
        <v>#N/A</v>
      </c>
      <c r="AO58" s="6" t="e">
        <v>#N/A</v>
      </c>
      <c r="AP58" s="6" t="e">
        <v>#N/A</v>
      </c>
      <c r="AQ58" s="6" t="e">
        <v>#N/A</v>
      </c>
      <c r="AR58" s="6" t="e">
        <v>#N/A</v>
      </c>
      <c r="AS58" s="6" t="e">
        <v>#N/A</v>
      </c>
      <c r="AT58" s="6" t="e">
        <v>#N/A</v>
      </c>
      <c r="AU58" s="6" t="e">
        <v>#N/A</v>
      </c>
      <c r="AV58" s="6" t="e">
        <v>#N/A</v>
      </c>
      <c r="AW58" s="4" t="e">
        <v>#N/A</v>
      </c>
    </row>
    <row r="59" spans="1:49" x14ac:dyDescent="0.15">
      <c r="A59" s="35" t="s">
        <v>154</v>
      </c>
      <c r="B59" s="36" t="s">
        <v>541</v>
      </c>
      <c r="C59" s="4">
        <v>4</v>
      </c>
      <c r="D59" s="4">
        <v>0.1</v>
      </c>
      <c r="E59" s="4">
        <v>0.2</v>
      </c>
      <c r="F59" s="4">
        <v>0.3</v>
      </c>
      <c r="G59" s="4">
        <v>5</v>
      </c>
      <c r="H59" s="6"/>
      <c r="I59" s="16" t="s">
        <v>444</v>
      </c>
      <c r="J59" s="6" t="b">
        <v>1</v>
      </c>
      <c r="K59" s="6" t="e">
        <v>#VALUE!</v>
      </c>
      <c r="L59" s="6" t="e">
        <v>#N/A</v>
      </c>
      <c r="M59" s="7" t="e">
        <v>#DIV/0!</v>
      </c>
      <c r="N59" s="7" t="e">
        <v>#NAME?</v>
      </c>
      <c r="O59" s="7" t="e">
        <v>#NULL!</v>
      </c>
      <c r="P59" s="7" t="e">
        <v>#NUM!</v>
      </c>
      <c r="Q59" s="7" t="e">
        <v>#REF!</v>
      </c>
      <c r="R59" s="6">
        <f t="array" ref="R59:S59">LOGEST(C59:E59,E59:G59,0,0)</f>
        <v>0.71413909436484291</v>
      </c>
      <c r="S59" s="6">
        <v>1</v>
      </c>
      <c r="T59" s="6" t="e" cm="1">
        <f t="array" ref="T59">LOGEST(D59:F59,F59:G59,0,0)</f>
        <v>#REF!</v>
      </c>
      <c r="U59" s="6" t="e" cm="1">
        <f t="array" ref="U59">LOGEST(E59:G59,G59:I59,0,0)</f>
        <v>#VALUE!</v>
      </c>
      <c r="V59" s="6" t="e" cm="1">
        <f t="array" ref="V59">LOGEST(F59:H59,H59:J59,0,0)</f>
        <v>#VALUE!</v>
      </c>
      <c r="W59" s="6" t="e" cm="1">
        <f t="array" ref="W59">LOGEST(G59:I59,I59:K59,0,0)</f>
        <v>#VALUE!</v>
      </c>
      <c r="X59" s="6" t="e" cm="1">
        <f t="array" ref="X59">LOGEST(H59:J59,J59:L59,0,0)</f>
        <v>#VALUE!</v>
      </c>
      <c r="Y59" s="6" t="e" cm="1">
        <f t="array" ref="Y59">LOGEST(I59:K59,K59:M59,0,0)</f>
        <v>#VALUE!</v>
      </c>
      <c r="Z59" s="6" t="e" cm="1">
        <f t="array" ref="Z59">LOGEST(C59:E59,E59:G59,L59,0)</f>
        <v>#VALUE!</v>
      </c>
      <c r="AA59" s="6" t="e" cm="1">
        <f t="array" ref="AA59">LOGEST(K59:M59,M59:O59,0,0)</f>
        <v>#VALUE!</v>
      </c>
      <c r="AB59" s="6" t="e" cm="1">
        <f t="array" ref="AB59">LOGEST(L59:N59,N59:P59,0,0)</f>
        <v>#VALUE!</v>
      </c>
      <c r="AC59" s="6" t="e" cm="1">
        <f t="array" ref="AC59">LOGEST(M59:O59,O59:Q59,0,0)</f>
        <v>#VALUE!</v>
      </c>
      <c r="AD59" s="6" t="e" cm="1">
        <f t="array" ref="AD59">LOGEST(N59:P59,P59:R59,0,0)</f>
        <v>#VALUE!</v>
      </c>
      <c r="AE59" s="6" t="e" cm="1">
        <f t="array" ref="AE59">LOGEST(O59:Q59,Q59:S59,0,0)</f>
        <v>#VALUE!</v>
      </c>
      <c r="AF59" s="6" t="e" cm="1">
        <f t="array" ref="AF59">LOGEST(P59:R59,R59:T59,0,0)</f>
        <v>#VALUE!</v>
      </c>
      <c r="AG59" s="6">
        <f t="array" ref="AG59">LOGEST(E59:G59,C59:E59,0,0)</f>
        <v>0.67803788915763297</v>
      </c>
      <c r="AH59" s="6">
        <f t="array" ref="AH59:AW59">LOGEST(E59:G59,C59:E59,0,0)</f>
        <v>0.67803788915763297</v>
      </c>
      <c r="AI59" s="6">
        <v>1</v>
      </c>
      <c r="AJ59" s="6" t="e">
        <v>#N/A</v>
      </c>
      <c r="AK59" s="6" t="e">
        <v>#N/A</v>
      </c>
      <c r="AL59" s="6" t="e">
        <v>#N/A</v>
      </c>
      <c r="AM59" s="6" t="e">
        <v>#N/A</v>
      </c>
      <c r="AN59" s="6" t="e">
        <v>#N/A</v>
      </c>
      <c r="AO59" s="6" t="e">
        <v>#N/A</v>
      </c>
      <c r="AP59" s="6" t="e">
        <v>#N/A</v>
      </c>
      <c r="AQ59" s="6" t="e">
        <v>#N/A</v>
      </c>
      <c r="AR59" s="6" t="e">
        <v>#N/A</v>
      </c>
      <c r="AS59" s="6" t="e">
        <v>#N/A</v>
      </c>
      <c r="AT59" s="6" t="e">
        <v>#N/A</v>
      </c>
      <c r="AU59" s="6" t="e">
        <v>#N/A</v>
      </c>
      <c r="AV59" s="6" t="e">
        <v>#N/A</v>
      </c>
      <c r="AW59" s="4" t="e">
        <v>#N/A</v>
      </c>
    </row>
    <row r="60" spans="1:49" x14ac:dyDescent="0.15">
      <c r="A60" s="35" t="s">
        <v>155</v>
      </c>
      <c r="B60" s="36" t="s">
        <v>541</v>
      </c>
      <c r="C60" s="4">
        <v>0</v>
      </c>
      <c r="D60" s="4">
        <v>5</v>
      </c>
      <c r="E60" s="4">
        <v>0.7</v>
      </c>
      <c r="F60" s="4">
        <v>3</v>
      </c>
      <c r="G60" s="4">
        <v>4</v>
      </c>
      <c r="H60" s="6"/>
      <c r="I60" s="16" t="s">
        <v>444</v>
      </c>
      <c r="J60" s="6" t="b">
        <v>1</v>
      </c>
      <c r="K60" s="6" t="e">
        <v>#VALUE!</v>
      </c>
      <c r="L60" s="6" t="e">
        <v>#N/A</v>
      </c>
      <c r="M60" s="7" t="e">
        <v>#DIV/0!</v>
      </c>
      <c r="N60" s="7" t="e">
        <v>#NAME?</v>
      </c>
      <c r="O60" s="7" t="e">
        <v>#NULL!</v>
      </c>
      <c r="P60" s="7" t="e">
        <v>#NUM!</v>
      </c>
      <c r="Q60" s="7" t="e">
        <v>#REF!</v>
      </c>
      <c r="R60" s="6" t="e">
        <f>_xlfn.LOGNORM.DIST(C60,,,)</f>
        <v>#NUM!</v>
      </c>
      <c r="S60" s="6">
        <f>_xlfn.LOGNORM.DIST(D60,1,2,FALSE)</f>
        <v>3.8084403129689026E-2</v>
      </c>
      <c r="T60" s="6">
        <f>_xlfn.LOGNORM.DIST(E60,"1","3",5)</f>
        <v>0.32555345664186924</v>
      </c>
      <c r="U60" s="6">
        <f>_xlfn.LOGNORM.DIST(F60,-1,2,"TRUE")</f>
        <v>0.85298138049341365</v>
      </c>
      <c r="V60" s="6" t="e">
        <f>_xlfn.LOGNORM.DIST(G60, 0,0,1)</f>
        <v>#NUM!</v>
      </c>
      <c r="W60" s="6" t="e">
        <f>_xlfn.LOGNORM.DIST(H60,H60,G60,1)</f>
        <v>#NUM!</v>
      </c>
      <c r="X60" s="6">
        <f>_xlfn.LOGNORM.DIST(I60,,I60,1)</f>
        <v>0.52720233936387584</v>
      </c>
      <c r="Y60" s="6">
        <f>_xlfn.LOGNORM.DIST(J60,I60,E60,1)</f>
        <v>0</v>
      </c>
      <c r="Z60" s="6" t="e">
        <f>_xlfn.LOGNORM.DIST(K60,I60,G60,1)</f>
        <v>#VALUE!</v>
      </c>
      <c r="AA60" s="6" t="e">
        <f t="shared" ref="AA60:AF60" si="48">_xlfn.LOGNORM.DIST(L60,J60,H60,1)</f>
        <v>#N/A</v>
      </c>
      <c r="AB60" s="6" t="e">
        <f t="shared" si="48"/>
        <v>#DIV/0!</v>
      </c>
      <c r="AC60" s="6" t="e">
        <f t="shared" si="48"/>
        <v>#NAME?</v>
      </c>
      <c r="AD60" s="6" t="e">
        <f t="shared" si="48"/>
        <v>#NULL!</v>
      </c>
      <c r="AE60" s="6" t="e">
        <f t="shared" si="48"/>
        <v>#NUM!</v>
      </c>
      <c r="AF60" s="6" t="e">
        <f t="shared" si="48"/>
        <v>#REF!</v>
      </c>
      <c r="AG60" s="6" t="e">
        <f t="array" ref="AG60">_xlfn.LOGNORM.DIST(C60:Q60,3,3,1)</f>
        <v>#NUM!</v>
      </c>
      <c r="AH60" s="6" t="e">
        <f t="array" ref="AH60:AW60">_xlfn.LOGNORM.DIST(C60:Q60,3,4,1)</f>
        <v>#NUM!</v>
      </c>
      <c r="AI60" s="6">
        <v>0.3640550850645351</v>
      </c>
      <c r="AJ60" s="6">
        <v>0.20068731433577011</v>
      </c>
      <c r="AK60" s="6">
        <v>0.31726985786486067</v>
      </c>
      <c r="AL60" s="6">
        <v>0.34331728079213197</v>
      </c>
      <c r="AM60" s="6" t="e">
        <v>#NUM!</v>
      </c>
      <c r="AN60" s="6">
        <v>0.60779865699501057</v>
      </c>
      <c r="AO60" s="6">
        <v>0.22662735237686821</v>
      </c>
      <c r="AP60" s="6" t="e">
        <v>#VALUE!</v>
      </c>
      <c r="AQ60" s="6" t="e">
        <v>#N/A</v>
      </c>
      <c r="AR60" s="6" t="e">
        <v>#DIV/0!</v>
      </c>
      <c r="AS60" s="6" t="e">
        <v>#NAME?</v>
      </c>
      <c r="AT60" s="6" t="e">
        <v>#NULL!</v>
      </c>
      <c r="AU60" s="6" t="e">
        <v>#NUM!</v>
      </c>
      <c r="AV60" s="6" t="e">
        <v>#REF!</v>
      </c>
      <c r="AW60" s="4" t="e">
        <v>#N/A</v>
      </c>
    </row>
    <row r="61" spans="1:49" x14ac:dyDescent="0.15">
      <c r="A61" s="35" t="s">
        <v>156</v>
      </c>
      <c r="B61" s="36" t="s">
        <v>541</v>
      </c>
      <c r="C61" s="4">
        <v>0</v>
      </c>
      <c r="D61" s="4">
        <v>0.1</v>
      </c>
      <c r="E61" s="4">
        <v>0.7</v>
      </c>
      <c r="F61" s="4">
        <v>2E-3</v>
      </c>
      <c r="G61" s="4">
        <v>4</v>
      </c>
      <c r="H61" s="6"/>
      <c r="I61" s="16" t="s">
        <v>785</v>
      </c>
      <c r="J61" s="6" t="b">
        <v>1</v>
      </c>
      <c r="K61" s="6" t="e">
        <v>#VALUE!</v>
      </c>
      <c r="L61" s="6" t="e">
        <v>#N/A</v>
      </c>
      <c r="M61" s="7" t="e">
        <v>#DIV/0!</v>
      </c>
      <c r="N61" s="7" t="e">
        <v>#NAME?</v>
      </c>
      <c r="O61" s="7" t="e">
        <v>#NULL!</v>
      </c>
      <c r="P61" s="7" t="e">
        <v>#NUM!</v>
      </c>
      <c r="Q61" s="7" t="e">
        <v>#REF!</v>
      </c>
      <c r="R61" s="6" t="e">
        <f>_xlfn.LOGNORM.INV(C61,4,4)</f>
        <v>#NUM!</v>
      </c>
      <c r="S61" s="6">
        <f>_xlfn.LOGNORM.INV(D61,2,2)</f>
        <v>0.56943927460852906</v>
      </c>
      <c r="T61" s="6">
        <f>_xlfn.LOGNORM.INV(0.4,2,E61)</f>
        <v>6.1882790547343696</v>
      </c>
      <c r="U61" s="6">
        <f>_xlfn.LOGNORM.INV(F61,4,3)</f>
        <v>9.7111048607547417E-3</v>
      </c>
      <c r="V61" s="6" t="e">
        <f>_xlfn.LOGNORM.INV(G61,D61,E61)</f>
        <v>#NUM!</v>
      </c>
      <c r="W61" s="6" t="e">
        <f>_xlfn.LOGNORM.INV(H61,3,2)</f>
        <v>#NUM!</v>
      </c>
      <c r="X61" s="6">
        <f>_xlfn.LOGNORM.INV(0.9,I61, 1)</f>
        <v>1593672.3506554586</v>
      </c>
      <c r="Y61" s="6">
        <f>_xlfn.LOGNORM.INV(0.3,J61,2)</f>
        <v>0.95237060839269838</v>
      </c>
      <c r="Z61" s="6" t="e">
        <f t="shared" ref="Z61:AF61" si="49">_xlfn.LOGNORM.INV(K61,C61,E61)</f>
        <v>#VALUE!</v>
      </c>
      <c r="AA61" s="6" t="e">
        <f t="shared" si="49"/>
        <v>#N/A</v>
      </c>
      <c r="AB61" s="6" t="e">
        <f t="shared" si="49"/>
        <v>#DIV/0!</v>
      </c>
      <c r="AC61" s="6" t="e">
        <f t="shared" si="49"/>
        <v>#NAME?</v>
      </c>
      <c r="AD61" s="6" t="e">
        <f t="shared" si="49"/>
        <v>#NULL!</v>
      </c>
      <c r="AE61" s="6" t="e">
        <f t="shared" si="49"/>
        <v>#NUM!</v>
      </c>
      <c r="AF61" s="6" t="e">
        <f t="shared" si="49"/>
        <v>#REF!</v>
      </c>
      <c r="AG61" s="6" t="e">
        <f t="array" ref="AG61">_xlfn.LOGNORM.INV(C61:Q61,3,3)</f>
        <v>#NUM!</v>
      </c>
      <c r="AH61" s="6" t="e">
        <f t="array" ref="AH61:AW61">_xlfn.LOGNORM.INV(C61:Q61, 3,2)</f>
        <v>#NUM!</v>
      </c>
      <c r="AI61" s="6">
        <v>1.5478964325792646</v>
      </c>
      <c r="AJ61" s="6">
        <v>57.328680192355705</v>
      </c>
      <c r="AK61" s="6">
        <v>6.3524890202528467E-2</v>
      </c>
      <c r="AL61" s="6" t="e">
        <v>#NUM!</v>
      </c>
      <c r="AM61" s="6" t="e">
        <v>#NUM!</v>
      </c>
      <c r="AN61" s="6" t="e">
        <v>#NUM!</v>
      </c>
      <c r="AO61" s="6" t="e">
        <v>#NUM!</v>
      </c>
      <c r="AP61" s="6" t="e">
        <v>#VALUE!</v>
      </c>
      <c r="AQ61" s="6" t="e">
        <v>#N/A</v>
      </c>
      <c r="AR61" s="6" t="e">
        <v>#DIV/0!</v>
      </c>
      <c r="AS61" s="6" t="e">
        <v>#NAME?</v>
      </c>
      <c r="AT61" s="6" t="e">
        <v>#NULL!</v>
      </c>
      <c r="AU61" s="6" t="e">
        <v>#NUM!</v>
      </c>
      <c r="AV61" s="6" t="e">
        <v>#REF!</v>
      </c>
      <c r="AW61" s="4" t="e">
        <v>#N/A</v>
      </c>
    </row>
    <row r="62" spans="1:49" x14ac:dyDescent="0.15">
      <c r="A62" s="35" t="s">
        <v>18</v>
      </c>
      <c r="B62" s="36" t="s">
        <v>541</v>
      </c>
      <c r="C62" s="4">
        <v>0</v>
      </c>
      <c r="D62" s="4">
        <v>0.1</v>
      </c>
      <c r="E62" s="4">
        <v>0.2</v>
      </c>
      <c r="F62" s="4">
        <v>0.3</v>
      </c>
      <c r="G62" s="4">
        <v>-0.1</v>
      </c>
      <c r="H62" s="6"/>
      <c r="I62" s="16" t="s">
        <v>444</v>
      </c>
      <c r="J62" s="6" t="b">
        <v>1</v>
      </c>
      <c r="K62" s="6" t="e">
        <v>#VALUE!</v>
      </c>
      <c r="L62" s="6" t="e">
        <v>#N/A</v>
      </c>
      <c r="M62" s="7" t="e">
        <v>#DIV/0!</v>
      </c>
      <c r="N62" s="7" t="e">
        <v>#NAME?</v>
      </c>
      <c r="O62" s="7" t="e">
        <v>#NULL!</v>
      </c>
      <c r="P62" s="7" t="e">
        <v>#NUM!</v>
      </c>
      <c r="Q62" s="7" t="e">
        <v>#REF!</v>
      </c>
      <c r="R62" s="6">
        <f>MAX(C62:D62,D62:E62,E62:F62,"2")</f>
        <v>2</v>
      </c>
      <c r="S62" s="6" t="e" vm="94">
        <f>MAX(D62:E62,E62:F62,F62:G62,"")</f>
        <v>#VALUE!</v>
      </c>
      <c r="T62" s="6">
        <f>MAX(E62:F62,F62:G62,G62:H62,"29/02/1900")</f>
        <v>60</v>
      </c>
      <c r="U62" s="6">
        <f>MAX(H62)</f>
        <v>0</v>
      </c>
      <c r="V62" s="6">
        <f>MAX(G62:H62,H62:I62,I62:J62)</f>
        <v>-0.1</v>
      </c>
      <c r="W62" s="6">
        <f>MAX(G62:H62)</f>
        <v>-0.1</v>
      </c>
      <c r="X62" s="6">
        <f>MAX(I62,G62)</f>
        <v>-0.1</v>
      </c>
      <c r="Y62" s="6">
        <f>MAX(J62,G62)</f>
        <v>-0.1</v>
      </c>
      <c r="Z62" s="6" t="e">
        <f t="shared" ref="Z62:AF62" si="50">MAX(K62:L62)</f>
        <v>#VALUE!</v>
      </c>
      <c r="AA62" s="6" t="e">
        <f t="shared" si="50"/>
        <v>#N/A</v>
      </c>
      <c r="AB62" s="6" t="e">
        <f t="shared" si="50"/>
        <v>#DIV/0!</v>
      </c>
      <c r="AC62" s="6" t="e">
        <f t="shared" si="50"/>
        <v>#NAME?</v>
      </c>
      <c r="AD62" s="6" t="e">
        <f t="shared" si="50"/>
        <v>#NULL!</v>
      </c>
      <c r="AE62" s="6" t="e">
        <f t="shared" si="50"/>
        <v>#NUM!</v>
      </c>
      <c r="AF62" s="6" t="e">
        <f t="shared" si="50"/>
        <v>#REF!</v>
      </c>
      <c r="AG62" s="6">
        <f>MAX(H62:J62)</f>
        <v>0</v>
      </c>
      <c r="AH62" s="6">
        <f t="array" ref="AH62:AM62">MAX(C62:J62)</f>
        <v>0.3</v>
      </c>
      <c r="AI62" s="6">
        <v>0.3</v>
      </c>
      <c r="AJ62" s="6">
        <v>0.3</v>
      </c>
      <c r="AK62" s="6">
        <v>0.3</v>
      </c>
      <c r="AL62" s="6">
        <v>0.3</v>
      </c>
      <c r="AM62" s="6">
        <v>0.3</v>
      </c>
      <c r="AN62" s="6" t="e">
        <f t="array" ref="AN62:AW62">MAX(J62:Q62)</f>
        <v>#VALUE!</v>
      </c>
      <c r="AO62" s="6" t="e">
        <v>#VALUE!</v>
      </c>
      <c r="AP62" s="6" t="e">
        <v>#VALUE!</v>
      </c>
      <c r="AQ62" s="6" t="e">
        <v>#VALUE!</v>
      </c>
      <c r="AR62" s="6" t="e">
        <v>#VALUE!</v>
      </c>
      <c r="AS62" s="6" t="e">
        <v>#VALUE!</v>
      </c>
      <c r="AT62" s="6" t="e">
        <v>#VALUE!</v>
      </c>
      <c r="AU62" s="6" t="e">
        <v>#VALUE!</v>
      </c>
      <c r="AV62" s="6" t="e">
        <v>#VALUE!</v>
      </c>
      <c r="AW62" s="4" t="e">
        <v>#VALUE!</v>
      </c>
    </row>
    <row r="63" spans="1:49" x14ac:dyDescent="0.15">
      <c r="A63" s="35" t="s">
        <v>157</v>
      </c>
      <c r="B63" s="36" t="s">
        <v>541</v>
      </c>
      <c r="C63" s="4">
        <v>0</v>
      </c>
      <c r="D63" s="4">
        <v>0.1</v>
      </c>
      <c r="E63" s="4">
        <v>-2</v>
      </c>
      <c r="F63" s="4">
        <v>-3</v>
      </c>
      <c r="G63" s="4">
        <v>4</v>
      </c>
      <c r="H63" s="6"/>
      <c r="I63" s="16" t="s">
        <v>444</v>
      </c>
      <c r="J63" s="6" t="b">
        <v>1</v>
      </c>
      <c r="K63" s="6" t="e">
        <v>#VALUE!</v>
      </c>
      <c r="L63" s="6" t="e">
        <v>#N/A</v>
      </c>
      <c r="M63" s="7" t="e">
        <v>#DIV/0!</v>
      </c>
      <c r="N63" s="7" t="e">
        <v>#NAME?</v>
      </c>
      <c r="O63" s="7" t="e">
        <v>#NULL!</v>
      </c>
      <c r="P63" s="7" t="e">
        <v>#NUM!</v>
      </c>
      <c r="Q63" s="7" t="e">
        <v>#REF!</v>
      </c>
      <c r="R63" s="6">
        <f>MAXA(C63:D63,D63:E63,E63:F63)</f>
        <v>0.1</v>
      </c>
      <c r="S63" s="6" t="e" vm="95">
        <f>MAXA(D63:E63,E63:F63,F63:G63,"")</f>
        <v>#VALUE!</v>
      </c>
      <c r="T63" s="6">
        <f>MAXA(E63,F63,J63,"29/02/1900")</f>
        <v>60</v>
      </c>
      <c r="U63" s="6">
        <f>MAXA(H63)</f>
        <v>0</v>
      </c>
      <c r="V63" s="6">
        <f>MAXA(G63,H63,I63)</f>
        <v>4</v>
      </c>
      <c r="W63" s="6">
        <f>MAXA(H63,I63,J63)</f>
        <v>1</v>
      </c>
      <c r="X63" s="6">
        <f>MAXA(I63,F63)</f>
        <v>0</v>
      </c>
      <c r="Y63" s="6">
        <f>MAXA(H63,F63)</f>
        <v>-3</v>
      </c>
      <c r="Z63" s="6" t="e">
        <f t="shared" ref="Z63:AF63" si="51">MAXA(K63:L63)</f>
        <v>#VALUE!</v>
      </c>
      <c r="AA63" s="6" t="e">
        <f t="shared" si="51"/>
        <v>#N/A</v>
      </c>
      <c r="AB63" s="6" t="e">
        <f t="shared" si="51"/>
        <v>#DIV/0!</v>
      </c>
      <c r="AC63" s="6" t="e">
        <f t="shared" si="51"/>
        <v>#NAME?</v>
      </c>
      <c r="AD63" s="6" t="e">
        <f t="shared" si="51"/>
        <v>#NULL!</v>
      </c>
      <c r="AE63" s="6" t="e">
        <f t="shared" si="51"/>
        <v>#NUM!</v>
      </c>
      <c r="AF63" s="6" t="e">
        <f t="shared" si="51"/>
        <v>#REF!</v>
      </c>
      <c r="AG63" s="6">
        <f>MAXA(H63:J63)</f>
        <v>1</v>
      </c>
      <c r="AH63" s="6">
        <f t="array" ref="AH63:AM63">MAXA(C63:J63)</f>
        <v>4</v>
      </c>
      <c r="AI63" s="6">
        <v>4</v>
      </c>
      <c r="AJ63" s="6">
        <v>4</v>
      </c>
      <c r="AK63" s="6">
        <v>4</v>
      </c>
      <c r="AL63" s="6">
        <v>4</v>
      </c>
      <c r="AM63" s="6">
        <v>4</v>
      </c>
      <c r="AN63" s="6" t="e">
        <f t="array" ref="AN63:AW63">MAXA(J63:Q63)</f>
        <v>#VALUE!</v>
      </c>
      <c r="AO63" s="6" t="e">
        <v>#VALUE!</v>
      </c>
      <c r="AP63" s="6" t="e">
        <v>#VALUE!</v>
      </c>
      <c r="AQ63" s="6" t="e">
        <v>#VALUE!</v>
      </c>
      <c r="AR63" s="6" t="e">
        <v>#VALUE!</v>
      </c>
      <c r="AS63" s="6" t="e">
        <v>#VALUE!</v>
      </c>
      <c r="AT63" s="6" t="e">
        <v>#VALUE!</v>
      </c>
      <c r="AU63" s="6" t="e">
        <v>#VALUE!</v>
      </c>
      <c r="AV63" s="6" t="e">
        <v>#VALUE!</v>
      </c>
      <c r="AW63" s="4" t="e">
        <v>#VALUE!</v>
      </c>
    </row>
    <row r="64" spans="1:49" x14ac:dyDescent="0.15">
      <c r="A64" s="35" t="s">
        <v>158</v>
      </c>
      <c r="B64" s="36" t="s">
        <v>541</v>
      </c>
      <c r="C64" s="4">
        <v>1</v>
      </c>
      <c r="D64" s="4">
        <v>1</v>
      </c>
      <c r="E64" s="4">
        <v>2.2999999999999998</v>
      </c>
      <c r="F64" s="4">
        <v>10</v>
      </c>
      <c r="G64" s="4">
        <v>-1</v>
      </c>
      <c r="H64" s="6"/>
      <c r="I64" s="16" t="s">
        <v>32</v>
      </c>
      <c r="J64" s="6" t="b">
        <v>1</v>
      </c>
      <c r="K64" s="6" t="e">
        <v>#VALUE!</v>
      </c>
      <c r="L64" s="6" t="e">
        <v>#N/A</v>
      </c>
      <c r="M64" s="7" t="e">
        <v>#DIV/0!</v>
      </c>
      <c r="N64" s="7" t="e">
        <v>#NAME?</v>
      </c>
      <c r="O64" s="7" t="e">
        <v>#NULL!</v>
      </c>
      <c r="P64" s="7" t="e">
        <v>#NUM!</v>
      </c>
      <c r="Q64" s="7" t="e">
        <v>#REF!</v>
      </c>
      <c r="R64" s="6">
        <f>_xlfn.MAXIFS(E64:F64, C64:D64,1,E64:F64,2.3)</f>
        <v>2.2999999999999998</v>
      </c>
      <c r="S64" s="6">
        <f>_xlfn.MAXIFS(F64:G64,D64:E64,"1")</f>
        <v>10</v>
      </c>
      <c r="T64" s="6">
        <f>_xlfn.MAXIFS(G64:H64, E64:F64,"&gt;1")</f>
        <v>-1</v>
      </c>
      <c r="U64" s="6">
        <f>_xlfn.MAXIFS(G64:H64,F64:G64,"&lt;&gt;-1")</f>
        <v>-1</v>
      </c>
      <c r="V64" s="6">
        <f>_xlfn.MAXIFS(I64:J64,G64:H64,1)</f>
        <v>0</v>
      </c>
      <c r="W64" s="6">
        <f>_xlfn.MAXIFS(D64:E64,H64:I64,H64)</f>
        <v>0</v>
      </c>
      <c r="X64" s="6">
        <f>_xlfn.MAXIFS(E64:F64,I64:J64,I64)</f>
        <v>2.2999999999999998</v>
      </c>
      <c r="Y64" s="6">
        <f>_xlfn.MAXIFS(F64:G64,I64:J64,"&lt;=TRUE")</f>
        <v>-1</v>
      </c>
      <c r="Z64" s="6" t="e">
        <f t="shared" ref="Z64:AF64" si="52">_xlfn.MAXIFS(K64:L64,I64:J64,I64)</f>
        <v>#VALUE!</v>
      </c>
      <c r="AA64" s="6" t="e">
        <f t="shared" si="52"/>
        <v>#N/A</v>
      </c>
      <c r="AB64" s="6" t="e">
        <f t="shared" si="52"/>
        <v>#DIV/0!</v>
      </c>
      <c r="AC64" s="6" t="e">
        <f t="shared" si="52"/>
        <v>#NAME?</v>
      </c>
      <c r="AD64" s="6" t="e">
        <f t="shared" si="52"/>
        <v>#NULL!</v>
      </c>
      <c r="AE64" s="6" t="e">
        <f t="shared" si="52"/>
        <v>#NUM!</v>
      </c>
      <c r="AF64" s="6" t="e">
        <f t="shared" si="52"/>
        <v>#REF!</v>
      </c>
      <c r="AG64" s="6" t="e">
        <f t="array" ref="AG64">_xlfn.MAXIFS(E64:I64,D64:H64,{1,"&gt;3"}, C64:F64,{0,1})</f>
        <v>#VALUE!</v>
      </c>
      <c r="AH64" s="6">
        <f t="array" ref="AH64:AW64">_xlfn.MAXIFS(C64:G64,F64:J64,{"*ao","","TRUE",TRUE,"*a?"},D64:H64, "&gt;0")</f>
        <v>0</v>
      </c>
      <c r="AI64" s="6">
        <v>2.2999999999999998</v>
      </c>
      <c r="AJ64" s="6">
        <v>0</v>
      </c>
      <c r="AK64" s="6">
        <v>0</v>
      </c>
      <c r="AL64" s="6">
        <v>0</v>
      </c>
      <c r="AM64" s="6" t="e">
        <v>#N/A</v>
      </c>
      <c r="AN64" s="6" t="e">
        <v>#N/A</v>
      </c>
      <c r="AO64" s="6" t="e">
        <v>#N/A</v>
      </c>
      <c r="AP64" s="6" t="e">
        <v>#N/A</v>
      </c>
      <c r="AQ64" s="6" t="e">
        <v>#N/A</v>
      </c>
      <c r="AR64" s="6" t="e">
        <v>#N/A</v>
      </c>
      <c r="AS64" s="6" t="e">
        <v>#N/A</v>
      </c>
      <c r="AT64" s="6" t="e">
        <v>#N/A</v>
      </c>
      <c r="AU64" s="6" t="e">
        <v>#N/A</v>
      </c>
      <c r="AV64" s="6" t="e">
        <v>#N/A</v>
      </c>
      <c r="AW64" s="4" t="e">
        <v>#N/A</v>
      </c>
    </row>
    <row r="65" spans="1:49" x14ac:dyDescent="0.15">
      <c r="A65" s="35" t="s">
        <v>159</v>
      </c>
      <c r="B65" s="36" t="s">
        <v>541</v>
      </c>
      <c r="C65" s="4">
        <v>0</v>
      </c>
      <c r="D65" s="4">
        <v>-0.1</v>
      </c>
      <c r="E65" s="4">
        <v>-0.2</v>
      </c>
      <c r="F65" s="4">
        <v>-0.3</v>
      </c>
      <c r="G65" s="4">
        <v>0.1</v>
      </c>
      <c r="H65" s="6"/>
      <c r="I65" s="16" t="s">
        <v>444</v>
      </c>
      <c r="J65" s="6" t="b">
        <v>1</v>
      </c>
      <c r="K65" s="6" t="e">
        <v>#VALUE!</v>
      </c>
      <c r="L65" s="6" t="e">
        <v>#N/A</v>
      </c>
      <c r="M65" s="7" t="e">
        <v>#DIV/0!</v>
      </c>
      <c r="N65" s="7" t="e">
        <v>#NAME?</v>
      </c>
      <c r="O65" s="7" t="e">
        <v>#NULL!</v>
      </c>
      <c r="P65" s="7" t="e">
        <v>#NUM!</v>
      </c>
      <c r="Q65" s="7" t="e">
        <v>#REF!</v>
      </c>
      <c r="R65" s="6">
        <f>MEDIAN(C65:D65,D65:E65,E65:F65)</f>
        <v>-0.15000000000000002</v>
      </c>
      <c r="S65" s="6" t="e" vm="96">
        <f>MEDIAN(D65:E65,E65:F65,F65:G65,"")</f>
        <v>#VALUE!</v>
      </c>
      <c r="T65" s="6">
        <f>MEDIAN(E65:F65,F65:G65,G65:H65,"29/02/1900")</f>
        <v>-4.9999999999999989E-2</v>
      </c>
      <c r="U65" s="6" t="e">
        <f>MEDIAN(H65)</f>
        <v>#NUM!</v>
      </c>
      <c r="V65" s="6">
        <f>MEDIAN(G65:H65,H65:I65,I65:J65)</f>
        <v>0.1</v>
      </c>
      <c r="W65" s="6">
        <f>MEDIAN(G65:H65)</f>
        <v>0.1</v>
      </c>
      <c r="X65" s="6">
        <f>MEDIAN(I65,G65)</f>
        <v>0.1</v>
      </c>
      <c r="Y65" s="6">
        <f>MEDIAN(J65,G65)</f>
        <v>0.1</v>
      </c>
      <c r="Z65" s="6" t="e">
        <f t="shared" ref="Z65:AF65" si="53">MEDIAN(K65:L65)</f>
        <v>#VALUE!</v>
      </c>
      <c r="AA65" s="6" t="e">
        <f t="shared" si="53"/>
        <v>#N/A</v>
      </c>
      <c r="AB65" s="6" t="e">
        <f t="shared" si="53"/>
        <v>#DIV/0!</v>
      </c>
      <c r="AC65" s="6" t="e">
        <f t="shared" si="53"/>
        <v>#NAME?</v>
      </c>
      <c r="AD65" s="6" t="e">
        <f t="shared" si="53"/>
        <v>#NULL!</v>
      </c>
      <c r="AE65" s="6" t="e">
        <f t="shared" si="53"/>
        <v>#NUM!</v>
      </c>
      <c r="AF65" s="6" t="e">
        <f t="shared" si="53"/>
        <v>#REF!</v>
      </c>
      <c r="AG65" s="6" t="e">
        <f>MEDIAN(H65:J65)</f>
        <v>#NUM!</v>
      </c>
      <c r="AH65" s="6">
        <f t="array" ref="AH65:AM65">MEDIAN(C65:J65)</f>
        <v>-0.1</v>
      </c>
      <c r="AI65" s="6">
        <v>-0.1</v>
      </c>
      <c r="AJ65" s="6">
        <v>-0.1</v>
      </c>
      <c r="AK65" s="6">
        <v>-0.1</v>
      </c>
      <c r="AL65" s="6">
        <v>-0.1</v>
      </c>
      <c r="AM65" s="6">
        <v>-0.1</v>
      </c>
      <c r="AN65" s="6" t="e">
        <f t="array" ref="AN65:AW65">MEDIAN(J65:Q65)</f>
        <v>#VALUE!</v>
      </c>
      <c r="AO65" s="6" t="e">
        <v>#VALUE!</v>
      </c>
      <c r="AP65" s="6" t="e">
        <v>#VALUE!</v>
      </c>
      <c r="AQ65" s="6" t="e">
        <v>#VALUE!</v>
      </c>
      <c r="AR65" s="6" t="e">
        <v>#VALUE!</v>
      </c>
      <c r="AS65" s="6" t="e">
        <v>#VALUE!</v>
      </c>
      <c r="AT65" s="6" t="e">
        <v>#VALUE!</v>
      </c>
      <c r="AU65" s="6" t="e">
        <v>#VALUE!</v>
      </c>
      <c r="AV65" s="6" t="e">
        <v>#VALUE!</v>
      </c>
      <c r="AW65" s="4" t="e">
        <v>#VALUE!</v>
      </c>
    </row>
    <row r="66" spans="1:49" x14ac:dyDescent="0.15">
      <c r="A66" s="35" t="s">
        <v>19</v>
      </c>
      <c r="B66" s="36" t="s">
        <v>541</v>
      </c>
      <c r="C66" s="4">
        <v>0</v>
      </c>
      <c r="D66" s="4">
        <v>-0.1</v>
      </c>
      <c r="E66" s="4">
        <v>-0.2</v>
      </c>
      <c r="F66" s="4">
        <v>-0.3</v>
      </c>
      <c r="G66" s="4">
        <v>0.1</v>
      </c>
      <c r="H66" s="6"/>
      <c r="I66" s="16" t="s">
        <v>444</v>
      </c>
      <c r="J66" s="6" t="b">
        <v>1</v>
      </c>
      <c r="K66" s="6" t="e">
        <v>#VALUE!</v>
      </c>
      <c r="L66" s="6" t="e">
        <v>#N/A</v>
      </c>
      <c r="M66" s="7" t="e">
        <v>#DIV/0!</v>
      </c>
      <c r="N66" s="7" t="e">
        <v>#NAME?</v>
      </c>
      <c r="O66" s="7" t="e">
        <v>#NULL!</v>
      </c>
      <c r="P66" s="7" t="e">
        <v>#NUM!</v>
      </c>
      <c r="Q66" s="7" t="e">
        <v>#REF!</v>
      </c>
      <c r="R66" s="6">
        <f>MIN(C66:D66,D66:E66,E66:F66)</f>
        <v>-0.3</v>
      </c>
      <c r="S66" s="6" t="e" vm="97">
        <f>MIN(D66:E66,E66:F66,F66:G66,"")</f>
        <v>#VALUE!</v>
      </c>
      <c r="T66" s="6">
        <f>MIN(E66:F66,F66:G66,G66:H66,"29/02/1900")</f>
        <v>-0.3</v>
      </c>
      <c r="U66" s="6">
        <f>MIN(H66)</f>
        <v>0</v>
      </c>
      <c r="V66" s="6">
        <f>MIN(G66:H66,H66:I66,I66:J66)</f>
        <v>0.1</v>
      </c>
      <c r="W66" s="6">
        <f>MIN(G66:H66)</f>
        <v>0.1</v>
      </c>
      <c r="X66" s="6">
        <f>MIN(I66,G66)</f>
        <v>0.1</v>
      </c>
      <c r="Y66" s="6">
        <f>MIN(J66,G66)</f>
        <v>0.1</v>
      </c>
      <c r="Z66" s="6" t="e">
        <f t="shared" ref="Z66:AF66" si="54">MIN(K66:L66)</f>
        <v>#VALUE!</v>
      </c>
      <c r="AA66" s="6" t="e">
        <f t="shared" si="54"/>
        <v>#N/A</v>
      </c>
      <c r="AB66" s="6" t="e">
        <f t="shared" si="54"/>
        <v>#DIV/0!</v>
      </c>
      <c r="AC66" s="6" t="e">
        <f t="shared" si="54"/>
        <v>#NAME?</v>
      </c>
      <c r="AD66" s="6" t="e">
        <f t="shared" si="54"/>
        <v>#NULL!</v>
      </c>
      <c r="AE66" s="6" t="e">
        <f t="shared" si="54"/>
        <v>#NUM!</v>
      </c>
      <c r="AF66" s="6" t="e">
        <f t="shared" si="54"/>
        <v>#REF!</v>
      </c>
      <c r="AG66" s="6">
        <f>MIN(H66:J66)</f>
        <v>0</v>
      </c>
      <c r="AH66" s="6">
        <f t="array" ref="AH66:AM66">MIN(C66:J66)</f>
        <v>-0.3</v>
      </c>
      <c r="AI66" s="6">
        <v>-0.3</v>
      </c>
      <c r="AJ66" s="6">
        <v>-0.3</v>
      </c>
      <c r="AK66" s="6">
        <v>-0.3</v>
      </c>
      <c r="AL66" s="6">
        <v>-0.3</v>
      </c>
      <c r="AM66" s="6">
        <v>-0.3</v>
      </c>
      <c r="AN66" s="6" t="e">
        <f t="array" ref="AN66:AW66">MIN(J66:Q66)</f>
        <v>#VALUE!</v>
      </c>
      <c r="AO66" s="6" t="e">
        <v>#VALUE!</v>
      </c>
      <c r="AP66" s="6" t="e">
        <v>#VALUE!</v>
      </c>
      <c r="AQ66" s="6" t="e">
        <v>#VALUE!</v>
      </c>
      <c r="AR66" s="6" t="e">
        <v>#VALUE!</v>
      </c>
      <c r="AS66" s="6" t="e">
        <v>#VALUE!</v>
      </c>
      <c r="AT66" s="6" t="e">
        <v>#VALUE!</v>
      </c>
      <c r="AU66" s="6" t="e">
        <v>#VALUE!</v>
      </c>
      <c r="AV66" s="6" t="e">
        <v>#VALUE!</v>
      </c>
      <c r="AW66" s="4" t="e">
        <v>#VALUE!</v>
      </c>
    </row>
    <row r="67" spans="1:49" x14ac:dyDescent="0.15">
      <c r="A67" s="35" t="s">
        <v>161</v>
      </c>
      <c r="B67" s="36" t="s">
        <v>541</v>
      </c>
      <c r="C67" s="4">
        <v>0</v>
      </c>
      <c r="D67" s="4">
        <v>-0.1</v>
      </c>
      <c r="E67" s="4">
        <v>2</v>
      </c>
      <c r="F67" s="4">
        <v>3</v>
      </c>
      <c r="G67" s="4">
        <v>4</v>
      </c>
      <c r="H67" s="6"/>
      <c r="I67" s="16" t="s">
        <v>444</v>
      </c>
      <c r="J67" s="6" t="b">
        <v>1</v>
      </c>
      <c r="K67" s="6" t="e">
        <v>#VALUE!</v>
      </c>
      <c r="L67" s="6" t="e">
        <v>#N/A</v>
      </c>
      <c r="M67" s="7" t="e">
        <v>#DIV/0!</v>
      </c>
      <c r="N67" s="7" t="e">
        <v>#NAME?</v>
      </c>
      <c r="O67" s="7" t="e">
        <v>#NULL!</v>
      </c>
      <c r="P67" s="7" t="e">
        <v>#NUM!</v>
      </c>
      <c r="Q67" s="7" t="e">
        <v>#REF!</v>
      </c>
      <c r="R67" s="6">
        <f>MINA(C67:D67,D67:E67,E67:F67)</f>
        <v>-0.1</v>
      </c>
      <c r="S67" s="6" t="e" vm="98">
        <f>MINA(D67:E67,E67:F67,F67:G67,"")</f>
        <v>#VALUE!</v>
      </c>
      <c r="T67" s="6">
        <f>MINA(E67,F67,J67,"29/02/1900")</f>
        <v>1</v>
      </c>
      <c r="U67" s="6">
        <f>MINA(H67)</f>
        <v>0</v>
      </c>
      <c r="V67" s="6">
        <f>MINA(G67,H67,I67)</f>
        <v>0</v>
      </c>
      <c r="W67" s="6">
        <f>MINA(H67,I67,J67)</f>
        <v>0</v>
      </c>
      <c r="X67" s="6">
        <f>MINA(I67,G67)</f>
        <v>0</v>
      </c>
      <c r="Y67" s="6">
        <f>MINA(J67,G67)</f>
        <v>1</v>
      </c>
      <c r="Z67" s="6" t="e">
        <f t="shared" ref="Z67:AF67" si="55">MINA(K67:L67)</f>
        <v>#VALUE!</v>
      </c>
      <c r="AA67" s="6" t="e">
        <f t="shared" si="55"/>
        <v>#N/A</v>
      </c>
      <c r="AB67" s="6" t="e">
        <f t="shared" si="55"/>
        <v>#DIV/0!</v>
      </c>
      <c r="AC67" s="6" t="e">
        <f t="shared" si="55"/>
        <v>#NAME?</v>
      </c>
      <c r="AD67" s="6" t="e">
        <f t="shared" si="55"/>
        <v>#NULL!</v>
      </c>
      <c r="AE67" s="6" t="e">
        <f t="shared" si="55"/>
        <v>#NUM!</v>
      </c>
      <c r="AF67" s="6" t="e">
        <f t="shared" si="55"/>
        <v>#REF!</v>
      </c>
      <c r="AG67" s="6">
        <f>MINA(H67:J67)</f>
        <v>0</v>
      </c>
      <c r="AH67" s="6">
        <f t="array" ref="AH67:AM67">MINA(C67:J67)</f>
        <v>-0.1</v>
      </c>
      <c r="AI67" s="6">
        <v>-0.1</v>
      </c>
      <c r="AJ67" s="6">
        <v>-0.1</v>
      </c>
      <c r="AK67" s="6">
        <v>-0.1</v>
      </c>
      <c r="AL67" s="6">
        <v>-0.1</v>
      </c>
      <c r="AM67" s="6">
        <v>-0.1</v>
      </c>
      <c r="AN67" s="6" t="e">
        <f t="array" ref="AN67:AW67">MINA(J67:Q67)</f>
        <v>#VALUE!</v>
      </c>
      <c r="AO67" s="6" t="e">
        <v>#VALUE!</v>
      </c>
      <c r="AP67" s="6" t="e">
        <v>#VALUE!</v>
      </c>
      <c r="AQ67" s="6" t="e">
        <v>#VALUE!</v>
      </c>
      <c r="AR67" s="6" t="e">
        <v>#VALUE!</v>
      </c>
      <c r="AS67" s="6" t="e">
        <v>#VALUE!</v>
      </c>
      <c r="AT67" s="6" t="e">
        <v>#VALUE!</v>
      </c>
      <c r="AU67" s="6" t="e">
        <v>#VALUE!</v>
      </c>
      <c r="AV67" s="6" t="e">
        <v>#VALUE!</v>
      </c>
      <c r="AW67" s="4" t="e">
        <v>#VALUE!</v>
      </c>
    </row>
    <row r="68" spans="1:49" x14ac:dyDescent="0.15">
      <c r="A68" s="35" t="s">
        <v>160</v>
      </c>
      <c r="B68" s="36" t="s">
        <v>541</v>
      </c>
      <c r="C68" s="4">
        <v>1</v>
      </c>
      <c r="D68" s="4">
        <v>1</v>
      </c>
      <c r="E68" s="4">
        <v>2.2999999999999998</v>
      </c>
      <c r="F68" s="4">
        <v>10</v>
      </c>
      <c r="G68" s="4">
        <v>-1</v>
      </c>
      <c r="H68" s="6"/>
      <c r="I68" s="16" t="s">
        <v>32</v>
      </c>
      <c r="J68" s="6" t="b">
        <v>1</v>
      </c>
      <c r="K68" s="6" t="e">
        <v>#VALUE!</v>
      </c>
      <c r="L68" s="6" t="e">
        <v>#N/A</v>
      </c>
      <c r="M68" s="7" t="e">
        <v>#DIV/0!</v>
      </c>
      <c r="N68" s="7" t="e">
        <v>#NAME?</v>
      </c>
      <c r="O68" s="7" t="e">
        <v>#NULL!</v>
      </c>
      <c r="P68" s="7" t="e">
        <v>#NUM!</v>
      </c>
      <c r="Q68" s="7" t="e">
        <v>#REF!</v>
      </c>
      <c r="R68" s="6">
        <f>_xlfn.MINIFS(E68:F68, C68:D68,1,E68:F68,2.3)</f>
        <v>2.2999999999999998</v>
      </c>
      <c r="S68" s="6">
        <f>_xlfn.MINIFS(F68:G68,D68:E68,"1")</f>
        <v>10</v>
      </c>
      <c r="T68" s="6">
        <f>_xlfn.MINIFS(G68:H68, E68:F68,"&gt;1")</f>
        <v>-1</v>
      </c>
      <c r="U68" s="6">
        <f>_xlfn.MINIFS(G68:H68,F68:G68,"&lt;&gt;-1")</f>
        <v>-1</v>
      </c>
      <c r="V68" s="6">
        <f>_xlfn.MINIFS(I68:J68,G68:H68,1)</f>
        <v>0</v>
      </c>
      <c r="W68" s="6">
        <f>_xlfn.MINIFS(D68:E68,H68:I68,H68)</f>
        <v>0</v>
      </c>
      <c r="X68" s="6">
        <f>_xlfn.MINIFS(E68:F68,I68:J68,I68)</f>
        <v>2.2999999999999998</v>
      </c>
      <c r="Y68" s="6">
        <f>_xlfn.MINIFS(F68:G68,I68:J68,"&lt;=TRUE")</f>
        <v>-1</v>
      </c>
      <c r="Z68" s="6" t="e">
        <f t="shared" ref="Z68:AF68" si="56">_xlfn.MINIFS(K68:L68,I68:J68,I68)</f>
        <v>#VALUE!</v>
      </c>
      <c r="AA68" s="6" t="e">
        <f t="shared" si="56"/>
        <v>#N/A</v>
      </c>
      <c r="AB68" s="6" t="e">
        <f t="shared" si="56"/>
        <v>#DIV/0!</v>
      </c>
      <c r="AC68" s="6" t="e">
        <f t="shared" si="56"/>
        <v>#NAME?</v>
      </c>
      <c r="AD68" s="6" t="e">
        <f t="shared" si="56"/>
        <v>#NULL!</v>
      </c>
      <c r="AE68" s="6" t="e">
        <f t="shared" si="56"/>
        <v>#NUM!</v>
      </c>
      <c r="AF68" s="6" t="e">
        <f t="shared" si="56"/>
        <v>#REF!</v>
      </c>
      <c r="AG68" s="6" t="e">
        <f t="array" ref="AG68">_xlfn.MINIFS(E68:I68,D68:H68,{1,"&gt;3"}, C68:F68,{0,1})</f>
        <v>#VALUE!</v>
      </c>
      <c r="AH68" s="6">
        <f t="array" ref="AH68:AW68">_xlfn.MINIFS(C68:G68,F68:J68,{"*ao","","TRUE",TRUE,"*a?"},D68:H68, "&gt;0")</f>
        <v>0</v>
      </c>
      <c r="AI68" s="6">
        <v>2.2999999999999998</v>
      </c>
      <c r="AJ68" s="6">
        <v>0</v>
      </c>
      <c r="AK68" s="6">
        <v>0</v>
      </c>
      <c r="AL68" s="6">
        <v>0</v>
      </c>
      <c r="AM68" s="6" t="e">
        <v>#N/A</v>
      </c>
      <c r="AN68" s="6" t="e">
        <v>#N/A</v>
      </c>
      <c r="AO68" s="6" t="e">
        <v>#N/A</v>
      </c>
      <c r="AP68" s="6" t="e">
        <v>#N/A</v>
      </c>
      <c r="AQ68" s="6" t="e">
        <v>#N/A</v>
      </c>
      <c r="AR68" s="6" t="e">
        <v>#N/A</v>
      </c>
      <c r="AS68" s="6" t="e">
        <v>#N/A</v>
      </c>
      <c r="AT68" s="6" t="e">
        <v>#N/A</v>
      </c>
      <c r="AU68" s="6" t="e">
        <v>#N/A</v>
      </c>
      <c r="AV68" s="6" t="e">
        <v>#N/A</v>
      </c>
      <c r="AW68" s="4" t="e">
        <v>#N/A</v>
      </c>
    </row>
    <row r="69" spans="1:49" x14ac:dyDescent="0.15">
      <c r="A69" s="99" t="s">
        <v>162</v>
      </c>
      <c r="B69" s="100" t="s">
        <v>541</v>
      </c>
      <c r="C69" s="4">
        <v>0</v>
      </c>
      <c r="D69" s="4">
        <v>0.1</v>
      </c>
      <c r="E69" s="4">
        <v>0.1</v>
      </c>
      <c r="F69" s="4">
        <v>0.3</v>
      </c>
      <c r="G69" s="4">
        <v>-0.1</v>
      </c>
      <c r="H69" s="6"/>
      <c r="I69" s="16" t="s">
        <v>444</v>
      </c>
      <c r="J69" s="6" t="b">
        <v>1</v>
      </c>
      <c r="K69" s="6" t="e">
        <v>#VALUE!</v>
      </c>
      <c r="L69" s="6" t="e">
        <v>#N/A</v>
      </c>
      <c r="M69" s="7" t="e">
        <v>#DIV/0!</v>
      </c>
      <c r="N69" s="7" t="e">
        <v>#NAME?</v>
      </c>
      <c r="O69" s="7" t="e">
        <v>#NULL!</v>
      </c>
      <c r="P69" s="7" t="e">
        <v>#NUM!</v>
      </c>
      <c r="Q69" s="7" t="e">
        <v>#REF!</v>
      </c>
      <c r="R69" s="6" cm="1">
        <f t="array" ref="R69">_xlfn.MODE.MULT(C69:D69,D69:E69,E69:F69)</f>
        <v>0.1</v>
      </c>
      <c r="S69" s="6" cm="1">
        <f t="array" ref="S69">_xlfn.MODE.MULT(D69:E69,E69:F69,F69:G69,"")</f>
        <v>0.1</v>
      </c>
      <c r="T69" s="6" cm="1">
        <f t="array" ref="T69:T70">_xlfn.MODE.MULT(E69:F69,F69:G69,G69:H69,"29/02/1900")</f>
        <v>0.3</v>
      </c>
      <c r="U69" s="6" cm="1">
        <f t="array" ref="U69">_xlfn.MODE.MULT(F69:G69,G69:H69,H69:I69)</f>
        <v>-0.1</v>
      </c>
      <c r="V69" s="6" t="e" cm="1">
        <f t="array" ref="V69">_xlfn.MODE.MULT(G69:H69,H69:I69,I69:J69)</f>
        <v>#N/A</v>
      </c>
      <c r="W69" s="6" t="e" cm="1">
        <f t="array" ref="W69">_xlfn.MODE.MULT(G69:H69)</f>
        <v>#N/A</v>
      </c>
      <c r="X69" s="6" t="e" cm="1">
        <f t="array" ref="X69">_xlfn.MODE.MULT(I69,G69)</f>
        <v>#N/A</v>
      </c>
      <c r="Y69" s="6" t="e" cm="1">
        <f t="array" ref="Y69">_xlfn.MODE.MULT(J69,G69)</f>
        <v>#N/A</v>
      </c>
      <c r="Z69" s="6" t="e" cm="1">
        <f t="array" ref="Z69">_xlfn.MODE.MULT(K69:L69)</f>
        <v>#VALUE!</v>
      </c>
      <c r="AA69" s="6" t="e" cm="1">
        <f t="array" ref="AA69">_xlfn.MODE.MULT(L69:M69)</f>
        <v>#N/A</v>
      </c>
      <c r="AB69" s="6" t="e" cm="1">
        <f t="array" ref="AB69">_xlfn.MODE.MULT(M69:N69)</f>
        <v>#DIV/0!</v>
      </c>
      <c r="AC69" s="6" t="e" cm="1">
        <f t="array" ref="AC69">_xlfn.MODE.MULT(N69:O69)</f>
        <v>#NAME?</v>
      </c>
      <c r="AD69" s="6" t="e" cm="1">
        <f t="array" ref="AD69">_xlfn.MODE.MULT(O69:P69)</f>
        <v>#NULL!</v>
      </c>
      <c r="AE69" s="6" t="e" cm="1">
        <f t="array" ref="AE69">_xlfn.MODE.MULT(P69:Q69)</f>
        <v>#NUM!</v>
      </c>
      <c r="AF69" s="6" t="e" cm="1">
        <f t="array" ref="AF69">_xlfn.MODE.MULT(Q69:R69)</f>
        <v>#REF!</v>
      </c>
      <c r="AG69" s="6" t="e" cm="1">
        <f t="array" ref="AG69">_xlfn.MODE.MULT(H69:J69,D69:I69,E69:G69,F69:H69,)</f>
        <v>#VALUE!</v>
      </c>
      <c r="AH69" s="6" cm="1">
        <f t="array" ref="AH69:AH70">_xlfn.MODE.MULT(E69:F69,F69:G69,G69:H69,"29/02/1900")</f>
        <v>0.3</v>
      </c>
      <c r="AI69" s="6" cm="1">
        <f t="array" ref="AI69:AI70">_xlfn.MODE.MULT(G69:H69,E69:F69,F69:G69,"29/02/1900")</f>
        <v>-0.1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9" x14ac:dyDescent="0.15">
      <c r="A70" s="99"/>
      <c r="B70" s="100"/>
      <c r="H70" s="6"/>
      <c r="I70" s="16"/>
      <c r="J70" s="6"/>
      <c r="K70" s="6"/>
      <c r="L70" s="6"/>
      <c r="M70" s="7"/>
      <c r="N70" s="7"/>
      <c r="O70" s="7"/>
      <c r="P70" s="7"/>
      <c r="Q70" s="7"/>
      <c r="R70" s="6"/>
      <c r="S70" s="6"/>
      <c r="T70" s="6">
        <v>-0.1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-0.1</v>
      </c>
      <c r="AI70" s="6">
        <v>0.3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9" x14ac:dyDescent="0.15">
      <c r="A71" s="35" t="s">
        <v>163</v>
      </c>
      <c r="B71" s="36" t="s">
        <v>541</v>
      </c>
      <c r="C71" s="4">
        <v>0</v>
      </c>
      <c r="D71" s="4">
        <v>0.1</v>
      </c>
      <c r="E71" s="4">
        <v>0.2</v>
      </c>
      <c r="F71" s="4">
        <v>0.3</v>
      </c>
      <c r="G71" s="4">
        <v>-0.1</v>
      </c>
      <c r="H71" s="6"/>
      <c r="I71" s="16" t="s">
        <v>444</v>
      </c>
      <c r="J71" s="6" t="b">
        <v>1</v>
      </c>
      <c r="K71" s="6" t="e">
        <v>#VALUE!</v>
      </c>
      <c r="L71" s="6" t="e">
        <v>#N/A</v>
      </c>
      <c r="M71" s="7" t="e">
        <v>#DIV/0!</v>
      </c>
      <c r="N71" s="7" t="e">
        <v>#NAME?</v>
      </c>
      <c r="O71" s="7" t="e">
        <v>#NULL!</v>
      </c>
      <c r="P71" s="7" t="e">
        <v>#NUM!</v>
      </c>
      <c r="Q71" s="7" t="e">
        <v>#REF!</v>
      </c>
      <c r="R71" s="6">
        <f>_xlfn.MODE.SNGL(C71:D71,D71:E71,E71:F71)</f>
        <v>0.1</v>
      </c>
      <c r="S71" s="6">
        <f>_xlfn.MODE.SNGL(D71:E71,E71:F71,F71:G71,"")</f>
        <v>0.2</v>
      </c>
      <c r="T71" s="6">
        <f>_xlfn.MODE.SNGL(E71:F71,F71:G71,G71:H71,"29/02/1900")</f>
        <v>0.3</v>
      </c>
      <c r="U71" s="6">
        <f>_xlfn.MODE.SNGL(F71:G71,G71:H71,H71:I71)</f>
        <v>-0.1</v>
      </c>
      <c r="V71" s="6" t="e">
        <f>_xlfn.MODE.SNGL(G71:H71,H71:I71,I71:J71)</f>
        <v>#N/A</v>
      </c>
      <c r="W71" s="6" t="e">
        <f>_xlfn.MODE.SNGL(G71:H71)</f>
        <v>#N/A</v>
      </c>
      <c r="X71" s="6" t="e">
        <f>_xlfn.MODE.SNGL(I71,G71)</f>
        <v>#N/A</v>
      </c>
      <c r="Y71" s="6" t="e">
        <f>_xlfn.MODE.SNGL(J71,G71)</f>
        <v>#N/A</v>
      </c>
      <c r="Z71" s="6" t="e">
        <f>_xlfn.MODE.SNGL(K71:L71)</f>
        <v>#VALUE!</v>
      </c>
      <c r="AA71" s="6" t="e">
        <f t="shared" ref="AA71:AF71" si="57">_xlfn.MODE.SNGL(L71:M71)</f>
        <v>#N/A</v>
      </c>
      <c r="AB71" s="6" t="e">
        <f t="shared" si="57"/>
        <v>#DIV/0!</v>
      </c>
      <c r="AC71" s="6" t="e">
        <f t="shared" si="57"/>
        <v>#NAME?</v>
      </c>
      <c r="AD71" s="6" t="e">
        <f t="shared" si="57"/>
        <v>#NULL!</v>
      </c>
      <c r="AE71" s="6" t="e">
        <f t="shared" si="57"/>
        <v>#NUM!</v>
      </c>
      <c r="AF71" s="6" t="e">
        <f t="shared" si="57"/>
        <v>#REF!</v>
      </c>
      <c r="AG71" s="6" t="e">
        <f t="array" ref="AG71">_xlfn.MODE.SNGL(H71:J71)</f>
        <v>#N/A</v>
      </c>
      <c r="AH71" s="6">
        <f t="array" ref="AH71:AW71">_xlfn.MODE.SNGL(C71:J71,D71:F71,E71:G71)</f>
        <v>0.2</v>
      </c>
      <c r="AI71" s="6">
        <v>0.2</v>
      </c>
      <c r="AJ71" s="6">
        <v>0.2</v>
      </c>
      <c r="AK71" s="6">
        <v>0.2</v>
      </c>
      <c r="AL71" s="6">
        <v>0.2</v>
      </c>
      <c r="AM71" s="6">
        <v>0.2</v>
      </c>
      <c r="AN71" s="6">
        <v>0.2</v>
      </c>
      <c r="AO71" s="6">
        <v>0.2</v>
      </c>
      <c r="AP71" s="6">
        <v>0.2</v>
      </c>
      <c r="AQ71" s="6">
        <v>0.2</v>
      </c>
      <c r="AR71" s="6">
        <v>0.2</v>
      </c>
      <c r="AS71" s="6">
        <v>0.2</v>
      </c>
      <c r="AT71" s="6">
        <v>0.2</v>
      </c>
      <c r="AU71" s="6">
        <v>0.2</v>
      </c>
      <c r="AV71" s="6">
        <v>0.2</v>
      </c>
      <c r="AW71" s="4">
        <v>0.2</v>
      </c>
    </row>
    <row r="72" spans="1:49" x14ac:dyDescent="0.15">
      <c r="A72" s="35" t="s">
        <v>164</v>
      </c>
      <c r="B72" s="36" t="s">
        <v>541</v>
      </c>
      <c r="C72" s="4">
        <v>0</v>
      </c>
      <c r="D72" s="4">
        <v>5</v>
      </c>
      <c r="E72" s="4">
        <v>0.7</v>
      </c>
      <c r="F72" s="4">
        <v>3</v>
      </c>
      <c r="G72" s="4">
        <v>4</v>
      </c>
      <c r="H72" s="6"/>
      <c r="I72" s="16" t="s">
        <v>444</v>
      </c>
      <c r="J72" s="6" t="b">
        <v>1</v>
      </c>
      <c r="K72" s="6" t="e">
        <v>#VALUE!</v>
      </c>
      <c r="L72" s="6" t="e">
        <v>#N/A</v>
      </c>
      <c r="M72" s="7" t="e">
        <v>#DIV/0!</v>
      </c>
      <c r="N72" s="7" t="e">
        <v>#NAME?</v>
      </c>
      <c r="O72" s="7" t="e">
        <v>#NULL!</v>
      </c>
      <c r="P72" s="7" t="e">
        <v>#NUM!</v>
      </c>
      <c r="Q72" s="7" t="e">
        <v>#REF!</v>
      </c>
      <c r="R72" s="6" t="e">
        <f>_xlfn.NEGBINOM.DIST(C72,,,)</f>
        <v>#NUM!</v>
      </c>
      <c r="S72" s="6">
        <f>_xlfn.NEGBINOM.DIST(D72,10,0.2,FALSE)</f>
        <v>6.7175972863999937E-5</v>
      </c>
      <c r="T72" s="6">
        <f>_xlfn.NEGBINOM.DIST(E72,"1",".3",5)</f>
        <v>0.3</v>
      </c>
      <c r="U72" s="6" t="e">
        <f>_xlfn.NEGBINOM.DIST(F72,-1,0.2,"TRUE")</f>
        <v>#NUM!</v>
      </c>
      <c r="V72" s="6">
        <f>_xlfn.NEGBINOM.DIST(G72, 7,0.4,1)</f>
        <v>9.935257600000004E-2</v>
      </c>
      <c r="W72" s="6" t="e">
        <f>_xlfn.NEGBINOM.DIST(H72,H72,G72/7,1)</f>
        <v>#NUM!</v>
      </c>
      <c r="X72" s="6" t="e">
        <f>_xlfn.NEGBINOM.DIST(I72,I72,,1)</f>
        <v>#NUM!</v>
      </c>
      <c r="Y72" s="6">
        <f>_xlfn.NEGBINOM.DIST(J72,I72,E72,1)</f>
        <v>9.6524153540527964E-9</v>
      </c>
      <c r="Z72" s="6" t="e">
        <f>_xlfn.NEGBINOM.DIST(K72,I72,G72,1)</f>
        <v>#VALUE!</v>
      </c>
      <c r="AA72" s="6" t="e">
        <f t="shared" ref="AA72:AF72" si="58">_xlfn.NEGBINOM.DIST(L72,J72,H72,1)</f>
        <v>#N/A</v>
      </c>
      <c r="AB72" s="6" t="e">
        <f t="shared" si="58"/>
        <v>#DIV/0!</v>
      </c>
      <c r="AC72" s="6" t="e">
        <f t="shared" si="58"/>
        <v>#NAME?</v>
      </c>
      <c r="AD72" s="6" t="e">
        <f t="shared" si="58"/>
        <v>#NULL!</v>
      </c>
      <c r="AE72" s="6" t="e">
        <f t="shared" si="58"/>
        <v>#NUM!</v>
      </c>
      <c r="AF72" s="6" t="e">
        <f t="shared" si="58"/>
        <v>#REF!</v>
      </c>
      <c r="AG72" s="6">
        <f t="array" ref="AG72">_xlfn.NEGBINOM.DIST(C72:Q72,3,0.3,1)</f>
        <v>2.6999999999999982E-2</v>
      </c>
      <c r="AH72" s="6">
        <f t="array" ref="AH72:AW72">_xlfn.NEGBINOM.DIST(C72:Q72,3,0.4,1)</f>
        <v>6.4000000000000015E-2</v>
      </c>
      <c r="AI72" s="6">
        <v>0.68460544000000001</v>
      </c>
      <c r="AJ72" s="6">
        <v>6.4000000000000015E-2</v>
      </c>
      <c r="AK72" s="6">
        <v>0.4556800000000002</v>
      </c>
      <c r="AL72" s="6">
        <v>0.58009600000000017</v>
      </c>
      <c r="AM72" s="6">
        <v>6.4000000000000015E-2</v>
      </c>
      <c r="AN72" s="6">
        <v>0.9999999999903828</v>
      </c>
      <c r="AO72" s="6">
        <v>0.17920000000000005</v>
      </c>
      <c r="AP72" s="6" t="e">
        <v>#VALUE!</v>
      </c>
      <c r="AQ72" s="6" t="e">
        <v>#N/A</v>
      </c>
      <c r="AR72" s="6" t="e">
        <v>#DIV/0!</v>
      </c>
      <c r="AS72" s="6" t="e">
        <v>#NAME?</v>
      </c>
      <c r="AT72" s="6" t="e">
        <v>#NULL!</v>
      </c>
      <c r="AU72" s="6" t="e">
        <v>#NUM!</v>
      </c>
      <c r="AV72" s="6" t="e">
        <v>#REF!</v>
      </c>
      <c r="AW72" s="4" t="e">
        <v>#N/A</v>
      </c>
    </row>
    <row r="73" spans="1:49" x14ac:dyDescent="0.15">
      <c r="A73" s="35" t="s">
        <v>165</v>
      </c>
      <c r="B73" s="36" t="s">
        <v>541</v>
      </c>
      <c r="C73" s="4">
        <v>0</v>
      </c>
      <c r="D73" s="4">
        <v>-0.1</v>
      </c>
      <c r="E73" s="4">
        <v>0.7</v>
      </c>
      <c r="F73" s="4">
        <v>3</v>
      </c>
      <c r="G73" s="4">
        <v>4</v>
      </c>
      <c r="H73" s="6"/>
      <c r="I73" s="16" t="s">
        <v>444</v>
      </c>
      <c r="J73" s="6" t="b">
        <v>1</v>
      </c>
      <c r="K73" s="6" t="e">
        <v>#VALUE!</v>
      </c>
      <c r="L73" s="6" t="e">
        <v>#N/A</v>
      </c>
      <c r="M73" s="7" t="e">
        <v>#DIV/0!</v>
      </c>
      <c r="N73" s="7" t="e">
        <v>#NAME?</v>
      </c>
      <c r="O73" s="7" t="e">
        <v>#NULL!</v>
      </c>
      <c r="P73" s="7" t="e">
        <v>#NUM!</v>
      </c>
      <c r="Q73" s="7" t="e">
        <v>#REF!</v>
      </c>
      <c r="R73" s="6" t="e">
        <f>_xlfn.NORM.DIST(C73,,,)</f>
        <v>#NUM!</v>
      </c>
      <c r="S73" s="6">
        <f>_xlfn.NORM.DIST(D73,1,2,FALSE)</f>
        <v>0.17147192750969195</v>
      </c>
      <c r="T73" s="6">
        <f>_xlfn.NORM.DIST(E73,"1","3",5)</f>
        <v>0.46017216272297101</v>
      </c>
      <c r="U73" s="6">
        <f>_xlfn.NORM.DIST(F73,-1,2,"TRUE")</f>
        <v>0.97724986805182079</v>
      </c>
      <c r="V73" s="6" t="e">
        <f>_xlfn.NORM.DIST(G73, 0,0,1)</f>
        <v>#NUM!</v>
      </c>
      <c r="W73" s="6">
        <f>_xlfn.NORM.DIST(H73,H73,G73,1)</f>
        <v>0.5</v>
      </c>
      <c r="X73" s="6">
        <f>_xlfn.NORM.DIST(I73,,I73,1)</f>
        <v>0.84134474606854304</v>
      </c>
      <c r="Y73" s="6">
        <f>_xlfn.NORM.DIST(J73,I73,E73,1)</f>
        <v>0</v>
      </c>
      <c r="Z73" s="6" t="e">
        <f t="shared" ref="Z73:AF73" si="59">_xlfn.NORM.DIST(K73,I73,G73,1)</f>
        <v>#VALUE!</v>
      </c>
      <c r="AA73" s="6" t="e">
        <f t="shared" si="59"/>
        <v>#N/A</v>
      </c>
      <c r="AB73" s="6" t="e">
        <f t="shared" si="59"/>
        <v>#DIV/0!</v>
      </c>
      <c r="AC73" s="6" t="e">
        <f t="shared" si="59"/>
        <v>#NAME?</v>
      </c>
      <c r="AD73" s="6" t="e">
        <f t="shared" si="59"/>
        <v>#NULL!</v>
      </c>
      <c r="AE73" s="6" t="e">
        <f t="shared" si="59"/>
        <v>#NUM!</v>
      </c>
      <c r="AF73" s="6" t="e">
        <f t="shared" si="59"/>
        <v>#REF!</v>
      </c>
      <c r="AG73" s="6">
        <f t="array" ref="AG73">_xlfn.NORM.DIST(C73:Q73,3,3,1)</f>
        <v>0.15865525393145699</v>
      </c>
      <c r="AH73" s="6">
        <f t="array" ref="AH73:AW73">_xlfn.NORM.DIST(C73:Q73,3,4,1)</f>
        <v>0.22662735237686821</v>
      </c>
      <c r="AI73" s="6">
        <v>0.21916982979337737</v>
      </c>
      <c r="AJ73" s="6">
        <v>0.28264564849720064</v>
      </c>
      <c r="AK73" s="6">
        <v>0.5</v>
      </c>
      <c r="AL73" s="6">
        <v>0.5987063256829237</v>
      </c>
      <c r="AM73" s="6">
        <v>0.22662735237686821</v>
      </c>
      <c r="AN73" s="6">
        <v>1</v>
      </c>
      <c r="AO73" s="6">
        <v>0.30853753872598688</v>
      </c>
      <c r="AP73" s="6" t="e">
        <v>#VALUE!</v>
      </c>
      <c r="AQ73" s="6" t="e">
        <v>#N/A</v>
      </c>
      <c r="AR73" s="6" t="e">
        <v>#DIV/0!</v>
      </c>
      <c r="AS73" s="6" t="e">
        <v>#NAME?</v>
      </c>
      <c r="AT73" s="6" t="e">
        <v>#NULL!</v>
      </c>
      <c r="AU73" s="6" t="e">
        <v>#NUM!</v>
      </c>
      <c r="AV73" s="6" t="e">
        <v>#REF!</v>
      </c>
      <c r="AW73" s="4" t="e">
        <v>#N/A</v>
      </c>
    </row>
    <row r="74" spans="1:49" x14ac:dyDescent="0.15">
      <c r="A74" s="35" t="s">
        <v>167</v>
      </c>
      <c r="B74" s="36" t="s">
        <v>541</v>
      </c>
      <c r="C74" s="4">
        <v>0</v>
      </c>
      <c r="D74" s="4">
        <v>-0.1</v>
      </c>
      <c r="E74" s="4">
        <v>0.7</v>
      </c>
      <c r="F74" s="4">
        <v>3</v>
      </c>
      <c r="G74" s="4">
        <v>4</v>
      </c>
      <c r="H74" s="6"/>
      <c r="I74" s="16" t="s">
        <v>444</v>
      </c>
      <c r="J74" s="6" t="b">
        <v>1</v>
      </c>
      <c r="K74" s="6" t="e">
        <v>#VALUE!</v>
      </c>
      <c r="L74" s="6" t="e">
        <v>#N/A</v>
      </c>
      <c r="M74" s="7" t="e">
        <v>#DIV/0!</v>
      </c>
      <c r="N74" s="7" t="e">
        <v>#NAME?</v>
      </c>
      <c r="O74" s="7" t="e">
        <v>#NULL!</v>
      </c>
      <c r="P74" s="7" t="e">
        <v>#NUM!</v>
      </c>
      <c r="Q74" s="7" t="e">
        <v>#REF!</v>
      </c>
      <c r="R74" s="6">
        <f>_xlfn.NORM.S.DIST(C74,)</f>
        <v>0.3989422804014327</v>
      </c>
      <c r="S74" s="6">
        <f>_xlfn.NORM.S.DIST(D74,FALSE)</f>
        <v>0.39695254747701181</v>
      </c>
      <c r="T74" s="6" t="e" vm="99">
        <f>_xlfn.NORM.S.DIST(E74,"1")</f>
        <v>#VALUE!</v>
      </c>
      <c r="U74" s="6">
        <f>_xlfn.NORM.S.DIST(F74,"TRUE")</f>
        <v>0.9986501019683699</v>
      </c>
      <c r="V74" s="6">
        <f>_xlfn.NORM.S.DIST(G74,1)</f>
        <v>0.99996832875816688</v>
      </c>
      <c r="W74" s="6">
        <f t="shared" ref="W74:AF74" si="60">_xlfn.NORM.S.DIST(H74,1)</f>
        <v>0.5</v>
      </c>
      <c r="X74" s="6">
        <f>_xlfn.NORM.S.DIST(I74,1)</f>
        <v>1</v>
      </c>
      <c r="Y74" s="6">
        <f>_xlfn.NORM.S.DIST(J74,1)</f>
        <v>0.84134474606854304</v>
      </c>
      <c r="Z74" s="6" t="e">
        <f t="shared" si="60"/>
        <v>#VALUE!</v>
      </c>
      <c r="AA74" s="6" t="e">
        <f t="shared" si="60"/>
        <v>#N/A</v>
      </c>
      <c r="AB74" s="6" t="e">
        <f t="shared" si="60"/>
        <v>#DIV/0!</v>
      </c>
      <c r="AC74" s="6" t="e">
        <f t="shared" si="60"/>
        <v>#NAME?</v>
      </c>
      <c r="AD74" s="6" t="e">
        <f t="shared" si="60"/>
        <v>#NULL!</v>
      </c>
      <c r="AE74" s="6" t="e">
        <f t="shared" si="60"/>
        <v>#NUM!</v>
      </c>
      <c r="AF74" s="6" t="e">
        <f t="shared" si="60"/>
        <v>#REF!</v>
      </c>
      <c r="AG74" s="6">
        <f t="array" ref="AG74">_xlfn.NORM.S.DIST(C74:Q74,1)</f>
        <v>0.5</v>
      </c>
      <c r="AH74" s="6">
        <f t="array" ref="AH74:AW74">_xlfn.NORM.S.DIST(C74:Q74,1)</f>
        <v>0.5</v>
      </c>
      <c r="AI74" s="6">
        <v>0.46017216272297101</v>
      </c>
      <c r="AJ74" s="6">
        <v>0.75803634777692697</v>
      </c>
      <c r="AK74" s="6">
        <v>0.9986501019683699</v>
      </c>
      <c r="AL74" s="6">
        <v>0.99996832875816688</v>
      </c>
      <c r="AM74" s="6">
        <v>0.5</v>
      </c>
      <c r="AN74" s="6">
        <v>1</v>
      </c>
      <c r="AO74" s="6">
        <v>0.84134474606854304</v>
      </c>
      <c r="AP74" s="6" t="e">
        <v>#VALUE!</v>
      </c>
      <c r="AQ74" s="6" t="e">
        <v>#N/A</v>
      </c>
      <c r="AR74" s="6" t="e">
        <v>#DIV/0!</v>
      </c>
      <c r="AS74" s="6" t="e">
        <v>#NAME?</v>
      </c>
      <c r="AT74" s="6" t="e">
        <v>#NULL!</v>
      </c>
      <c r="AU74" s="6" t="e">
        <v>#NUM!</v>
      </c>
      <c r="AV74" s="6" t="e">
        <v>#REF!</v>
      </c>
      <c r="AW74" s="4" t="e">
        <v>#N/A</v>
      </c>
    </row>
    <row r="75" spans="1:49" x14ac:dyDescent="0.15">
      <c r="A75" s="35" t="s">
        <v>168</v>
      </c>
      <c r="B75" s="36" t="s">
        <v>541</v>
      </c>
      <c r="C75" s="4">
        <v>0</v>
      </c>
      <c r="D75" s="4">
        <v>-0.1</v>
      </c>
      <c r="E75" s="4">
        <v>0.7</v>
      </c>
      <c r="F75" s="4">
        <v>2E-3</v>
      </c>
      <c r="G75" s="4">
        <v>4</v>
      </c>
      <c r="H75" s="6"/>
      <c r="I75" s="16" t="s">
        <v>444</v>
      </c>
      <c r="J75" s="6" t="b">
        <v>1</v>
      </c>
      <c r="K75" s="6" t="e">
        <v>#VALUE!</v>
      </c>
      <c r="L75" s="6" t="e">
        <v>#N/A</v>
      </c>
      <c r="M75" s="7" t="e">
        <v>#DIV/0!</v>
      </c>
      <c r="N75" s="7" t="e">
        <v>#NAME?</v>
      </c>
      <c r="O75" s="7" t="e">
        <v>#NULL!</v>
      </c>
      <c r="P75" s="7" t="e">
        <v>#NUM!</v>
      </c>
      <c r="Q75" s="7" t="e">
        <v>#REF!</v>
      </c>
      <c r="R75" s="6" t="e">
        <f>_xlfn.NORM.S.INV(C75)</f>
        <v>#NUM!</v>
      </c>
      <c r="S75" s="6" t="e">
        <f>_xlfn.NORM.S.INV(D75)</f>
        <v>#NUM!</v>
      </c>
      <c r="T75" s="6">
        <f>_xlfn.NORM.S.INV(E75)</f>
        <v>0.52440051270804078</v>
      </c>
      <c r="U75" s="6">
        <f t="shared" ref="U75:AE75" si="61">_xlfn.NORM.S.INV(F75)</f>
        <v>-2.8781617390954826</v>
      </c>
      <c r="V75" s="6" t="e">
        <f t="shared" si="61"/>
        <v>#NUM!</v>
      </c>
      <c r="W75" s="6" t="e">
        <f t="shared" si="61"/>
        <v>#NUM!</v>
      </c>
      <c r="X75" s="6" t="e">
        <f t="shared" si="61"/>
        <v>#NUM!</v>
      </c>
      <c r="Y75" s="6" t="e">
        <f>_xlfn.NORM.S.INV(J75)</f>
        <v>#NUM!</v>
      </c>
      <c r="Z75" s="6" t="e">
        <f>_xlfn.NORM.S.INV(K75)</f>
        <v>#VALUE!</v>
      </c>
      <c r="AA75" s="6" t="e">
        <f t="shared" si="61"/>
        <v>#N/A</v>
      </c>
      <c r="AB75" s="6" t="e">
        <f t="shared" si="61"/>
        <v>#DIV/0!</v>
      </c>
      <c r="AC75" s="6" t="e">
        <f t="shared" si="61"/>
        <v>#NAME?</v>
      </c>
      <c r="AD75" s="6" t="e">
        <f t="shared" si="61"/>
        <v>#NULL!</v>
      </c>
      <c r="AE75" s="6" t="e">
        <f t="shared" si="61"/>
        <v>#NUM!</v>
      </c>
      <c r="AF75" s="6" t="e">
        <f>_xlfn.NORM.S.INV(Q75)</f>
        <v>#REF!</v>
      </c>
      <c r="AG75" s="6" t="e">
        <f t="array" ref="AG75">_xlfn.NORM.S.INV(C75:Q75)</f>
        <v>#NUM!</v>
      </c>
      <c r="AH75" s="6" t="e">
        <f t="array" ref="AH75:AW75">_xlfn.NORM.S.INV(C75:Q75)</f>
        <v>#NUM!</v>
      </c>
      <c r="AI75" s="6" t="e">
        <v>#NUM!</v>
      </c>
      <c r="AJ75" s="6">
        <v>0.52440051270804078</v>
      </c>
      <c r="AK75" s="6">
        <v>-2.8781617390954826</v>
      </c>
      <c r="AL75" s="6" t="e">
        <v>#NUM!</v>
      </c>
      <c r="AM75" s="6" t="e">
        <v>#NUM!</v>
      </c>
      <c r="AN75" s="6" t="e">
        <v>#NUM!</v>
      </c>
      <c r="AO75" s="6" t="e">
        <v>#NUM!</v>
      </c>
      <c r="AP75" s="6" t="e">
        <v>#VALUE!</v>
      </c>
      <c r="AQ75" s="6" t="e">
        <v>#N/A</v>
      </c>
      <c r="AR75" s="6" t="e">
        <v>#DIV/0!</v>
      </c>
      <c r="AS75" s="6" t="e">
        <v>#NAME?</v>
      </c>
      <c r="AT75" s="6" t="e">
        <v>#NULL!</v>
      </c>
      <c r="AU75" s="6" t="e">
        <v>#NUM!</v>
      </c>
      <c r="AV75" s="6" t="e">
        <v>#REF!</v>
      </c>
      <c r="AW75" s="4" t="e">
        <v>#N/A</v>
      </c>
    </row>
    <row r="76" spans="1:49" x14ac:dyDescent="0.15">
      <c r="A76" s="37" t="s">
        <v>470</v>
      </c>
      <c r="B76" s="36" t="s">
        <v>541</v>
      </c>
      <c r="C76" s="4">
        <v>0</v>
      </c>
      <c r="D76" s="4">
        <v>-0.1</v>
      </c>
      <c r="E76" s="4">
        <v>0.7</v>
      </c>
      <c r="F76" s="4">
        <v>2E-3</v>
      </c>
      <c r="G76" s="4">
        <v>4</v>
      </c>
      <c r="H76" s="6"/>
      <c r="I76" s="16" t="s">
        <v>444</v>
      </c>
      <c r="J76" s="6" t="b">
        <v>1</v>
      </c>
      <c r="K76" s="6" t="e">
        <v>#VALUE!</v>
      </c>
      <c r="L76" s="6" t="e">
        <v>#N/A</v>
      </c>
      <c r="M76" s="7" t="e">
        <v>#DIV/0!</v>
      </c>
      <c r="N76" s="7" t="e">
        <v>#NAME?</v>
      </c>
      <c r="O76" s="7" t="e">
        <v>#NULL!</v>
      </c>
      <c r="P76" s="7" t="e">
        <v>#NUM!</v>
      </c>
      <c r="Q76" s="7" t="e">
        <v>#REF!</v>
      </c>
      <c r="R76" s="6" t="e">
        <f>NORMINV(C76,4,4)</f>
        <v>#NUM!</v>
      </c>
      <c r="S76" s="6" t="e">
        <f>NORMINV(D76,2,2)</f>
        <v>#NUM!</v>
      </c>
      <c r="T76" s="6">
        <f>NORMINV(0.4,2,E76)</f>
        <v>1.8226570278049401</v>
      </c>
      <c r="U76" s="6">
        <f>NORMINV(F76,4,3)</f>
        <v>-4.6344852172864481</v>
      </c>
      <c r="V76" s="6" t="e">
        <f>NORMINV(G76,D76,E76)</f>
        <v>#NUM!</v>
      </c>
      <c r="W76" s="6" t="e">
        <f>NORMINV(H76,3,2)</f>
        <v>#NUM!</v>
      </c>
      <c r="X76" s="6">
        <f>NORMINV(0.3,I76,2)</f>
        <v>58.951198974583917</v>
      </c>
      <c r="Y76" s="6">
        <f>NORMINV(0.3,J76,2)</f>
        <v>-4.8801025416081778E-2</v>
      </c>
      <c r="Z76" s="6" t="e">
        <f t="shared" ref="Z76:AF76" si="62">NORMINV(K76,C76,E76)</f>
        <v>#VALUE!</v>
      </c>
      <c r="AA76" s="6" t="e">
        <f t="shared" si="62"/>
        <v>#N/A</v>
      </c>
      <c r="AB76" s="6" t="e">
        <f t="shared" si="62"/>
        <v>#DIV/0!</v>
      </c>
      <c r="AC76" s="6" t="e">
        <f t="shared" si="62"/>
        <v>#NAME?</v>
      </c>
      <c r="AD76" s="6" t="e">
        <f t="shared" si="62"/>
        <v>#NULL!</v>
      </c>
      <c r="AE76" s="6" t="e">
        <f t="shared" si="62"/>
        <v>#NUM!</v>
      </c>
      <c r="AF76" s="6" t="e">
        <f t="shared" si="62"/>
        <v>#REF!</v>
      </c>
      <c r="AG76" s="6" t="e">
        <f t="array" ref="AG76">NORMINV(C76:Q76,3,3)</f>
        <v>#NUM!</v>
      </c>
      <c r="AH76" s="6" t="e">
        <f t="array" ref="AH76:AW76">NORMINV(C76:Q76, 3,2)</f>
        <v>#NUM!</v>
      </c>
      <c r="AI76" s="6" t="e">
        <v>#NUM!</v>
      </c>
      <c r="AJ76" s="6">
        <v>4.0488010254160818</v>
      </c>
      <c r="AK76" s="6">
        <v>-2.7563234781909651</v>
      </c>
      <c r="AL76" s="6" t="e">
        <v>#NUM!</v>
      </c>
      <c r="AM76" s="6" t="e">
        <v>#NUM!</v>
      </c>
      <c r="AN76" s="6" t="e">
        <v>#NUM!</v>
      </c>
      <c r="AO76" s="6" t="e">
        <v>#NUM!</v>
      </c>
      <c r="AP76" s="6" t="e">
        <v>#VALUE!</v>
      </c>
      <c r="AQ76" s="6" t="e">
        <v>#N/A</v>
      </c>
      <c r="AR76" s="6" t="e">
        <v>#DIV/0!</v>
      </c>
      <c r="AS76" s="6" t="e">
        <v>#NAME?</v>
      </c>
      <c r="AT76" s="6" t="e">
        <v>#NULL!</v>
      </c>
      <c r="AU76" s="6" t="e">
        <v>#NUM!</v>
      </c>
      <c r="AV76" s="6" t="e">
        <v>#REF!</v>
      </c>
      <c r="AW76" s="4" t="e">
        <v>#N/A</v>
      </c>
    </row>
    <row r="77" spans="1:49" x14ac:dyDescent="0.15">
      <c r="A77" s="35" t="s">
        <v>169</v>
      </c>
      <c r="B77" s="36" t="s">
        <v>541</v>
      </c>
      <c r="C77" s="4">
        <v>10</v>
      </c>
      <c r="D77" s="4">
        <v>3.2</v>
      </c>
      <c r="E77" s="4">
        <v>0.7</v>
      </c>
      <c r="F77" s="4">
        <v>2</v>
      </c>
      <c r="G77" s="4">
        <v>4</v>
      </c>
      <c r="H77" s="6"/>
      <c r="I77" s="16" t="s">
        <v>785</v>
      </c>
      <c r="J77" s="6" t="b">
        <v>1</v>
      </c>
      <c r="K77" s="6" t="e">
        <v>#VALUE!</v>
      </c>
      <c r="L77" s="6" t="e">
        <v>#N/A</v>
      </c>
      <c r="M77" s="7" t="e">
        <v>#DIV/0!</v>
      </c>
      <c r="N77" s="7" t="e">
        <v>#NAME?</v>
      </c>
      <c r="O77" s="7" t="e">
        <v>#NULL!</v>
      </c>
      <c r="P77" s="7" t="e">
        <v>#NUM!</v>
      </c>
      <c r="Q77" s="7" t="e">
        <v>#REF!</v>
      </c>
      <c r="R77" s="18" t="e">
        <f>PEARSON(C76:D77,E74:E77)</f>
        <v>#DIV/0!</v>
      </c>
      <c r="S77" s="6" t="e">
        <f>PEARSON(D77:E77,E77:G77)</f>
        <v>#N/A</v>
      </c>
      <c r="T77" s="6" t="e">
        <f>PEARSON(E77:F77,G77:H77)</f>
        <v>#DIV/0!</v>
      </c>
      <c r="U77" s="6">
        <f>PEARSON(D76:E77,F76:G77)</f>
        <v>9.0800190829706348E-2</v>
      </c>
      <c r="V77" s="6" t="e">
        <f>PEARSON(G77:I77,H77:J77)</f>
        <v>#DIV/0!</v>
      </c>
      <c r="W77" s="6" t="e">
        <f>PEARSON(H77:I77,J77:K77)</f>
        <v>#VALUE!</v>
      </c>
      <c r="X77" s="6" t="e">
        <f>PEARSON(I77:J77,K77:L77)</f>
        <v>#VALUE!</v>
      </c>
      <c r="Y77" s="6" t="e">
        <f>PEARSON(J77:K77,L77:M77)</f>
        <v>#N/A</v>
      </c>
      <c r="Z77" s="6" t="e">
        <f>PEARSON(K77:L77,M77:N77)</f>
        <v>#VALUE!</v>
      </c>
      <c r="AA77" s="6" t="e">
        <f t="shared" ref="AA77:AF77" si="63">PEARSON(L77:M77,N77:O77)</f>
        <v>#N/A</v>
      </c>
      <c r="AB77" s="6" t="e">
        <f t="shared" si="63"/>
        <v>#DIV/0!</v>
      </c>
      <c r="AC77" s="6" t="e">
        <f t="shared" si="63"/>
        <v>#NAME?</v>
      </c>
      <c r="AD77" s="6" t="e">
        <f t="shared" si="63"/>
        <v>#NUM!</v>
      </c>
      <c r="AE77" s="6" t="e">
        <f t="shared" si="63"/>
        <v>#NUM!</v>
      </c>
      <c r="AF77" s="6" t="e">
        <f t="shared" si="63"/>
        <v>#REF!</v>
      </c>
      <c r="AG77" s="6">
        <f t="array" ref="AG77">PEARSON(C76:D77, F76:G77)</f>
        <v>-1.3105717304535421E-2</v>
      </c>
      <c r="AH77" s="71">
        <f t="array" ref="AH77:AW77">PEARSON(D77:E77, E77:F77)</f>
        <v>-0.99999999999999989</v>
      </c>
      <c r="AI77" s="6">
        <v>-0.99999999999999989</v>
      </c>
      <c r="AJ77" s="6">
        <v>-0.99999999999999989</v>
      </c>
      <c r="AK77" s="6">
        <v>-0.99999999999999989</v>
      </c>
      <c r="AL77" s="6">
        <v>-0.99999999999999989</v>
      </c>
      <c r="AM77" s="6">
        <v>-0.99999999999999989</v>
      </c>
      <c r="AN77" s="6">
        <v>-0.99999999999999989</v>
      </c>
      <c r="AO77" s="6">
        <v>-0.99999999999999989</v>
      </c>
      <c r="AP77" s="6">
        <v>-0.99999999999999989</v>
      </c>
      <c r="AQ77" s="6">
        <v>-0.99999999999999989</v>
      </c>
      <c r="AR77" s="6">
        <v>-0.99999999999999989</v>
      </c>
      <c r="AS77" s="6">
        <v>-0.99999999999999989</v>
      </c>
      <c r="AT77" s="6">
        <v>-0.99999999999999989</v>
      </c>
      <c r="AU77" s="6">
        <v>-0.99999999999999989</v>
      </c>
      <c r="AV77" s="6">
        <v>-0.99999999999999989</v>
      </c>
      <c r="AW77" s="4">
        <v>-0.99999999999999989</v>
      </c>
    </row>
    <row r="78" spans="1:49" x14ac:dyDescent="0.15">
      <c r="A78" s="35" t="s">
        <v>170</v>
      </c>
      <c r="B78" s="36" t="s">
        <v>541</v>
      </c>
      <c r="C78" s="4">
        <v>0</v>
      </c>
      <c r="D78" s="4">
        <v>-10</v>
      </c>
      <c r="E78" s="4">
        <v>0.9</v>
      </c>
      <c r="F78" s="4">
        <v>0.1</v>
      </c>
      <c r="G78" s="4">
        <v>-0.1</v>
      </c>
      <c r="H78" s="6"/>
      <c r="I78" s="16" t="s">
        <v>448</v>
      </c>
      <c r="J78" s="6" t="b">
        <v>1</v>
      </c>
      <c r="K78" s="6" t="e">
        <v>#VALUE!</v>
      </c>
      <c r="L78" s="6" t="e">
        <v>#N/A</v>
      </c>
      <c r="M78" s="7" t="e">
        <v>#DIV/0!</v>
      </c>
      <c r="N78" s="7" t="e">
        <v>#NAME?</v>
      </c>
      <c r="O78" s="7" t="e">
        <v>#NULL!</v>
      </c>
      <c r="P78" s="7" t="e">
        <v>#NUM!</v>
      </c>
      <c r="Q78" s="7" t="e">
        <v>#REF!</v>
      </c>
      <c r="R78" s="6">
        <f>_xlfn.PERCENTILE.EXC(C78:F78,".2")</f>
        <v>-10</v>
      </c>
      <c r="S78" s="6" t="e">
        <f>_xlfn.PERCENTILE.EXC(C78:H78,E78)</f>
        <v>#NUM!</v>
      </c>
      <c r="T78" s="6" t="e">
        <f>_xlfn.PERCENTILE.EXC(D78:F78,F78)</f>
        <v>#NUM!</v>
      </c>
      <c r="U78" s="6" t="e">
        <f>_xlfn.PERCENTILE.EXC(F78:G78,G78)</f>
        <v>#NUM!</v>
      </c>
      <c r="V78" s="6" t="e">
        <f>_xlfn.PERCENTILE.EXC(G78:H78,H78)</f>
        <v>#NUM!</v>
      </c>
      <c r="W78" s="6" t="e">
        <f>_xlfn.PERCENTILE.EXC(D78:E78,I78)</f>
        <v>#NUM!</v>
      </c>
      <c r="X78" s="6" t="e">
        <f>_xlfn.PERCENTILE.EXC(E78:I78,J78)</f>
        <v>#NUM!</v>
      </c>
      <c r="Y78" s="6" t="e">
        <f>_xlfn.PERCENTILE.EXC(I78:J78,K78)</f>
        <v>#VALUE!</v>
      </c>
      <c r="Z78" s="6" t="e">
        <f t="shared" ref="Z78:AF78" si="64">_xlfn.PERCENTILE.EXC(K78:L78,L78)</f>
        <v>#N/A</v>
      </c>
      <c r="AA78" s="6" t="e">
        <f t="shared" si="64"/>
        <v>#DIV/0!</v>
      </c>
      <c r="AB78" s="6" t="e">
        <f t="shared" si="64"/>
        <v>#NAME?</v>
      </c>
      <c r="AC78" s="6" t="e">
        <f t="shared" si="64"/>
        <v>#NULL!</v>
      </c>
      <c r="AD78" s="6" t="e">
        <f t="shared" si="64"/>
        <v>#NUM!</v>
      </c>
      <c r="AE78" s="6" t="e">
        <f t="shared" si="64"/>
        <v>#REF!</v>
      </c>
      <c r="AF78" s="6" t="e">
        <f t="shared" si="64"/>
        <v>#REF!</v>
      </c>
      <c r="AG78" s="6" t="e">
        <f t="array" ref="AG78">_xlfn.PERCENTILE.EXC(C78:G78,0.03)</f>
        <v>#NUM!</v>
      </c>
      <c r="AH78" s="6" t="e">
        <f t="array" ref="AH78:AW78">_xlfn.PERCENTILE.EXC(C78:J78,C78:Q78)</f>
        <v>#NUM!</v>
      </c>
      <c r="AI78" s="6" t="e">
        <v>#NUM!</v>
      </c>
      <c r="AJ78" s="6" t="e">
        <v>#NUM!</v>
      </c>
      <c r="AK78" s="6" t="e">
        <v>#NUM!</v>
      </c>
      <c r="AL78" s="6" t="e">
        <v>#NUM!</v>
      </c>
      <c r="AM78" s="6" t="e">
        <v>#NUM!</v>
      </c>
      <c r="AN78" s="6" t="e">
        <v>#NUM!</v>
      </c>
      <c r="AO78" s="6" t="e">
        <v>#NUM!</v>
      </c>
      <c r="AP78" s="6" t="e">
        <v>#VALUE!</v>
      </c>
      <c r="AQ78" s="6" t="e">
        <v>#N/A</v>
      </c>
      <c r="AR78" s="6" t="e">
        <v>#DIV/0!</v>
      </c>
      <c r="AS78" s="6" t="e">
        <v>#NAME?</v>
      </c>
      <c r="AT78" s="6" t="e">
        <v>#NULL!</v>
      </c>
      <c r="AU78" s="6" t="e">
        <v>#NUM!</v>
      </c>
      <c r="AV78" s="6" t="e">
        <v>#REF!</v>
      </c>
      <c r="AW78" s="4" t="e">
        <v>#N/A</v>
      </c>
    </row>
    <row r="79" spans="1:49" x14ac:dyDescent="0.15">
      <c r="A79" s="35" t="s">
        <v>171</v>
      </c>
      <c r="B79" s="36" t="s">
        <v>541</v>
      </c>
      <c r="C79" s="4">
        <v>0</v>
      </c>
      <c r="D79" s="4">
        <v>-10</v>
      </c>
      <c r="E79" s="4">
        <v>0.9</v>
      </c>
      <c r="F79" s="4">
        <v>0.1</v>
      </c>
      <c r="G79" s="4">
        <v>-0.1</v>
      </c>
      <c r="H79" s="6"/>
      <c r="I79" s="16" t="s">
        <v>448</v>
      </c>
      <c r="J79" s="6" t="b">
        <v>1</v>
      </c>
      <c r="K79" s="6" t="e">
        <v>#VALUE!</v>
      </c>
      <c r="L79" s="6" t="e">
        <v>#N/A</v>
      </c>
      <c r="M79" s="7" t="e">
        <v>#DIV/0!</v>
      </c>
      <c r="N79" s="7" t="e">
        <v>#NAME?</v>
      </c>
      <c r="O79" s="7" t="e">
        <v>#NULL!</v>
      </c>
      <c r="P79" s="7" t="e">
        <v>#NUM!</v>
      </c>
      <c r="Q79" s="7" t="e">
        <v>#REF!</v>
      </c>
      <c r="R79" s="6">
        <f>_xlfn.PERCENTILE.INC(C79:D79,".2")</f>
        <v>-8</v>
      </c>
      <c r="S79" s="6">
        <f>_xlfn.PERCENTILE.INC(C79:J79,E79)</f>
        <v>0.57999999999999974</v>
      </c>
      <c r="T79" s="6">
        <f>_xlfn.PERCENTILE.INC(E79:F79,F79)</f>
        <v>0.18000000000000008</v>
      </c>
      <c r="U79" s="6" t="e">
        <f>_xlfn.PERCENTILE.INC(F79:G79,G79)</f>
        <v>#NUM!</v>
      </c>
      <c r="V79" s="6">
        <f>_xlfn.PERCENTILE.INC(G79:H79,H79)</f>
        <v>-0.1</v>
      </c>
      <c r="W79" s="6">
        <f>_xlfn.PERCENTILE.INC(D79:E79,I79)</f>
        <v>0.9</v>
      </c>
      <c r="X79" s="6">
        <f>_xlfn.PERCENTILE.INC(E79:I79,J79)</f>
        <v>0.9</v>
      </c>
      <c r="Y79" s="6" t="e">
        <f>_xlfn.PERCENTILE.INC(I79:J79,K79)</f>
        <v>#VALUE!</v>
      </c>
      <c r="Z79" s="6" t="e">
        <f t="shared" ref="Z79:AF79" si="65">_xlfn.PERCENTILE.INC(K79:L79,L79)</f>
        <v>#N/A</v>
      </c>
      <c r="AA79" s="6" t="e">
        <f t="shared" si="65"/>
        <v>#DIV/0!</v>
      </c>
      <c r="AB79" s="6" t="e">
        <f t="shared" si="65"/>
        <v>#NAME?</v>
      </c>
      <c r="AC79" s="6" t="e">
        <f t="shared" si="65"/>
        <v>#NULL!</v>
      </c>
      <c r="AD79" s="6" t="e">
        <f t="shared" si="65"/>
        <v>#NUM!</v>
      </c>
      <c r="AE79" s="6" t="e">
        <f t="shared" si="65"/>
        <v>#REF!</v>
      </c>
      <c r="AF79" s="6" t="e">
        <f t="shared" si="65"/>
        <v>#REF!</v>
      </c>
      <c r="AG79" s="6">
        <f t="array" ref="AG79">_xlfn.PERCENTILE.INC(C79:G79,0.03)</f>
        <v>-8.8119999999999994</v>
      </c>
      <c r="AH79" s="6">
        <f t="array" ref="AH79:AW79">_xlfn.PERCENTILE.INC(C79:J79,C79:Q79)</f>
        <v>-10</v>
      </c>
      <c r="AI79" s="6" t="e">
        <v>#NUM!</v>
      </c>
      <c r="AJ79" s="6">
        <v>0.57999999999999974</v>
      </c>
      <c r="AK79" s="6">
        <v>-6.0400000000000009</v>
      </c>
      <c r="AL79" s="6" t="e">
        <v>#NUM!</v>
      </c>
      <c r="AM79" s="6">
        <v>-10</v>
      </c>
      <c r="AN79" s="6">
        <v>0.9</v>
      </c>
      <c r="AO79" s="6">
        <v>0.9</v>
      </c>
      <c r="AP79" s="6" t="e">
        <v>#VALUE!</v>
      </c>
      <c r="AQ79" s="6" t="e">
        <v>#N/A</v>
      </c>
      <c r="AR79" s="6" t="e">
        <v>#DIV/0!</v>
      </c>
      <c r="AS79" s="6" t="e">
        <v>#NAME?</v>
      </c>
      <c r="AT79" s="6" t="e">
        <v>#NULL!</v>
      </c>
      <c r="AU79" s="6" t="e">
        <v>#NUM!</v>
      </c>
      <c r="AV79" s="6" t="e">
        <v>#REF!</v>
      </c>
      <c r="AW79" s="4" t="e">
        <v>#N/A</v>
      </c>
    </row>
    <row r="80" spans="1:49" x14ac:dyDescent="0.15">
      <c r="A80" s="35" t="s">
        <v>172</v>
      </c>
      <c r="B80" s="36" t="s">
        <v>541</v>
      </c>
      <c r="C80" s="4">
        <v>0</v>
      </c>
      <c r="D80" s="4">
        <v>0.1</v>
      </c>
      <c r="E80" s="4">
        <v>0.7</v>
      </c>
      <c r="F80" s="4">
        <v>2E-3</v>
      </c>
      <c r="G80" s="4">
        <v>4</v>
      </c>
      <c r="H80" s="6"/>
      <c r="I80" s="16" t="s">
        <v>785</v>
      </c>
      <c r="J80" s="6" t="b">
        <v>1</v>
      </c>
      <c r="K80" s="6" t="e">
        <v>#VALUE!</v>
      </c>
      <c r="L80" s="6" t="e">
        <v>#N/A</v>
      </c>
      <c r="M80" s="7" t="e">
        <v>#DIV/0!</v>
      </c>
      <c r="N80" s="7" t="e">
        <v>#NAME?</v>
      </c>
      <c r="O80" s="7" t="e">
        <v>#NULL!</v>
      </c>
      <c r="P80" s="7" t="e">
        <v>#NUM!</v>
      </c>
      <c r="Q80" s="7" t="e">
        <v>#REF!</v>
      </c>
      <c r="R80" s="6">
        <f>_xlfn.PERCENTRANK.EXC(C80:J80,4,4)</f>
        <v>0.83330000000000004</v>
      </c>
      <c r="S80" s="26">
        <f>_xlfn.PERCENTRANK.EXC(C80:I80,2,2)</f>
        <v>0.73</v>
      </c>
      <c r="T80" s="6" t="e">
        <f>_xlfn.PERCENTRANK.EXC(C80:I80,2,E80)</f>
        <v>#NUM!</v>
      </c>
      <c r="U80" s="26">
        <f>_xlfn.PERCENTRANK.EXC(C80:I80,4,3)</f>
        <v>0.83299999999999996</v>
      </c>
      <c r="V80" s="6" t="e">
        <f>_xlfn.PERCENTRANK.EXC(C80:I80,D80,E80)</f>
        <v>#NUM!</v>
      </c>
      <c r="W80" s="6">
        <f>_xlfn.PERCENTRANK.EXC(C80:I80,3,2)</f>
        <v>0.78</v>
      </c>
      <c r="X80" s="6" t="e">
        <f>_xlfn.PERCENTRANK.EXC(C80:I80,I80, 1)</f>
        <v>#N/A</v>
      </c>
      <c r="Y80" s="18">
        <f>_xlfn.PERCENTRANK.EXC(C80:I80,J80,2)</f>
        <v>0.68</v>
      </c>
      <c r="Z80" s="6">
        <f t="array" ref="Z80:AW80">_xlfn.PERCENTRANK.EXC(C80:I80,1,2)</f>
        <v>0.68</v>
      </c>
      <c r="AA80" s="6">
        <v>0.68</v>
      </c>
      <c r="AB80" s="6">
        <v>0.68</v>
      </c>
      <c r="AC80" s="6">
        <v>0.68</v>
      </c>
      <c r="AD80" s="6">
        <v>0.68</v>
      </c>
      <c r="AE80" s="6">
        <v>0.68</v>
      </c>
      <c r="AF80" s="6">
        <v>0.68</v>
      </c>
      <c r="AG80" s="6">
        <v>0.68</v>
      </c>
      <c r="AH80" s="6">
        <v>0.68</v>
      </c>
      <c r="AI80" s="6">
        <v>0.68</v>
      </c>
      <c r="AJ80" s="6">
        <v>0.68</v>
      </c>
      <c r="AK80" s="6">
        <v>0.68</v>
      </c>
      <c r="AL80" s="6">
        <v>0.68</v>
      </c>
      <c r="AM80" s="6">
        <v>0.68</v>
      </c>
      <c r="AN80" s="6">
        <v>0.68</v>
      </c>
      <c r="AO80" s="6">
        <v>0.68</v>
      </c>
      <c r="AP80" s="6">
        <v>0.68</v>
      </c>
      <c r="AQ80" s="6">
        <v>0.68</v>
      </c>
      <c r="AR80" s="6">
        <v>0.68</v>
      </c>
      <c r="AS80" s="6">
        <v>0.68</v>
      </c>
      <c r="AT80" s="6">
        <v>0.68</v>
      </c>
      <c r="AU80" s="6">
        <v>0.68</v>
      </c>
      <c r="AV80" s="6">
        <v>0.68</v>
      </c>
      <c r="AW80" s="4">
        <v>0.68</v>
      </c>
    </row>
    <row r="81" spans="1:49" x14ac:dyDescent="0.15">
      <c r="A81" s="35" t="s">
        <v>173</v>
      </c>
      <c r="B81" s="36" t="s">
        <v>541</v>
      </c>
      <c r="C81" s="4">
        <v>0</v>
      </c>
      <c r="D81" s="4">
        <v>0.1</v>
      </c>
      <c r="E81" s="4">
        <v>0.7</v>
      </c>
      <c r="F81" s="4">
        <v>2E-3</v>
      </c>
      <c r="G81" s="4">
        <v>4</v>
      </c>
      <c r="H81" s="6"/>
      <c r="I81" s="16" t="s">
        <v>785</v>
      </c>
      <c r="J81" s="6" t="b">
        <v>1</v>
      </c>
      <c r="K81" s="6" t="e">
        <v>#VALUE!</v>
      </c>
      <c r="L81" s="6" t="e">
        <v>#N/A</v>
      </c>
      <c r="M81" s="7" t="e">
        <v>#DIV/0!</v>
      </c>
      <c r="N81" s="7" t="e">
        <v>#NAME?</v>
      </c>
      <c r="O81" s="7" t="e">
        <v>#NULL!</v>
      </c>
      <c r="P81" s="7" t="e">
        <v>#NUM!</v>
      </c>
      <c r="Q81" s="7" t="e">
        <v>#REF!</v>
      </c>
      <c r="R81" s="6">
        <f>_xlfn.PERCENTRANK.INC(C81:J81,4,4)</f>
        <v>1</v>
      </c>
      <c r="S81" s="6">
        <f>_xlfn.PERCENTRANK.INC(C81:I81,2,2)</f>
        <v>0.84</v>
      </c>
      <c r="T81" s="6" t="e">
        <f>_xlfn.PERCENTRANK.INC(C81:I81,2,E81)</f>
        <v>#NUM!</v>
      </c>
      <c r="U81" s="6">
        <f>_xlfn.PERCENTRANK.INC(C81:I81,4,3)</f>
        <v>1</v>
      </c>
      <c r="V81" s="6" t="e">
        <f>_xlfn.PERCENTRANK.INC(C81:I81,D81,E81)</f>
        <v>#NUM!</v>
      </c>
      <c r="W81" s="6">
        <f>_xlfn.PERCENTRANK.INC(C81:I81,3,2)</f>
        <v>0.92</v>
      </c>
      <c r="X81" s="6" t="e">
        <f>_xlfn.PERCENTRANK.INC(C81:I81,I81, 1)</f>
        <v>#N/A</v>
      </c>
      <c r="Y81" s="6">
        <f t="array" ref="Y81:AW81">_xlfn.PERCENTRANK.INC(C81:I81,J81,2)</f>
        <v>0.77</v>
      </c>
      <c r="Z81" s="6">
        <v>0.77</v>
      </c>
      <c r="AA81" s="6">
        <v>0.77</v>
      </c>
      <c r="AB81" s="6">
        <v>0.77</v>
      </c>
      <c r="AC81" s="6">
        <v>0.77</v>
      </c>
      <c r="AD81" s="6">
        <v>0.77</v>
      </c>
      <c r="AE81" s="6">
        <v>0.77</v>
      </c>
      <c r="AF81" s="6">
        <v>0.77</v>
      </c>
      <c r="AG81" s="6">
        <v>0.77</v>
      </c>
      <c r="AH81" s="6">
        <v>0.77</v>
      </c>
      <c r="AI81" s="6">
        <v>0.77</v>
      </c>
      <c r="AJ81" s="6">
        <v>0.77</v>
      </c>
      <c r="AK81" s="6">
        <v>0.77</v>
      </c>
      <c r="AL81" s="6">
        <v>0.77</v>
      </c>
      <c r="AM81" s="6">
        <v>0.77</v>
      </c>
      <c r="AN81" s="6">
        <v>0.77</v>
      </c>
      <c r="AO81" s="6">
        <v>0.77</v>
      </c>
      <c r="AP81" s="6">
        <v>0.77</v>
      </c>
      <c r="AQ81" s="6">
        <v>0.77</v>
      </c>
      <c r="AR81" s="6">
        <v>0.77</v>
      </c>
      <c r="AS81" s="6">
        <v>0.77</v>
      </c>
      <c r="AT81" s="6">
        <v>0.77</v>
      </c>
      <c r="AU81" s="6">
        <v>0.77</v>
      </c>
      <c r="AV81" s="6">
        <v>0.77</v>
      </c>
      <c r="AW81" s="4">
        <v>0.77</v>
      </c>
    </row>
    <row r="82" spans="1:49" x14ac:dyDescent="0.15">
      <c r="A82" s="35" t="s">
        <v>174</v>
      </c>
      <c r="B82" s="36" t="s">
        <v>541</v>
      </c>
      <c r="C82" s="4">
        <v>0</v>
      </c>
      <c r="D82" s="4">
        <v>1</v>
      </c>
      <c r="E82" s="4">
        <v>2.2999999999999998</v>
      </c>
      <c r="F82" s="4">
        <v>10</v>
      </c>
      <c r="G82" s="4">
        <v>-1</v>
      </c>
      <c r="H82" s="6"/>
      <c r="I82" s="16" t="s">
        <v>32</v>
      </c>
      <c r="J82" s="6" t="b">
        <v>1</v>
      </c>
      <c r="K82" s="6" t="e">
        <v>#VALUE!</v>
      </c>
      <c r="L82" s="6" t="e">
        <v>#N/A</v>
      </c>
      <c r="M82" s="7" t="e">
        <v>#DIV/0!</v>
      </c>
      <c r="N82" s="7" t="e">
        <v>#NAME?</v>
      </c>
      <c r="O82" s="7" t="e">
        <v>#NULL!</v>
      </c>
      <c r="P82" s="7" t="e">
        <v>#NUM!</v>
      </c>
      <c r="Q82" s="7" t="e">
        <v>#REF!</v>
      </c>
      <c r="R82" s="6">
        <f>PERMUT( D82, C82)</f>
        <v>1</v>
      </c>
      <c r="S82" s="6" t="e">
        <f>PERMUT( 0, D82)</f>
        <v>#NUM!</v>
      </c>
      <c r="T82" s="6">
        <f t="shared" ref="T82:AF82" si="66">PERMUT( F82, E82)</f>
        <v>90</v>
      </c>
      <c r="U82" s="6" t="e">
        <f t="shared" si="66"/>
        <v>#NUM!</v>
      </c>
      <c r="V82" s="6" t="e">
        <f t="shared" si="66"/>
        <v>#NUM!</v>
      </c>
      <c r="W82" s="6" t="e" vm="100">
        <f t="shared" si="66"/>
        <v>#VALUE!</v>
      </c>
      <c r="X82" s="6" t="e" vm="100">
        <f t="shared" si="66"/>
        <v>#VALUE!</v>
      </c>
      <c r="Y82" s="6" t="e">
        <f t="shared" si="66"/>
        <v>#VALUE!</v>
      </c>
      <c r="Z82" s="6" t="e">
        <f t="shared" si="66"/>
        <v>#N/A</v>
      </c>
      <c r="AA82" s="6" t="e">
        <f t="shared" si="66"/>
        <v>#DIV/0!</v>
      </c>
      <c r="AB82" s="6" t="e">
        <f>PERMUT( N82, M82)</f>
        <v>#NAME?</v>
      </c>
      <c r="AC82" s="6" t="e">
        <f t="shared" si="66"/>
        <v>#NULL!</v>
      </c>
      <c r="AD82" s="6" t="e">
        <f t="shared" si="66"/>
        <v>#NUM!</v>
      </c>
      <c r="AE82" s="6" t="e">
        <f t="shared" si="66"/>
        <v>#REF!</v>
      </c>
      <c r="AF82" s="6" t="e">
        <f t="shared" si="66"/>
        <v>#REF!</v>
      </c>
      <c r="AG82" s="6">
        <f t="array" ref="AG82">PERMUT( D82, C82:F82)</f>
        <v>1</v>
      </c>
      <c r="AH82" s="6">
        <f t="array" ref="AH82:AW82">PERMUT( E82, C82:Q82)</f>
        <v>1</v>
      </c>
      <c r="AI82" s="6">
        <v>2</v>
      </c>
      <c r="AJ82" s="6">
        <v>2</v>
      </c>
      <c r="AK82" s="6" t="e">
        <v>#NUM!</v>
      </c>
      <c r="AL82" s="6" t="e">
        <v>#NUM!</v>
      </c>
      <c r="AM82" s="6">
        <v>1</v>
      </c>
      <c r="AN82" s="6" t="e" vm="100">
        <v>#VALUE!</v>
      </c>
      <c r="AO82" s="6">
        <v>2</v>
      </c>
      <c r="AP82" s="6" t="e">
        <v>#VALUE!</v>
      </c>
      <c r="AQ82" s="6" t="e">
        <v>#N/A</v>
      </c>
      <c r="AR82" s="6" t="e">
        <v>#DIV/0!</v>
      </c>
      <c r="AS82" s="6" t="e">
        <v>#NAME?</v>
      </c>
      <c r="AT82" s="6" t="e">
        <v>#NULL!</v>
      </c>
      <c r="AU82" s="6" t="e">
        <v>#NUM!</v>
      </c>
      <c r="AV82" s="6" t="e">
        <v>#REF!</v>
      </c>
      <c r="AW82" s="4" t="e">
        <v>#N/A</v>
      </c>
    </row>
    <row r="83" spans="1:49" x14ac:dyDescent="0.15">
      <c r="A83" s="35" t="s">
        <v>175</v>
      </c>
      <c r="B83" s="36" t="s">
        <v>541</v>
      </c>
      <c r="C83" s="4">
        <v>0</v>
      </c>
      <c r="D83" s="4">
        <v>1</v>
      </c>
      <c r="E83" s="4">
        <v>2.2999999999999998</v>
      </c>
      <c r="F83" s="4">
        <v>10</v>
      </c>
      <c r="G83" s="4">
        <v>-1</v>
      </c>
      <c r="H83" s="6"/>
      <c r="I83" s="16" t="s">
        <v>32</v>
      </c>
      <c r="J83" s="6" t="b">
        <v>1</v>
      </c>
      <c r="K83" s="6" t="e">
        <v>#VALUE!</v>
      </c>
      <c r="L83" s="6" t="e">
        <v>#N/A</v>
      </c>
      <c r="M83" s="7" t="e">
        <v>#DIV/0!</v>
      </c>
      <c r="N83" s="7" t="e">
        <v>#NAME?</v>
      </c>
      <c r="O83" s="7" t="e">
        <v>#NULL!</v>
      </c>
      <c r="P83" s="7" t="e">
        <v>#NUM!</v>
      </c>
      <c r="Q83" s="7" t="e">
        <v>#REF!</v>
      </c>
      <c r="R83" s="6">
        <f>_xlfn.PERMUTATIONA(D83, C83)</f>
        <v>1</v>
      </c>
      <c r="S83" s="6">
        <f>_xlfn.PERMUTATIONA(0, D83)</f>
        <v>0</v>
      </c>
      <c r="T83" s="6">
        <f t="shared" ref="T83:AE83" si="67">_xlfn.PERMUTATIONA(F83, E83)</f>
        <v>100</v>
      </c>
      <c r="U83" s="6" t="e">
        <f t="shared" si="67"/>
        <v>#NUM!</v>
      </c>
      <c r="V83" s="6" t="e">
        <f t="shared" si="67"/>
        <v>#NUM!</v>
      </c>
      <c r="W83" s="6" t="e" vm="101">
        <f t="shared" si="67"/>
        <v>#VALUE!</v>
      </c>
      <c r="X83" s="6" t="e" vm="101">
        <f t="shared" si="67"/>
        <v>#VALUE!</v>
      </c>
      <c r="Y83" s="6" t="e">
        <f t="shared" si="67"/>
        <v>#VALUE!</v>
      </c>
      <c r="Z83" s="6" t="e">
        <f t="shared" si="67"/>
        <v>#N/A</v>
      </c>
      <c r="AA83" s="6" t="e">
        <f t="shared" si="67"/>
        <v>#DIV/0!</v>
      </c>
      <c r="AB83" s="6" t="e">
        <f t="shared" si="67"/>
        <v>#NAME?</v>
      </c>
      <c r="AC83" s="6" t="e">
        <f t="shared" si="67"/>
        <v>#NULL!</v>
      </c>
      <c r="AD83" s="6" t="e">
        <f t="shared" si="67"/>
        <v>#NUM!</v>
      </c>
      <c r="AE83" s="6" t="e">
        <f t="shared" si="67"/>
        <v>#REF!</v>
      </c>
      <c r="AF83" s="6" t="e">
        <f>_xlfn.PERMUTATIONA(R83, Q83)</f>
        <v>#REF!</v>
      </c>
      <c r="AG83" s="6">
        <f t="array" ref="AG83">_xlfn.PERMUTATIONA( D83, C83:F83)</f>
        <v>1</v>
      </c>
      <c r="AH83" s="6">
        <f t="array" ref="AH83:AW83">_xlfn.PERMUTATIONA( E83, C83:Q83)</f>
        <v>1</v>
      </c>
      <c r="AI83" s="6">
        <v>2</v>
      </c>
      <c r="AJ83" s="6">
        <v>4</v>
      </c>
      <c r="AK83" s="6">
        <v>1024</v>
      </c>
      <c r="AL83" s="6" t="e">
        <v>#NUM!</v>
      </c>
      <c r="AM83" s="6">
        <v>1</v>
      </c>
      <c r="AN83" s="6" t="e" vm="101">
        <v>#VALUE!</v>
      </c>
      <c r="AO83" s="6">
        <v>2</v>
      </c>
      <c r="AP83" s="6" t="e">
        <v>#VALUE!</v>
      </c>
      <c r="AQ83" s="6" t="e">
        <v>#N/A</v>
      </c>
      <c r="AR83" s="6" t="e">
        <v>#DIV/0!</v>
      </c>
      <c r="AS83" s="6" t="e">
        <v>#NAME?</v>
      </c>
      <c r="AT83" s="6" t="e">
        <v>#NULL!</v>
      </c>
      <c r="AU83" s="6" t="e">
        <v>#NUM!</v>
      </c>
      <c r="AV83" s="6" t="e">
        <v>#REF!</v>
      </c>
      <c r="AW83" s="4" t="e">
        <v>#N/A</v>
      </c>
    </row>
    <row r="84" spans="1:49" x14ac:dyDescent="0.15">
      <c r="A84" s="35" t="s">
        <v>176</v>
      </c>
      <c r="B84" s="36" t="s">
        <v>541</v>
      </c>
      <c r="C84" s="4">
        <v>0</v>
      </c>
      <c r="D84" s="4">
        <v>1</v>
      </c>
      <c r="E84" s="4">
        <v>2.2999999999999998</v>
      </c>
      <c r="F84" s="4">
        <v>10</v>
      </c>
      <c r="G84" s="4">
        <v>-1</v>
      </c>
      <c r="H84" s="6"/>
      <c r="I84" s="16" t="s">
        <v>32</v>
      </c>
      <c r="J84" s="6" t="b">
        <v>1</v>
      </c>
      <c r="K84" s="6" t="e">
        <v>#VALUE!</v>
      </c>
      <c r="L84" s="6" t="e">
        <v>#N/A</v>
      </c>
      <c r="M84" s="7" t="e">
        <v>#DIV/0!</v>
      </c>
      <c r="N84" s="7" t="e">
        <v>#NAME?</v>
      </c>
      <c r="O84" s="7" t="e">
        <v>#NULL!</v>
      </c>
      <c r="P84" s="7" t="e">
        <v>#NUM!</v>
      </c>
      <c r="Q84" s="7" t="e">
        <v>#REF!</v>
      </c>
      <c r="R84" s="6">
        <f>_xlfn.PHI(C84)</f>
        <v>0.3989422804014327</v>
      </c>
      <c r="S84" s="6">
        <f t="shared" ref="S84:AF84" si="68">_xlfn.PHI(D84)</f>
        <v>0.24197072451914337</v>
      </c>
      <c r="T84" s="6">
        <f t="shared" si="68"/>
        <v>2.8327037741601186E-2</v>
      </c>
      <c r="U84" s="6">
        <f t="shared" si="68"/>
        <v>7.6945986267064199E-23</v>
      </c>
      <c r="V84" s="6">
        <f t="shared" si="68"/>
        <v>0.24197072451914337</v>
      </c>
      <c r="W84" s="6">
        <f t="shared" si="68"/>
        <v>0.3989422804014327</v>
      </c>
      <c r="X84" s="6" t="e" vm="102">
        <f t="shared" si="68"/>
        <v>#VALUE!</v>
      </c>
      <c r="Y84" s="6">
        <f t="shared" si="68"/>
        <v>0.24197072451914337</v>
      </c>
      <c r="Z84" s="6" t="e">
        <f t="shared" si="68"/>
        <v>#VALUE!</v>
      </c>
      <c r="AA84" s="6" t="e">
        <f t="shared" si="68"/>
        <v>#N/A</v>
      </c>
      <c r="AB84" s="6" t="e">
        <f t="shared" si="68"/>
        <v>#DIV/0!</v>
      </c>
      <c r="AC84" s="6" t="e">
        <f t="shared" si="68"/>
        <v>#NAME?</v>
      </c>
      <c r="AD84" s="6" t="e">
        <f t="shared" si="68"/>
        <v>#NULL!</v>
      </c>
      <c r="AE84" s="6" t="e">
        <f t="shared" si="68"/>
        <v>#NUM!</v>
      </c>
      <c r="AF84" s="6" t="e">
        <f t="shared" si="68"/>
        <v>#REF!</v>
      </c>
      <c r="AG84" s="6">
        <f t="array" ref="AG84">_xlfn.PHI(C84:Q84)</f>
        <v>0.3989422804014327</v>
      </c>
      <c r="AH84" s="6">
        <f t="array" ref="AH84:AW84">_xlfn.PHI(C84:Q84)</f>
        <v>0.3989422804014327</v>
      </c>
      <c r="AI84" s="6">
        <v>0.24197072451914337</v>
      </c>
      <c r="AJ84" s="6">
        <v>2.8327037741601186E-2</v>
      </c>
      <c r="AK84" s="6">
        <v>7.6945986267064199E-23</v>
      </c>
      <c r="AL84" s="6">
        <v>0.24197072451914337</v>
      </c>
      <c r="AM84" s="6">
        <v>0.3989422804014327</v>
      </c>
      <c r="AN84" s="6" t="e" vm="102">
        <v>#VALUE!</v>
      </c>
      <c r="AO84" s="6">
        <v>0.24197072451914337</v>
      </c>
      <c r="AP84" s="6" t="e">
        <v>#VALUE!</v>
      </c>
      <c r="AQ84" s="6" t="e">
        <v>#N/A</v>
      </c>
      <c r="AR84" s="6" t="e">
        <v>#DIV/0!</v>
      </c>
      <c r="AS84" s="6" t="e">
        <v>#NAME?</v>
      </c>
      <c r="AT84" s="6" t="e">
        <v>#NULL!</v>
      </c>
      <c r="AU84" s="6" t="e">
        <v>#NUM!</v>
      </c>
      <c r="AV84" s="6" t="e">
        <v>#REF!</v>
      </c>
      <c r="AW84" s="4" t="e">
        <v>#N/A</v>
      </c>
    </row>
    <row r="85" spans="1:49" x14ac:dyDescent="0.15">
      <c r="A85" s="35" t="s">
        <v>177</v>
      </c>
      <c r="B85" s="36" t="s">
        <v>541</v>
      </c>
      <c r="C85" s="4">
        <v>0</v>
      </c>
      <c r="D85" s="4">
        <v>5</v>
      </c>
      <c r="E85" s="4">
        <v>0.7</v>
      </c>
      <c r="F85" s="4">
        <v>3</v>
      </c>
      <c r="G85" s="4">
        <v>4</v>
      </c>
      <c r="H85" s="6"/>
      <c r="I85" s="16" t="s">
        <v>444</v>
      </c>
      <c r="J85" s="6" t="b">
        <v>1</v>
      </c>
      <c r="K85" s="6" t="e">
        <v>#VALUE!</v>
      </c>
      <c r="L85" s="6" t="e">
        <v>#N/A</v>
      </c>
      <c r="M85" s="7" t="e">
        <v>#DIV/0!</v>
      </c>
      <c r="N85" s="7" t="e">
        <v>#NAME?</v>
      </c>
      <c r="O85" s="7" t="e">
        <v>#NULL!</v>
      </c>
      <c r="P85" s="7" t="e">
        <v>#NUM!</v>
      </c>
      <c r="Q85" s="7" t="e">
        <v>#REF!</v>
      </c>
      <c r="R85" s="6">
        <f>_xlfn.POISSON.DIST(C85,,)</f>
        <v>1</v>
      </c>
      <c r="S85" s="6">
        <f>_xlfn.POISSON.DIST(D85,10,FALSE)</f>
        <v>3.7833274802070715E-2</v>
      </c>
      <c r="T85" s="6">
        <f>_xlfn.POISSON.DIST(E85,"1",5)</f>
        <v>0.36787944117144233</v>
      </c>
      <c r="U85" s="6" t="e">
        <f>_xlfn.POISSON.DIST(F85,-1,"TRUE")</f>
        <v>#NUM!</v>
      </c>
      <c r="V85" s="6">
        <f>_xlfn.POISSON.DIST(G85, 7,1)</f>
        <v>0.17299160788207132</v>
      </c>
      <c r="W85" s="6">
        <f>_xlfn.POISSON.DIST(H85,H85,1)</f>
        <v>1</v>
      </c>
      <c r="X85" s="6">
        <f>_xlfn.POISSON.DIST(I85,I85,1)</f>
        <v>0.5342624723609587</v>
      </c>
      <c r="Y85" s="6">
        <f>_xlfn.POISSON.DIST(J85,I85,1)</f>
        <v>5.341471565244849E-25</v>
      </c>
      <c r="Z85" s="6" t="e">
        <f>_xlfn.POISSON.DIST(K85,I85,1)</f>
        <v>#VALUE!</v>
      </c>
      <c r="AA85" s="6" t="e">
        <f t="shared" ref="AA85:AF85" si="69">_xlfn.POISSON.DIST(L85,J85,1)</f>
        <v>#N/A</v>
      </c>
      <c r="AB85" s="6" t="e">
        <f t="shared" si="69"/>
        <v>#DIV/0!</v>
      </c>
      <c r="AC85" s="6" t="e">
        <f t="shared" si="69"/>
        <v>#NAME?</v>
      </c>
      <c r="AD85" s="6" t="e">
        <f t="shared" si="69"/>
        <v>#NULL!</v>
      </c>
      <c r="AE85" s="6" t="e">
        <f t="shared" si="69"/>
        <v>#NUM!</v>
      </c>
      <c r="AF85" s="6" t="e">
        <f t="shared" si="69"/>
        <v>#REF!</v>
      </c>
      <c r="AG85" s="6">
        <f t="array" ref="AG85">_xlfn.POISSON.DIST(C85:Q85,3,1)</f>
        <v>4.9787068367863944E-2</v>
      </c>
      <c r="AH85" s="6">
        <f t="array" ref="AH85:AW85">_xlfn.POISSON.DIST(C85:Q85,3,1)</f>
        <v>4.9787068367863944E-2</v>
      </c>
      <c r="AI85" s="6">
        <v>0.91608205796869657</v>
      </c>
      <c r="AJ85" s="6">
        <v>4.9787068367863944E-2</v>
      </c>
      <c r="AK85" s="6">
        <v>0.64723188878223126</v>
      </c>
      <c r="AL85" s="6">
        <v>0.81526324452377208</v>
      </c>
      <c r="AM85" s="6">
        <v>4.9787068367863944E-2</v>
      </c>
      <c r="AN85" s="6">
        <v>1</v>
      </c>
      <c r="AO85" s="6">
        <v>0.19914827347145578</v>
      </c>
      <c r="AP85" s="6" t="e">
        <v>#VALUE!</v>
      </c>
      <c r="AQ85" s="6" t="e">
        <v>#N/A</v>
      </c>
      <c r="AR85" s="6" t="e">
        <v>#DIV/0!</v>
      </c>
      <c r="AS85" s="6" t="e">
        <v>#NAME?</v>
      </c>
      <c r="AT85" s="6" t="e">
        <v>#NULL!</v>
      </c>
      <c r="AU85" s="6" t="e">
        <v>#NUM!</v>
      </c>
      <c r="AV85" s="6" t="e">
        <v>#REF!</v>
      </c>
      <c r="AW85" s="4" t="e">
        <v>#N/A</v>
      </c>
    </row>
    <row r="86" spans="1:49" x14ac:dyDescent="0.15">
      <c r="A86" s="35" t="s">
        <v>178</v>
      </c>
      <c r="B86" s="36" t="s">
        <v>541</v>
      </c>
      <c r="C86" s="4">
        <v>7</v>
      </c>
      <c r="D86" s="4">
        <v>5</v>
      </c>
      <c r="E86" s="4">
        <v>0.7</v>
      </c>
      <c r="F86" s="4">
        <v>3</v>
      </c>
      <c r="G86" s="4">
        <v>4</v>
      </c>
      <c r="H86" s="6"/>
      <c r="I86" s="16" t="s">
        <v>444</v>
      </c>
      <c r="J86" s="6" t="b">
        <v>1</v>
      </c>
      <c r="K86" s="6" t="e">
        <v>#VALUE!</v>
      </c>
      <c r="L86" s="6" t="e">
        <v>#N/A</v>
      </c>
      <c r="M86" s="7" t="e">
        <v>#DIV/0!</v>
      </c>
      <c r="N86" s="7" t="e">
        <v>#NAME?</v>
      </c>
      <c r="O86" s="7" t="e">
        <v>#NULL!</v>
      </c>
      <c r="P86" s="7" t="e">
        <v>#NUM!</v>
      </c>
      <c r="Q86" s="7" t="e">
        <v>#REF!</v>
      </c>
      <c r="R86" s="6">
        <f>PROB({1,2,3,4,5},{0.1,0.2,0.3,0.3,0.1},C86)</f>
        <v>0</v>
      </c>
      <c r="S86" s="6">
        <f>PROB({1,2,3,4,5},{0.1,0.2,0.3,0.3,0.1},0,D86)</f>
        <v>1.0000000000000002</v>
      </c>
      <c r="T86" s="6" t="e">
        <f>PROB({1,2,3,4,5},{0.1,0.2,0.3,0.2,0.1},E86)</f>
        <v>#NUM!</v>
      </c>
      <c r="U86" s="6" t="e">
        <f>PROB({1,2,3,4,5},{0.1,0.2,0.3,0.3,0.2},F86)</f>
        <v>#NUM!</v>
      </c>
      <c r="V86" s="6" t="e">
        <f>PROB({1,2,3,4,5},{0.1,0.2,0.3,0.4},G86)</f>
        <v>#N/A</v>
      </c>
      <c r="W86" s="6">
        <f>PROB({1,2,3,4,5},{0.1,0.2,0.3,0.3,0.1},H86)</f>
        <v>0</v>
      </c>
      <c r="X86" s="6">
        <f>PROB({1,2,3,4,5},{0.1,0.2,0.3,0.3,0.1},I86)</f>
        <v>0</v>
      </c>
      <c r="Y86" s="6">
        <f>PROB({1,2,3,1,5},{0.1,0.2,0.3,0.3,0.1},J86)</f>
        <v>0.4</v>
      </c>
      <c r="Z86" s="6">
        <f>PROB({1,2,3,4,5},{0.1,0.2,0.3,0.3,0.1},1,H86)</f>
        <v>0</v>
      </c>
      <c r="AA86" s="6" t="e">
        <f>PROB({1,2,3,4,5},{0.1,0.2,0.3,0.3,0.1},L86)</f>
        <v>#N/A</v>
      </c>
      <c r="AB86" s="6" t="e">
        <f>PROB({1,2,3,4,5},{0.1,0.2,0.3,0.3,0.1},M86)</f>
        <v>#DIV/0!</v>
      </c>
      <c r="AC86" s="6" t="e">
        <f>PROB({1,2,3,4,5},{0.1,0.2,0.3,0.3,0.1},N86)</f>
        <v>#NAME?</v>
      </c>
      <c r="AD86" s="6" t="e">
        <f>PROB({1,2,3,4,5},{0.1,0.2,0.3,0.3,0.1},O86)</f>
        <v>#NULL!</v>
      </c>
      <c r="AE86" s="6" t="e">
        <f>PROB({1,2,3,4,5},{0.1,0.2,0.3,0.3,0.1},P86)</f>
        <v>#NUM!</v>
      </c>
      <c r="AF86" s="6" t="e">
        <f>PROB({1,2,3,4,5},{0.1,0.2,0.3,0.3,0.1},Q86)</f>
        <v>#REF!</v>
      </c>
      <c r="AG86" s="6">
        <f t="array" ref="AG86">PROB({1,2,3,4,5},{0.1,0.2,0.3,0.3,0.1},C86:L86)</f>
        <v>0</v>
      </c>
      <c r="AH86" s="6">
        <f t="array" ref="AH86:AW86">PROB({1,2,3,4,5},{0.1,0.2,0.3,0.3,0.1},C86:Q86)</f>
        <v>0</v>
      </c>
      <c r="AI86" s="6">
        <v>0.1</v>
      </c>
      <c r="AJ86" s="6">
        <v>0</v>
      </c>
      <c r="AK86" s="6">
        <v>0.3</v>
      </c>
      <c r="AL86" s="6">
        <v>0.3</v>
      </c>
      <c r="AM86" s="6">
        <v>0</v>
      </c>
      <c r="AN86" s="6">
        <v>0</v>
      </c>
      <c r="AO86" s="6">
        <v>0.1</v>
      </c>
      <c r="AP86" s="6" t="e">
        <v>#VALUE!</v>
      </c>
      <c r="AQ86" s="6" t="e">
        <v>#N/A</v>
      </c>
      <c r="AR86" s="6" t="e">
        <v>#DIV/0!</v>
      </c>
      <c r="AS86" s="6" t="e">
        <v>#NAME?</v>
      </c>
      <c r="AT86" s="6" t="e">
        <v>#NULL!</v>
      </c>
      <c r="AU86" s="6" t="e">
        <v>#NUM!</v>
      </c>
      <c r="AV86" s="6" t="e">
        <v>#REF!</v>
      </c>
      <c r="AW86" s="4" t="e">
        <v>#N/A</v>
      </c>
    </row>
    <row r="87" spans="1:49" x14ac:dyDescent="0.15">
      <c r="A87" s="35" t="s">
        <v>179</v>
      </c>
      <c r="B87" s="36" t="s">
        <v>541</v>
      </c>
      <c r="C87" s="4">
        <v>0</v>
      </c>
      <c r="D87" s="4">
        <v>-10</v>
      </c>
      <c r="E87" s="4">
        <v>0.9</v>
      </c>
      <c r="F87" s="4">
        <v>2.2000000000000002</v>
      </c>
      <c r="G87" s="4">
        <v>-0.1</v>
      </c>
      <c r="H87" s="6"/>
      <c r="I87" s="16" t="s">
        <v>448</v>
      </c>
      <c r="J87" s="6" t="b">
        <v>1</v>
      </c>
      <c r="K87" s="6" t="e">
        <v>#VALUE!</v>
      </c>
      <c r="L87" s="6" t="e">
        <v>#N/A</v>
      </c>
      <c r="M87" s="7" t="e">
        <v>#DIV/0!</v>
      </c>
      <c r="N87" s="7" t="e">
        <v>#NAME?</v>
      </c>
      <c r="O87" s="7" t="e">
        <v>#NULL!</v>
      </c>
      <c r="P87" s="7" t="e">
        <v>#NUM!</v>
      </c>
      <c r="Q87" s="7" t="e">
        <v>#REF!</v>
      </c>
      <c r="R87" s="6">
        <f>_xlfn.QUARTILE.EXC(C87:D87,"2")</f>
        <v>-5</v>
      </c>
      <c r="S87" s="6">
        <f>_xlfn.QUARTILE.EXC(C87:G87,2)</f>
        <v>0</v>
      </c>
      <c r="T87" s="6">
        <f>_xlfn.QUARTILE.EXC(E87:F87,F87)</f>
        <v>1.5500000000000003</v>
      </c>
      <c r="U87" s="6" t="e">
        <f>_xlfn.QUARTILE.EXC(E87:F87,1)</f>
        <v>#NUM!</v>
      </c>
      <c r="V87" s="6" t="e">
        <f>_xlfn.QUARTILE.EXC(D87:H87,H87)</f>
        <v>#NUM!</v>
      </c>
      <c r="W87" s="6" t="e">
        <f>_xlfn.QUARTILE.EXC(D87:E87,I87)</f>
        <v>#NUM!</v>
      </c>
      <c r="X87" s="6">
        <f>_xlfn.QUARTILE.EXC(E87:I87,J87)</f>
        <v>-0.1</v>
      </c>
      <c r="Y87" s="6" t="e">
        <f>_xlfn.QUARTILE.EXC(I87:J87,K87)</f>
        <v>#VALUE!</v>
      </c>
      <c r="Z87" s="6" t="e">
        <f t="shared" ref="Z87:AF87" si="70">_xlfn.QUARTILE.EXC(K87:L87,L87)</f>
        <v>#N/A</v>
      </c>
      <c r="AA87" s="6" t="e">
        <f t="shared" si="70"/>
        <v>#DIV/0!</v>
      </c>
      <c r="AB87" s="6" t="e">
        <f t="shared" si="70"/>
        <v>#NAME?</v>
      </c>
      <c r="AC87" s="6" t="e">
        <f t="shared" si="70"/>
        <v>#NULL!</v>
      </c>
      <c r="AD87" s="6" t="e">
        <f t="shared" si="70"/>
        <v>#NUM!</v>
      </c>
      <c r="AE87" s="6" t="e">
        <f t="shared" si="70"/>
        <v>#REF!</v>
      </c>
      <c r="AF87" s="6" t="e">
        <f t="shared" si="70"/>
        <v>#REF!</v>
      </c>
      <c r="AG87" s="6">
        <f t="array" ref="AG87">_xlfn.QUARTILE.EXC(C87:G87,3)</f>
        <v>1.5500000000000003</v>
      </c>
      <c r="AH87" s="6" t="e">
        <f t="array" ref="AH87:AW87">_xlfn.QUARTILE.EXC(C87:J87,C87:Q87)</f>
        <v>#NUM!</v>
      </c>
      <c r="AI87" s="6" t="e">
        <v>#NUM!</v>
      </c>
      <c r="AJ87" s="6" t="e">
        <v>#NUM!</v>
      </c>
      <c r="AK87" s="6">
        <v>0</v>
      </c>
      <c r="AL87" s="6" t="e">
        <v>#NUM!</v>
      </c>
      <c r="AM87" s="6" t="e">
        <v>#NUM!</v>
      </c>
      <c r="AN87" s="6">
        <v>-5.05</v>
      </c>
      <c r="AO87" s="6">
        <v>-5.05</v>
      </c>
      <c r="AP87" s="6" t="e">
        <v>#VALUE!</v>
      </c>
      <c r="AQ87" s="6" t="e">
        <v>#N/A</v>
      </c>
      <c r="AR87" s="6" t="e">
        <v>#DIV/0!</v>
      </c>
      <c r="AS87" s="6" t="e">
        <v>#NAME?</v>
      </c>
      <c r="AT87" s="6" t="e">
        <v>#NULL!</v>
      </c>
      <c r="AU87" s="6" t="e">
        <v>#NUM!</v>
      </c>
      <c r="AV87" s="6" t="e">
        <v>#REF!</v>
      </c>
      <c r="AW87" s="4" t="e">
        <v>#N/A</v>
      </c>
    </row>
    <row r="88" spans="1:49" x14ac:dyDescent="0.15">
      <c r="A88" s="35" t="s">
        <v>180</v>
      </c>
      <c r="B88" s="36" t="s">
        <v>541</v>
      </c>
      <c r="C88" s="11">
        <v>0</v>
      </c>
      <c r="D88" s="11">
        <v>-10</v>
      </c>
      <c r="E88" s="11">
        <v>0.9</v>
      </c>
      <c r="F88" s="11">
        <v>2.2000000000000002</v>
      </c>
      <c r="G88" s="11">
        <v>-0.1</v>
      </c>
      <c r="H88" s="29"/>
      <c r="I88" s="30" t="s">
        <v>448</v>
      </c>
      <c r="J88" s="29" t="b">
        <v>1</v>
      </c>
      <c r="K88" s="29" t="e">
        <v>#VALUE!</v>
      </c>
      <c r="L88" s="29" t="e">
        <v>#N/A</v>
      </c>
      <c r="M88" s="29" t="e">
        <v>#DIV/0!</v>
      </c>
      <c r="N88" s="29" t="e">
        <v>#NAME?</v>
      </c>
      <c r="O88" s="29" t="e">
        <v>#NULL!</v>
      </c>
      <c r="P88" s="29" t="e">
        <v>#NUM!</v>
      </c>
      <c r="Q88" s="29" t="e">
        <v>#REF!</v>
      </c>
      <c r="R88" s="29">
        <f>_xlfn.QUARTILE.INC(C88:D88,"2")</f>
        <v>-5</v>
      </c>
      <c r="S88" s="29">
        <f>_xlfn.QUARTILE.INC(C88:G88,2)</f>
        <v>0</v>
      </c>
      <c r="T88" s="29">
        <f>_xlfn.QUARTILE.INC(E88:F88,F88)</f>
        <v>1.5500000000000003</v>
      </c>
      <c r="U88" s="29">
        <f>_xlfn.QUARTILE.INC(E88:F88,1)</f>
        <v>1.2250000000000001</v>
      </c>
      <c r="V88" s="29">
        <f>_xlfn.QUARTILE.INC(D88:H88,H88)</f>
        <v>-10</v>
      </c>
      <c r="W88" s="29">
        <f>_xlfn.QUARTILE.INC(D88:E88,I88)</f>
        <v>-7.2750000000000004</v>
      </c>
      <c r="X88" s="29">
        <f>_xlfn.QUARTILE.INC(E88:I88,J88)</f>
        <v>0.4</v>
      </c>
      <c r="Y88" s="29" t="e">
        <f>_xlfn.QUARTILE.INC(I88:J88,K88)</f>
        <v>#VALUE!</v>
      </c>
      <c r="Z88" s="29" t="e">
        <f t="shared" ref="Z88:AF88" si="71">_xlfn.QUARTILE.INC(K88:L88,L88)</f>
        <v>#N/A</v>
      </c>
      <c r="AA88" s="29" t="e">
        <f t="shared" si="71"/>
        <v>#DIV/0!</v>
      </c>
      <c r="AB88" s="29" t="e">
        <f t="shared" si="71"/>
        <v>#NAME?</v>
      </c>
      <c r="AC88" s="29" t="e">
        <f t="shared" si="71"/>
        <v>#NULL!</v>
      </c>
      <c r="AD88" s="29" t="e">
        <f t="shared" si="71"/>
        <v>#NUM!</v>
      </c>
      <c r="AE88" s="29" t="e">
        <f t="shared" si="71"/>
        <v>#REF!</v>
      </c>
      <c r="AF88" s="29" t="e">
        <f t="shared" si="71"/>
        <v>#REF!</v>
      </c>
      <c r="AG88" s="29">
        <f t="array" ref="AG88">_xlfn.QUARTILE.INC(C88:G88,3)</f>
        <v>0.9</v>
      </c>
      <c r="AH88" s="29">
        <f t="array" ref="AH88:AW88">_xlfn.QUARTILE.INC(C88:J88,C88:Q88)</f>
        <v>-10</v>
      </c>
      <c r="AI88" s="29" t="e">
        <v>#NUM!</v>
      </c>
      <c r="AJ88" s="29">
        <v>-10</v>
      </c>
      <c r="AK88" s="29">
        <v>0</v>
      </c>
      <c r="AL88" s="29" t="e">
        <v>#NUM!</v>
      </c>
      <c r="AM88" s="29">
        <v>-10</v>
      </c>
      <c r="AN88" s="29">
        <v>-0.1</v>
      </c>
      <c r="AO88" s="29">
        <v>-0.1</v>
      </c>
      <c r="AP88" s="29" t="e">
        <v>#VALUE!</v>
      </c>
      <c r="AQ88" s="29" t="e">
        <v>#N/A</v>
      </c>
      <c r="AR88" s="29" t="e">
        <v>#DIV/0!</v>
      </c>
      <c r="AS88" s="29" t="e">
        <v>#NAME?</v>
      </c>
      <c r="AT88" s="29" t="e">
        <v>#NULL!</v>
      </c>
      <c r="AU88" s="29" t="e">
        <v>#NUM!</v>
      </c>
      <c r="AV88" s="29" t="e">
        <v>#REF!</v>
      </c>
      <c r="AW88" s="11" t="e">
        <v>#N/A</v>
      </c>
    </row>
    <row r="89" spans="1:49" x14ac:dyDescent="0.15">
      <c r="A89" s="35" t="s">
        <v>181</v>
      </c>
      <c r="B89" s="36" t="s">
        <v>541</v>
      </c>
      <c r="C89" s="11">
        <v>0</v>
      </c>
      <c r="D89" s="11">
        <v>-10</v>
      </c>
      <c r="E89" s="11">
        <v>0</v>
      </c>
      <c r="F89" s="11">
        <v>2.2000000000000002</v>
      </c>
      <c r="G89" s="11">
        <v>-0.1</v>
      </c>
      <c r="H89" s="29"/>
      <c r="I89" s="30" t="s">
        <v>448</v>
      </c>
      <c r="J89" s="29" t="b">
        <v>1</v>
      </c>
      <c r="K89" s="29" t="e">
        <v>#VALUE!</v>
      </c>
      <c r="L89" s="29" t="e">
        <v>#N/A</v>
      </c>
      <c r="M89" s="29" t="e">
        <v>#DIV/0!</v>
      </c>
      <c r="N89" s="29" t="e">
        <v>#NAME?</v>
      </c>
      <c r="O89" s="29" t="e">
        <v>#NULL!</v>
      </c>
      <c r="P89" s="29" t="e">
        <v>#NUM!</v>
      </c>
      <c r="Q89" s="29" t="e">
        <v>#REF!</v>
      </c>
      <c r="R89" s="29" t="e">
        <f>_xlfn.RANK.AVG(2,C89:F89,1)</f>
        <v>#N/A</v>
      </c>
      <c r="S89" s="29">
        <f>_xlfn.RANK.AVG(0,C89:J89,1)</f>
        <v>3.5</v>
      </c>
      <c r="T89" s="29">
        <f>_xlfn.RANK.AVG(F89,C89:J89,0)</f>
        <v>1</v>
      </c>
      <c r="U89" s="29">
        <f>_xlfn.RANK.AVG(G89,C89:J89,0)</f>
        <v>4</v>
      </c>
      <c r="V89" s="29">
        <f>_xlfn.RANK.AVG(D89,C89:J89,1)</f>
        <v>1</v>
      </c>
      <c r="W89" s="29">
        <f>_xlfn.RANK.AVG(H89,C89:J89,1)</f>
        <v>3.5</v>
      </c>
      <c r="X89" s="29" t="e">
        <f>_xlfn.RANK.AVG(I89,C89:J89,1)</f>
        <v>#N/A</v>
      </c>
      <c r="Y89" s="29" t="e">
        <f>_xlfn.RANK.AVG(J89,C89:J89,1)</f>
        <v>#N/A</v>
      </c>
      <c r="Z89" s="29" t="e">
        <f>_xlfn.RANK.AVG(K89,D89:K89,1)</f>
        <v>#VALUE!</v>
      </c>
      <c r="AA89" s="29" t="e">
        <f t="shared" ref="AA89:AF89" si="72">_xlfn.RANK.AVG(L89,E89:L89,1)</f>
        <v>#N/A</v>
      </c>
      <c r="AB89" s="29" t="e">
        <f t="shared" si="72"/>
        <v>#DIV/0!</v>
      </c>
      <c r="AC89" s="29" t="e">
        <f t="shared" si="72"/>
        <v>#NAME?</v>
      </c>
      <c r="AD89" s="29" t="e">
        <f t="shared" si="72"/>
        <v>#NULL!</v>
      </c>
      <c r="AE89" s="29" t="e">
        <f t="shared" si="72"/>
        <v>#NUM!</v>
      </c>
      <c r="AF89" s="29" t="e">
        <f t="shared" si="72"/>
        <v>#REF!</v>
      </c>
      <c r="AG89" s="29">
        <f t="array" ref="AG89">_xlfn.RANK.AVG(C89:H89,C89:J89,1)</f>
        <v>3.5</v>
      </c>
      <c r="AH89" s="29">
        <f t="array" ref="AH89:AW89">_xlfn.RANK.AVG(C89:Q89,C89:J89,1)</f>
        <v>3.5</v>
      </c>
      <c r="AI89" s="29">
        <v>1</v>
      </c>
      <c r="AJ89" s="29">
        <v>3.5</v>
      </c>
      <c r="AK89" s="29">
        <v>5</v>
      </c>
      <c r="AL89" s="29">
        <v>2</v>
      </c>
      <c r="AM89" s="29">
        <v>3.5</v>
      </c>
      <c r="AN89" s="29" t="e">
        <v>#N/A</v>
      </c>
      <c r="AO89" s="29" t="e">
        <v>#N/A</v>
      </c>
      <c r="AP89" s="29" t="e">
        <v>#VALUE!</v>
      </c>
      <c r="AQ89" s="29" t="e">
        <v>#N/A</v>
      </c>
      <c r="AR89" s="29" t="e">
        <v>#DIV/0!</v>
      </c>
      <c r="AS89" s="29" t="e">
        <v>#NAME?</v>
      </c>
      <c r="AT89" s="29" t="e">
        <v>#NULL!</v>
      </c>
      <c r="AU89" s="29" t="e">
        <v>#NUM!</v>
      </c>
      <c r="AV89" s="29" t="e">
        <v>#REF!</v>
      </c>
      <c r="AW89" s="11" t="e">
        <v>#N/A</v>
      </c>
    </row>
    <row r="90" spans="1:49" x14ac:dyDescent="0.15">
      <c r="A90" s="35" t="s">
        <v>182</v>
      </c>
      <c r="B90" s="36" t="s">
        <v>541</v>
      </c>
      <c r="C90" s="11">
        <v>0</v>
      </c>
      <c r="D90" s="11">
        <v>-10</v>
      </c>
      <c r="E90" s="11">
        <v>0</v>
      </c>
      <c r="F90" s="11">
        <v>2.2000000000000002</v>
      </c>
      <c r="G90" s="11">
        <v>-0.1</v>
      </c>
      <c r="H90" s="29"/>
      <c r="I90" s="30" t="s">
        <v>786</v>
      </c>
      <c r="J90" s="29" t="b">
        <v>1</v>
      </c>
      <c r="K90" s="29" t="e">
        <v>#VALUE!</v>
      </c>
      <c r="L90" s="29" t="e">
        <v>#N/A</v>
      </c>
      <c r="M90" s="29" t="e">
        <v>#DIV/0!</v>
      </c>
      <c r="N90" s="29" t="e">
        <v>#NAME?</v>
      </c>
      <c r="O90" s="29" t="e">
        <v>#NULL!</v>
      </c>
      <c r="P90" s="29" t="e">
        <v>#NUM!</v>
      </c>
      <c r="Q90" s="29" t="e">
        <v>#REF!</v>
      </c>
      <c r="R90" s="29" t="e">
        <f>_xlfn.RANK.EQ(2,C90:F90,1)</f>
        <v>#N/A</v>
      </c>
      <c r="S90" s="29">
        <f>_xlfn.RANK.EQ(0,C90:J90,1)</f>
        <v>3</v>
      </c>
      <c r="T90" s="29">
        <f>_xlfn.RANK.EQ(F90,C90:J90,0)</f>
        <v>1</v>
      </c>
      <c r="U90" s="29">
        <f>_xlfn.RANK.EQ(G90,C90:J90,0)</f>
        <v>4</v>
      </c>
      <c r="V90" s="29">
        <f>_xlfn.RANK.EQ(D90,C90:J90,1)</f>
        <v>1</v>
      </c>
      <c r="W90" s="29">
        <f>_xlfn.RANK.EQ(H90,C90:J90,1)</f>
        <v>3</v>
      </c>
      <c r="X90" s="29" t="e">
        <f>_xlfn.RANK.EQ(I90,C90:J90,1)</f>
        <v>#N/A</v>
      </c>
      <c r="Y90" s="29" t="e">
        <f t="shared" ref="Y90:AF90" si="73">_xlfn.RANK.EQ(J90,C90:J90,1)</f>
        <v>#N/A</v>
      </c>
      <c r="Z90" s="29" t="e">
        <f t="shared" si="73"/>
        <v>#VALUE!</v>
      </c>
      <c r="AA90" s="29" t="e">
        <f t="shared" si="73"/>
        <v>#N/A</v>
      </c>
      <c r="AB90" s="29" t="e">
        <f t="shared" si="73"/>
        <v>#DIV/0!</v>
      </c>
      <c r="AC90" s="29" t="e">
        <f t="shared" si="73"/>
        <v>#NAME?</v>
      </c>
      <c r="AD90" s="29" t="e">
        <f t="shared" si="73"/>
        <v>#NULL!</v>
      </c>
      <c r="AE90" s="29" t="e">
        <f t="shared" si="73"/>
        <v>#NUM!</v>
      </c>
      <c r="AF90" s="29" t="e">
        <f t="shared" si="73"/>
        <v>#REF!</v>
      </c>
      <c r="AG90" s="29">
        <f t="array" ref="AG90">_xlfn.RANK.EQ(C90:H90,C90:J90,1)</f>
        <v>3</v>
      </c>
      <c r="AH90" s="29">
        <f t="array" ref="AH90:AW90">_xlfn.RANK.EQ(C90:Q90,C90:J90,1)</f>
        <v>3</v>
      </c>
      <c r="AI90" s="29">
        <v>1</v>
      </c>
      <c r="AJ90" s="29">
        <v>3</v>
      </c>
      <c r="AK90" s="29">
        <v>5</v>
      </c>
      <c r="AL90" s="29">
        <v>2</v>
      </c>
      <c r="AM90" s="29">
        <v>3</v>
      </c>
      <c r="AN90" s="29" t="e">
        <v>#N/A</v>
      </c>
      <c r="AO90" s="29" t="e">
        <v>#N/A</v>
      </c>
      <c r="AP90" s="29" t="e">
        <v>#VALUE!</v>
      </c>
      <c r="AQ90" s="29" t="e">
        <v>#N/A</v>
      </c>
      <c r="AR90" s="29" t="e">
        <v>#DIV/0!</v>
      </c>
      <c r="AS90" s="29" t="e">
        <v>#NAME?</v>
      </c>
      <c r="AT90" s="29" t="e">
        <v>#NULL!</v>
      </c>
      <c r="AU90" s="29" t="e">
        <v>#NUM!</v>
      </c>
      <c r="AV90" s="29" t="e">
        <v>#REF!</v>
      </c>
      <c r="AW90" s="11" t="e">
        <v>#N/A</v>
      </c>
    </row>
    <row r="91" spans="1:49" x14ac:dyDescent="0.15">
      <c r="A91" s="35" t="s">
        <v>183</v>
      </c>
      <c r="B91" s="36" t="s">
        <v>541</v>
      </c>
      <c r="C91" s="4">
        <v>10</v>
      </c>
      <c r="D91" s="4">
        <v>3.2</v>
      </c>
      <c r="E91" s="4">
        <v>0.7</v>
      </c>
      <c r="F91" s="4">
        <v>2</v>
      </c>
      <c r="G91" s="4">
        <v>4</v>
      </c>
      <c r="H91" s="6"/>
      <c r="I91" s="16" t="s">
        <v>785</v>
      </c>
      <c r="J91" s="6" t="b">
        <v>1</v>
      </c>
      <c r="K91" s="6" t="e">
        <v>#VALUE!</v>
      </c>
      <c r="L91" s="6" t="e">
        <v>#N/A</v>
      </c>
      <c r="M91" s="7" t="e">
        <v>#DIV/0!</v>
      </c>
      <c r="N91" s="7" t="e">
        <v>#NAME?</v>
      </c>
      <c r="O91" s="7" t="e">
        <v>#NULL!</v>
      </c>
      <c r="P91" s="7" t="e">
        <v>#NUM!</v>
      </c>
      <c r="Q91" s="7" t="e">
        <v>#REF!</v>
      </c>
      <c r="R91" s="18">
        <f>RSQ(C90:D91,E88:E91)</f>
        <v>6.723630760610738E-3</v>
      </c>
      <c r="S91" s="6" t="e">
        <f>RSQ(D91:E91,E91:G91)</f>
        <v>#N/A</v>
      </c>
      <c r="T91" s="6" t="e">
        <f>RSQ(E91:F91,G91:H91)</f>
        <v>#DIV/0!</v>
      </c>
      <c r="U91" s="6" t="e">
        <f>RSQ(D91,F91)</f>
        <v>#DIV/0!</v>
      </c>
      <c r="V91" s="6" t="e">
        <f>RSQ(G91:I91,H91:J91)</f>
        <v>#DIV/0!</v>
      </c>
      <c r="W91" s="6" t="e">
        <f>RSQ(H91:I91,E91:G91)</f>
        <v>#N/A</v>
      </c>
      <c r="X91" s="6" t="e">
        <f t="shared" ref="X91:AF91" si="74">RSQ(I91:J91,K91:L91)</f>
        <v>#VALUE!</v>
      </c>
      <c r="Y91" s="6" t="e">
        <f t="shared" si="74"/>
        <v>#N/A</v>
      </c>
      <c r="Z91" s="6" t="e">
        <f t="shared" si="74"/>
        <v>#VALUE!</v>
      </c>
      <c r="AA91" s="6" t="e">
        <f t="shared" si="74"/>
        <v>#N/A</v>
      </c>
      <c r="AB91" s="6" t="e">
        <f t="shared" si="74"/>
        <v>#DIV/0!</v>
      </c>
      <c r="AC91" s="6" t="e">
        <f t="shared" si="74"/>
        <v>#NAME?</v>
      </c>
      <c r="AD91" s="6" t="e">
        <f t="shared" si="74"/>
        <v>#NUM!</v>
      </c>
      <c r="AE91" s="6" t="e">
        <f t="shared" si="74"/>
        <v>#NUM!</v>
      </c>
      <c r="AF91" s="6" t="e">
        <f t="shared" si="74"/>
        <v>#REF!</v>
      </c>
      <c r="AG91" s="6">
        <f t="array" ref="AG91">RSQ(C90:D91, F90:G91)</f>
        <v>0.42544019049955517</v>
      </c>
      <c r="AH91" s="71">
        <f t="array" ref="AH91:AW91">RSQ(D91:E91, E91:F91)</f>
        <v>1</v>
      </c>
      <c r="AI91" s="6">
        <v>1</v>
      </c>
      <c r="AJ91" s="6">
        <v>1</v>
      </c>
      <c r="AK91" s="6">
        <v>1</v>
      </c>
      <c r="AL91" s="6">
        <v>1</v>
      </c>
      <c r="AM91" s="6">
        <v>1</v>
      </c>
      <c r="AN91" s="6">
        <v>1</v>
      </c>
      <c r="AO91" s="6">
        <v>1</v>
      </c>
      <c r="AP91" s="6">
        <v>1</v>
      </c>
      <c r="AQ91" s="6">
        <v>1</v>
      </c>
      <c r="AR91" s="6">
        <v>1</v>
      </c>
      <c r="AS91" s="6">
        <v>1</v>
      </c>
      <c r="AT91" s="6">
        <v>1</v>
      </c>
      <c r="AU91" s="6">
        <v>1</v>
      </c>
      <c r="AV91" s="6">
        <v>1</v>
      </c>
      <c r="AW91" s="4">
        <v>1</v>
      </c>
    </row>
    <row r="92" spans="1:49" x14ac:dyDescent="0.15">
      <c r="A92" s="35" t="s">
        <v>184</v>
      </c>
      <c r="B92" s="36" t="s">
        <v>541</v>
      </c>
      <c r="C92" s="4">
        <v>0</v>
      </c>
      <c r="D92" s="4">
        <v>0.1</v>
      </c>
      <c r="E92" s="4">
        <v>0.2</v>
      </c>
      <c r="F92" s="4">
        <v>0.3</v>
      </c>
      <c r="G92" s="4">
        <v>-0.1</v>
      </c>
      <c r="H92" s="6"/>
      <c r="I92" s="16" t="s">
        <v>444</v>
      </c>
      <c r="J92" s="6" t="b">
        <v>1</v>
      </c>
      <c r="K92" s="6" t="e">
        <v>#VALUE!</v>
      </c>
      <c r="L92" s="6" t="e">
        <v>#N/A</v>
      </c>
      <c r="M92" s="7" t="e">
        <v>#DIV/0!</v>
      </c>
      <c r="N92" s="7" t="e">
        <v>#NAME?</v>
      </c>
      <c r="O92" s="7" t="e">
        <v>#NULL!</v>
      </c>
      <c r="P92" s="7" t="e">
        <v>#NUM!</v>
      </c>
      <c r="Q92" s="7" t="e">
        <v>#REF!</v>
      </c>
      <c r="R92" s="6">
        <f>SKEW(C92:D92,D92:E92,E92:F92)</f>
        <v>-1.1990408665951689E-15</v>
      </c>
      <c r="S92" s="6" t="e" vm="103">
        <f>SKEW(D92:E92,E92:F92,F92:G92,"")</f>
        <v>#VALUE!</v>
      </c>
      <c r="T92" s="6">
        <f>SKEW(E92:F92,F92:G92,G92:H92,"29/02/1900")</f>
        <v>2.4491797047808688</v>
      </c>
      <c r="U92" s="6">
        <f>SKEW(F92:G92,G92:H92,H92:I92)</f>
        <v>1.7320508075688767</v>
      </c>
      <c r="V92" s="6" t="e">
        <f>SKEW(G92:H92,H92:I92,I92:J92)</f>
        <v>#DIV/0!</v>
      </c>
      <c r="W92" s="6" t="e">
        <f>SKEW(G92:H92)</f>
        <v>#DIV/0!</v>
      </c>
      <c r="X92" s="6" t="e">
        <f>SKEW(I92,G92)</f>
        <v>#DIV/0!</v>
      </c>
      <c r="Y92" s="6" t="e">
        <f>SKEW(J92,G92)</f>
        <v>#DIV/0!</v>
      </c>
      <c r="Z92" s="6" t="e">
        <f>SKEW(K92:L92)</f>
        <v>#VALUE!</v>
      </c>
      <c r="AA92" s="6" t="e">
        <f t="shared" ref="AA92:AF92" si="75">SKEW(L92:M92)</f>
        <v>#N/A</v>
      </c>
      <c r="AB92" s="6" t="e">
        <f t="shared" si="75"/>
        <v>#DIV/0!</v>
      </c>
      <c r="AC92" s="6" t="e">
        <f t="shared" si="75"/>
        <v>#NAME?</v>
      </c>
      <c r="AD92" s="6" t="e">
        <f t="shared" si="75"/>
        <v>#NULL!</v>
      </c>
      <c r="AE92" s="6" t="e">
        <f t="shared" si="75"/>
        <v>#NUM!</v>
      </c>
      <c r="AF92" s="6" t="e">
        <f t="shared" si="75"/>
        <v>#REF!</v>
      </c>
      <c r="AG92" s="6" t="e">
        <f t="array" ref="AG92">SKEW(H92:J92)</f>
        <v>#DIV/0!</v>
      </c>
      <c r="AH92" s="6">
        <f t="array" ref="AH92:AW92">SKEW(C92:J92)</f>
        <v>-1.1102230246251565E-15</v>
      </c>
      <c r="AI92" s="6">
        <v>-1.1102230246251565E-15</v>
      </c>
      <c r="AJ92" s="6">
        <v>-1.1102230246251565E-15</v>
      </c>
      <c r="AK92" s="6">
        <v>-1.1102230246251565E-15</v>
      </c>
      <c r="AL92" s="6">
        <v>-1.1102230246251565E-15</v>
      </c>
      <c r="AM92" s="6">
        <v>-1.1102230246251565E-15</v>
      </c>
      <c r="AN92" s="6">
        <v>-1.1102230246251565E-15</v>
      </c>
      <c r="AO92" s="6">
        <v>-1.1102230246251565E-15</v>
      </c>
      <c r="AP92" s="6">
        <v>-1.1102230246251565E-15</v>
      </c>
      <c r="AQ92" s="6">
        <v>-1.1102230246251565E-15</v>
      </c>
      <c r="AR92" s="6">
        <v>-1.1102230246251565E-15</v>
      </c>
      <c r="AS92" s="6">
        <v>-1.1102230246251565E-15</v>
      </c>
      <c r="AT92" s="6">
        <v>-1.1102230246251565E-15</v>
      </c>
      <c r="AU92" s="6">
        <v>-1.1102230246251565E-15</v>
      </c>
      <c r="AV92" s="6">
        <v>-1.1102230246251565E-15</v>
      </c>
      <c r="AW92" s="4">
        <v>-1.1102230246251565E-15</v>
      </c>
    </row>
    <row r="93" spans="1:49" x14ac:dyDescent="0.15">
      <c r="A93" s="35" t="s">
        <v>185</v>
      </c>
      <c r="B93" s="36" t="s">
        <v>541</v>
      </c>
      <c r="C93" s="4">
        <v>0</v>
      </c>
      <c r="D93" s="4">
        <v>0.1</v>
      </c>
      <c r="E93" s="4">
        <v>0.2</v>
      </c>
      <c r="F93" s="4">
        <v>0.3</v>
      </c>
      <c r="G93" s="4">
        <v>-0.1</v>
      </c>
      <c r="H93" s="6"/>
      <c r="I93" s="16" t="s">
        <v>444</v>
      </c>
      <c r="J93" s="6" t="b">
        <v>1</v>
      </c>
      <c r="K93" s="6" t="e">
        <v>#VALUE!</v>
      </c>
      <c r="L93" s="6" t="e">
        <v>#N/A</v>
      </c>
      <c r="M93" s="7" t="e">
        <v>#DIV/0!</v>
      </c>
      <c r="N93" s="7" t="e">
        <v>#NAME?</v>
      </c>
      <c r="O93" s="7" t="e">
        <v>#NULL!</v>
      </c>
      <c r="P93" s="7" t="e">
        <v>#NUM!</v>
      </c>
      <c r="Q93" s="7" t="e">
        <v>#REF!</v>
      </c>
      <c r="R93" s="6">
        <f>_xlfn.SKEW.P(C93:D93,D93:E93,E93:F93)</f>
        <v>-5.9211894646675012E-16</v>
      </c>
      <c r="S93" s="6" t="e" vm="104">
        <f>_xlfn.SKEW.P(D93:E93,E93:F93,F93:G93,"")</f>
        <v>#VALUE!</v>
      </c>
      <c r="T93" s="6">
        <f>_xlfn.SKEW.P(E93:F93,F93:G93,G93:H93,"29/02/1900")</f>
        <v>1.7886279622564345</v>
      </c>
      <c r="U93" s="6">
        <f>_xlfn.SKEW.P(F93:G93,G93:H93,H93:I93)</f>
        <v>0.70710678118654757</v>
      </c>
      <c r="V93" s="6" t="e">
        <f>_xlfn.SKEW.P(G93:H93,H93:I93,I93:J93)</f>
        <v>#DIV/0!</v>
      </c>
      <c r="W93" s="6" t="e">
        <f>_xlfn.SKEW.P(G93:H93)</f>
        <v>#DIV/0!</v>
      </c>
      <c r="X93" s="6" t="e">
        <f>_xlfn.SKEW.P(I93,G93)</f>
        <v>#DIV/0!</v>
      </c>
      <c r="Y93" s="6" t="e">
        <f>_xlfn.SKEW.P(J93,G93)</f>
        <v>#DIV/0!</v>
      </c>
      <c r="Z93" s="6" t="e">
        <f>_xlfn.SKEW.P(K93:L93)</f>
        <v>#VALUE!</v>
      </c>
      <c r="AA93" s="6" t="e">
        <f t="shared" ref="AA93:AF93" si="76">_xlfn.SKEW.P(L93:M93)</f>
        <v>#N/A</v>
      </c>
      <c r="AB93" s="6" t="e">
        <f t="shared" si="76"/>
        <v>#DIV/0!</v>
      </c>
      <c r="AC93" s="6" t="e">
        <f t="shared" si="76"/>
        <v>#NAME?</v>
      </c>
      <c r="AD93" s="6" t="e">
        <f t="shared" si="76"/>
        <v>#NULL!</v>
      </c>
      <c r="AE93" s="6" t="e">
        <f t="shared" si="76"/>
        <v>#NUM!</v>
      </c>
      <c r="AF93" s="6" t="e">
        <f t="shared" si="76"/>
        <v>#REF!</v>
      </c>
      <c r="AG93" s="6" t="e">
        <f t="array" ref="AG93">_xlfn.SKEW.P(H93:J93)</f>
        <v>#DIV/0!</v>
      </c>
      <c r="AH93" s="6">
        <f t="array" ref="AH93:AW93">_xlfn.SKEW.P(C93:J93)</f>
        <v>-6.2172489379008762E-16</v>
      </c>
      <c r="AI93" s="6">
        <v>-6.2172489379008762E-16</v>
      </c>
      <c r="AJ93" s="6">
        <v>-6.2172489379008762E-16</v>
      </c>
      <c r="AK93" s="6">
        <v>-6.2172489379008762E-16</v>
      </c>
      <c r="AL93" s="6">
        <v>-6.2172489379008762E-16</v>
      </c>
      <c r="AM93" s="6">
        <v>-6.2172489379008762E-16</v>
      </c>
      <c r="AN93" s="6">
        <v>-6.2172489379008762E-16</v>
      </c>
      <c r="AO93" s="6">
        <v>-6.2172489379008762E-16</v>
      </c>
      <c r="AP93" s="6">
        <v>-6.2172489379008762E-16</v>
      </c>
      <c r="AQ93" s="6">
        <v>-6.2172489379008762E-16</v>
      </c>
      <c r="AR93" s="6">
        <v>-6.2172489379008762E-16</v>
      </c>
      <c r="AS93" s="6">
        <v>-6.2172489379008762E-16</v>
      </c>
      <c r="AT93" s="6">
        <v>-6.2172489379008762E-16</v>
      </c>
      <c r="AU93" s="6">
        <v>-6.2172489379008762E-16</v>
      </c>
      <c r="AV93" s="6">
        <v>-6.2172489379008762E-16</v>
      </c>
      <c r="AW93" s="4">
        <v>-6.2172489379008762E-16</v>
      </c>
    </row>
    <row r="94" spans="1:49" x14ac:dyDescent="0.15">
      <c r="A94" s="35" t="s">
        <v>186</v>
      </c>
      <c r="B94" s="36" t="s">
        <v>541</v>
      </c>
      <c r="C94" s="4">
        <v>0</v>
      </c>
      <c r="D94" s="4">
        <v>0.1</v>
      </c>
      <c r="E94" s="4">
        <v>0.2</v>
      </c>
      <c r="F94" s="4">
        <v>0.3</v>
      </c>
      <c r="G94" s="4">
        <v>-0.1</v>
      </c>
      <c r="H94" s="6"/>
      <c r="I94" s="16" t="s">
        <v>444</v>
      </c>
      <c r="J94" s="6" t="b">
        <v>1</v>
      </c>
      <c r="K94" s="6" t="e">
        <v>#VALUE!</v>
      </c>
      <c r="L94" s="6" t="e">
        <v>#N/A</v>
      </c>
      <c r="M94" s="7" t="e">
        <v>#DIV/0!</v>
      </c>
      <c r="N94" s="7" t="e">
        <v>#NAME?</v>
      </c>
      <c r="O94" s="7" t="e">
        <v>#NULL!</v>
      </c>
      <c r="P94" s="7" t="e">
        <v>#NUM!</v>
      </c>
      <c r="Q94" s="7" t="e">
        <v>#REF!</v>
      </c>
      <c r="R94" s="4">
        <f>SLOPE(C94:E94,E94:G94)</f>
        <v>-0.34615384615384615</v>
      </c>
      <c r="S94" s="4">
        <f t="shared" ref="S94:AF94" si="77">SLOPE(D94:F94,F94:H94)</f>
        <v>-0.25</v>
      </c>
      <c r="T94" s="4" t="e">
        <f t="shared" si="77"/>
        <v>#DIV/0!</v>
      </c>
      <c r="U94" s="4" t="e">
        <f t="shared" si="77"/>
        <v>#DIV/0!</v>
      </c>
      <c r="V94" s="4" t="e">
        <f t="shared" si="77"/>
        <v>#VALUE!</v>
      </c>
      <c r="W94" s="4" t="e">
        <f t="shared" si="77"/>
        <v>#VALUE!</v>
      </c>
      <c r="X94" s="4" t="e">
        <f t="shared" si="77"/>
        <v>#VALUE!</v>
      </c>
      <c r="Y94" s="4" t="e">
        <f t="shared" si="77"/>
        <v>#N/A</v>
      </c>
      <c r="Z94" s="4" t="e">
        <f t="shared" si="77"/>
        <v>#VALUE!</v>
      </c>
      <c r="AA94" s="4" t="e">
        <f t="shared" si="77"/>
        <v>#N/A</v>
      </c>
      <c r="AB94" s="4" t="e">
        <f t="shared" si="77"/>
        <v>#DIV/0!</v>
      </c>
      <c r="AC94" s="4" t="e">
        <f t="shared" si="77"/>
        <v>#NAME?</v>
      </c>
      <c r="AD94" s="4" t="e">
        <f t="shared" si="77"/>
        <v>#NUM!</v>
      </c>
      <c r="AE94" s="4" t="e">
        <f t="shared" si="77"/>
        <v>#NUM!</v>
      </c>
      <c r="AF94" s="4" t="e">
        <f t="shared" si="77"/>
        <v>#REF!</v>
      </c>
      <c r="AG94" s="4">
        <f>SLOPE(C94:E94,E94:G94)</f>
        <v>-0.34615384615384615</v>
      </c>
      <c r="AH94" s="4">
        <f t="array" ref="AH94:AW94">SLOPE(C94:E94,E94:G94)</f>
        <v>-0.34615384615384615</v>
      </c>
      <c r="AI94" s="4">
        <v>-0.34615384615384615</v>
      </c>
      <c r="AJ94" s="4">
        <v>-0.34615384615384615</v>
      </c>
      <c r="AK94" s="4">
        <v>-0.34615384615384615</v>
      </c>
      <c r="AL94" s="4">
        <v>-0.34615384615384615</v>
      </c>
      <c r="AM94" s="4">
        <v>-0.34615384615384615</v>
      </c>
      <c r="AN94" s="4">
        <v>-0.34615384615384615</v>
      </c>
      <c r="AO94" s="4">
        <v>-0.34615384615384615</v>
      </c>
      <c r="AP94" s="4">
        <v>-0.34615384615384615</v>
      </c>
      <c r="AQ94" s="4">
        <v>-0.34615384615384615</v>
      </c>
      <c r="AR94" s="4">
        <v>-0.34615384615384615</v>
      </c>
      <c r="AS94" s="4">
        <v>-0.34615384615384615</v>
      </c>
      <c r="AT94" s="4">
        <v>-0.34615384615384615</v>
      </c>
      <c r="AU94" s="4">
        <v>-0.34615384615384615</v>
      </c>
      <c r="AV94" s="4">
        <v>-0.34615384615384615</v>
      </c>
      <c r="AW94" s="4">
        <v>-0.34615384615384615</v>
      </c>
    </row>
    <row r="95" spans="1:49" x14ac:dyDescent="0.15">
      <c r="A95" s="35" t="s">
        <v>187</v>
      </c>
      <c r="B95" s="36" t="s">
        <v>541</v>
      </c>
      <c r="C95" s="4">
        <v>0</v>
      </c>
      <c r="D95" s="4">
        <v>-10</v>
      </c>
      <c r="E95" s="4">
        <v>0.9</v>
      </c>
      <c r="F95" s="4">
        <v>2.2000000000000002</v>
      </c>
      <c r="G95" s="4">
        <v>-0.1</v>
      </c>
      <c r="H95" s="6"/>
      <c r="I95" s="16" t="s">
        <v>448</v>
      </c>
      <c r="J95" s="6" t="b">
        <v>1</v>
      </c>
      <c r="K95" s="6" t="e">
        <v>#VALUE!</v>
      </c>
      <c r="L95" s="6" t="e">
        <v>#N/A</v>
      </c>
      <c r="M95" s="7" t="e">
        <v>#DIV/0!</v>
      </c>
      <c r="N95" s="7" t="e">
        <v>#NAME?</v>
      </c>
      <c r="O95" s="7" t="e">
        <v>#NULL!</v>
      </c>
      <c r="P95" s="7" t="e">
        <v>#NUM!</v>
      </c>
      <c r="Q95" s="7" t="e">
        <v>#REF!</v>
      </c>
      <c r="R95" s="6">
        <f>SMALL($C95:$J95,"1")</f>
        <v>-10</v>
      </c>
      <c r="S95" s="6">
        <f>SMALL($C95:$J95,2)</f>
        <v>-0.1</v>
      </c>
      <c r="T95" s="6">
        <f>SMALL($C95:$J95,3)</f>
        <v>0</v>
      </c>
      <c r="U95" s="6">
        <f>SMALL($C95:$J95,3)</f>
        <v>0</v>
      </c>
      <c r="V95" s="6">
        <f>SMALL($C95:$J95,4)</f>
        <v>0.9</v>
      </c>
      <c r="W95" s="6" t="e">
        <f>SMALL($C95:$J95,H95)</f>
        <v>#NUM!</v>
      </c>
      <c r="X95" s="6" t="e" vm="105">
        <f>SMALL($C95:$J95,"c")</f>
        <v>#VALUE!</v>
      </c>
      <c r="Y95" s="6">
        <f>SMALL($C95:$J95,J95)</f>
        <v>-10</v>
      </c>
      <c r="Z95" s="6" t="e">
        <f t="shared" ref="Z95:AF95" si="78">SMALL($C95:$K95,K95)</f>
        <v>#VALUE!</v>
      </c>
      <c r="AA95" s="6" t="e">
        <f t="shared" si="78"/>
        <v>#N/A</v>
      </c>
      <c r="AB95" s="6" t="e">
        <f t="shared" si="78"/>
        <v>#DIV/0!</v>
      </c>
      <c r="AC95" s="6" t="e">
        <f t="shared" si="78"/>
        <v>#NAME?</v>
      </c>
      <c r="AD95" s="6" t="e">
        <f t="shared" si="78"/>
        <v>#NULL!</v>
      </c>
      <c r="AE95" s="6" t="e">
        <f t="shared" si="78"/>
        <v>#NUM!</v>
      </c>
      <c r="AF95" s="6" t="e">
        <f t="shared" si="78"/>
        <v>#REF!</v>
      </c>
      <c r="AG95" s="6" t="e">
        <f t="array" ref="AG95">SMALL($C95:$J95,E95:F95)</f>
        <v>#NUM!</v>
      </c>
      <c r="AH95" s="6" t="e">
        <f t="array" ref="AH95:AW95">SMALL($C95:$J95,C95:Q95)</f>
        <v>#NUM!</v>
      </c>
      <c r="AI95" s="6" t="e">
        <v>#NUM!</v>
      </c>
      <c r="AJ95" s="6" t="e">
        <v>#NUM!</v>
      </c>
      <c r="AK95" s="6">
        <v>-0.1</v>
      </c>
      <c r="AL95" s="6" t="e">
        <v>#NUM!</v>
      </c>
      <c r="AM95" s="6" t="e">
        <v>#NUM!</v>
      </c>
      <c r="AN95" s="6">
        <v>-10</v>
      </c>
      <c r="AO95" s="6">
        <v>-10</v>
      </c>
      <c r="AP95" s="6" t="e">
        <v>#VALUE!</v>
      </c>
      <c r="AQ95" s="6" t="e">
        <v>#N/A</v>
      </c>
      <c r="AR95" s="6" t="e">
        <v>#DIV/0!</v>
      </c>
      <c r="AS95" s="6" t="e">
        <v>#NAME?</v>
      </c>
      <c r="AT95" s="6" t="e">
        <v>#NULL!</v>
      </c>
      <c r="AU95" s="6" t="e">
        <v>#NUM!</v>
      </c>
      <c r="AV95" s="6" t="e">
        <v>#REF!</v>
      </c>
      <c r="AW95" s="4" t="e">
        <v>#N/A</v>
      </c>
    </row>
    <row r="96" spans="1:49" x14ac:dyDescent="0.15">
      <c r="A96" s="35" t="s">
        <v>188</v>
      </c>
      <c r="B96" s="36" t="s">
        <v>541</v>
      </c>
      <c r="C96" s="4">
        <v>0</v>
      </c>
      <c r="D96" s="4">
        <v>-10</v>
      </c>
      <c r="E96" s="4">
        <v>0.9</v>
      </c>
      <c r="F96" s="4">
        <v>2.2000000000000002</v>
      </c>
      <c r="G96" s="4">
        <v>-0.1</v>
      </c>
      <c r="H96" s="6"/>
      <c r="I96" s="16" t="s">
        <v>448</v>
      </c>
      <c r="J96" s="6" t="b">
        <v>1</v>
      </c>
      <c r="K96" s="6" t="e">
        <v>#VALUE!</v>
      </c>
      <c r="L96" s="6" t="e">
        <v>#N/A</v>
      </c>
      <c r="M96" s="7" t="e">
        <v>#DIV/0!</v>
      </c>
      <c r="N96" s="7" t="e">
        <v>#NAME?</v>
      </c>
      <c r="O96" s="7" t="e">
        <v>#NULL!</v>
      </c>
      <c r="P96" s="7" t="e">
        <v>#NUM!</v>
      </c>
      <c r="Q96" s="7" t="e">
        <v>#REF!</v>
      </c>
      <c r="R96" s="6">
        <f>STANDARDIZE(C96,D96,E96)</f>
        <v>11.111111111111111</v>
      </c>
      <c r="S96" s="6">
        <f t="shared" ref="S96:AE96" si="79">STANDARDIZE(D96,E96,F96)</f>
        <v>-4.9545454545454541</v>
      </c>
      <c r="T96" s="6" t="e">
        <f t="shared" si="79"/>
        <v>#NUM!</v>
      </c>
      <c r="U96" s="6" t="e">
        <f t="shared" si="79"/>
        <v>#NUM!</v>
      </c>
      <c r="V96" s="6">
        <f t="shared" si="79"/>
        <v>-0.1</v>
      </c>
      <c r="W96" s="6">
        <f>STANDARDIZE(H96,I96,J96)</f>
        <v>-1</v>
      </c>
      <c r="X96" s="6" t="e">
        <f t="shared" si="79"/>
        <v>#VALUE!</v>
      </c>
      <c r="Y96" s="6" t="e">
        <f t="shared" si="79"/>
        <v>#VALUE!</v>
      </c>
      <c r="Z96" s="6" t="e">
        <f t="shared" si="79"/>
        <v>#VALUE!</v>
      </c>
      <c r="AA96" s="6" t="e">
        <f t="shared" si="79"/>
        <v>#N/A</v>
      </c>
      <c r="AB96" s="6" t="e">
        <f t="shared" si="79"/>
        <v>#DIV/0!</v>
      </c>
      <c r="AC96" s="6" t="e">
        <f t="shared" si="79"/>
        <v>#NAME?</v>
      </c>
      <c r="AD96" s="6" t="e">
        <f t="shared" si="79"/>
        <v>#NULL!</v>
      </c>
      <c r="AE96" s="6" t="e">
        <f t="shared" si="79"/>
        <v>#NUM!</v>
      </c>
      <c r="AF96" s="6" t="e">
        <f>STANDARDIZE(Q96,R96,S96)</f>
        <v>#REF!</v>
      </c>
      <c r="AG96" s="6">
        <f t="array" ref="AG96">STANDARDIZE(C96:D96,D96,E96:F96)</f>
        <v>11.111111111111111</v>
      </c>
      <c r="AH96" s="6">
        <f t="array" ref="AH96:AW96">STANDARDIZE(C96:H96,D96,E96:J96)</f>
        <v>11.111111111111111</v>
      </c>
      <c r="AI96" s="6">
        <v>0</v>
      </c>
      <c r="AJ96" s="6" t="e">
        <v>#NUM!</v>
      </c>
      <c r="AK96" s="6" t="e">
        <v>#NUM!</v>
      </c>
      <c r="AL96" s="6">
        <v>9.9</v>
      </c>
      <c r="AM96" s="6">
        <v>10</v>
      </c>
      <c r="AN96" s="6" t="e">
        <v>#N/A</v>
      </c>
      <c r="AO96" s="6" t="e">
        <v>#N/A</v>
      </c>
      <c r="AP96" s="6" t="e">
        <v>#N/A</v>
      </c>
      <c r="AQ96" s="6" t="e">
        <v>#N/A</v>
      </c>
      <c r="AR96" s="6" t="e">
        <v>#N/A</v>
      </c>
      <c r="AS96" s="6" t="e">
        <v>#N/A</v>
      </c>
      <c r="AT96" s="6" t="e">
        <v>#N/A</v>
      </c>
      <c r="AU96" s="6" t="e">
        <v>#N/A</v>
      </c>
      <c r="AV96" s="6" t="e">
        <v>#N/A</v>
      </c>
      <c r="AW96" s="4" t="e">
        <v>#N/A</v>
      </c>
    </row>
    <row r="97" spans="1:49" x14ac:dyDescent="0.15">
      <c r="A97" s="35" t="s">
        <v>189</v>
      </c>
      <c r="B97" s="36" t="s">
        <v>541</v>
      </c>
      <c r="C97" s="4">
        <v>0</v>
      </c>
      <c r="D97" s="4">
        <v>-10</v>
      </c>
      <c r="E97" s="4">
        <v>0.9</v>
      </c>
      <c r="F97" s="4">
        <v>2.2000000000000002</v>
      </c>
      <c r="G97" s="4">
        <v>-0.1</v>
      </c>
      <c r="H97" s="6"/>
      <c r="I97" s="16" t="s">
        <v>448</v>
      </c>
      <c r="J97" s="6" t="b">
        <v>1</v>
      </c>
      <c r="K97" s="6" t="e">
        <v>#VALUE!</v>
      </c>
      <c r="L97" s="6" t="e">
        <v>#N/A</v>
      </c>
      <c r="M97" s="7" t="e">
        <v>#DIV/0!</v>
      </c>
      <c r="N97" s="7" t="e">
        <v>#NAME?</v>
      </c>
      <c r="O97" s="7" t="e">
        <v>#NULL!</v>
      </c>
      <c r="P97" s="7" t="e">
        <v>#NUM!</v>
      </c>
      <c r="Q97" s="7" t="e">
        <v>#REF!</v>
      </c>
      <c r="R97" s="6">
        <f>_xlfn.STDEV.P(C97:D97,D97:E97,E97:F97,"2")</f>
        <v>5.1054592629570834</v>
      </c>
      <c r="S97" s="6" t="e" vm="106">
        <f>_xlfn.STDEV.P(D97:E97,E97:F97,F97:G97,"")</f>
        <v>#VALUE!</v>
      </c>
      <c r="T97" s="6">
        <f>_xlfn.STDEV.P(E97:F97,F97:G97,G97:H97,"29/02/1900")</f>
        <v>22.00066286880163</v>
      </c>
      <c r="U97" s="6" t="e">
        <f>_xlfn.STDEV.P(H97)</f>
        <v>#DIV/0!</v>
      </c>
      <c r="V97" s="6">
        <f>_xlfn.STDEV.P(G97:H97,H97:I97,I97:J97)</f>
        <v>0</v>
      </c>
      <c r="W97" s="6">
        <f>_xlfn.STDEV.P(G97:H97)</f>
        <v>0</v>
      </c>
      <c r="X97" s="6">
        <f>_xlfn.STDEV.P(I97,G97)</f>
        <v>0</v>
      </c>
      <c r="Y97" s="6">
        <f>_xlfn.STDEV.P(J97,G97)</f>
        <v>0</v>
      </c>
      <c r="Z97" s="6" t="e">
        <f t="shared" ref="Z97:AF97" si="80">_xlfn.STDEV.P(K97:L97)</f>
        <v>#VALUE!</v>
      </c>
      <c r="AA97" s="6" t="e">
        <f t="shared" si="80"/>
        <v>#N/A</v>
      </c>
      <c r="AB97" s="6" t="e">
        <f t="shared" si="80"/>
        <v>#DIV/0!</v>
      </c>
      <c r="AC97" s="6" t="e">
        <f t="shared" si="80"/>
        <v>#NAME?</v>
      </c>
      <c r="AD97" s="6" t="e">
        <f t="shared" si="80"/>
        <v>#NULL!</v>
      </c>
      <c r="AE97" s="6" t="e">
        <f t="shared" si="80"/>
        <v>#NUM!</v>
      </c>
      <c r="AF97" s="6" t="e">
        <f t="shared" si="80"/>
        <v>#REF!</v>
      </c>
      <c r="AG97" s="6">
        <f>_xlfn.STDEV.P(F97:J97)</f>
        <v>1.1500000000000001</v>
      </c>
      <c r="AH97" s="6">
        <f t="array" ref="AH97:AM97">_xlfn.STDEV.P(C97:J97)</f>
        <v>4.3785842460777209</v>
      </c>
      <c r="AI97" s="6">
        <v>4.3785842460777209</v>
      </c>
      <c r="AJ97" s="6">
        <v>4.3785842460777209</v>
      </c>
      <c r="AK97" s="6">
        <v>4.3785842460777209</v>
      </c>
      <c r="AL97" s="6">
        <v>4.3785842460777209</v>
      </c>
      <c r="AM97" s="6">
        <v>4.3785842460777209</v>
      </c>
      <c r="AN97" s="6" t="e">
        <f t="array" ref="AN97:AW97">_xlfn.STDEV.P(J97:Q97)</f>
        <v>#VALUE!</v>
      </c>
      <c r="AO97" s="6" t="e">
        <v>#VALUE!</v>
      </c>
      <c r="AP97" s="6" t="e">
        <v>#VALUE!</v>
      </c>
      <c r="AQ97" s="6" t="e">
        <v>#VALUE!</v>
      </c>
      <c r="AR97" s="6" t="e">
        <v>#VALUE!</v>
      </c>
      <c r="AS97" s="6" t="e">
        <v>#VALUE!</v>
      </c>
      <c r="AT97" s="6" t="e">
        <v>#VALUE!</v>
      </c>
      <c r="AU97" s="6" t="e">
        <v>#VALUE!</v>
      </c>
      <c r="AV97" s="6" t="e">
        <v>#VALUE!</v>
      </c>
      <c r="AW97" s="4" t="e">
        <v>#VALUE!</v>
      </c>
    </row>
    <row r="98" spans="1:49" x14ac:dyDescent="0.15">
      <c r="A98" s="35" t="s">
        <v>190</v>
      </c>
      <c r="B98" s="36" t="s">
        <v>541</v>
      </c>
      <c r="C98" s="4">
        <v>0</v>
      </c>
      <c r="D98" s="4">
        <v>-10</v>
      </c>
      <c r="E98" s="4">
        <v>0.9</v>
      </c>
      <c r="F98" s="4">
        <v>2.2000000000000002</v>
      </c>
      <c r="G98" s="4">
        <v>-0.1</v>
      </c>
      <c r="H98" s="6"/>
      <c r="I98" s="16" t="s">
        <v>448</v>
      </c>
      <c r="J98" s="6" t="b">
        <v>1</v>
      </c>
      <c r="K98" s="6" t="e">
        <v>#VALUE!</v>
      </c>
      <c r="L98" s="6" t="e">
        <v>#N/A</v>
      </c>
      <c r="M98" s="7" t="e">
        <v>#DIV/0!</v>
      </c>
      <c r="N98" s="7" t="e">
        <v>#NAME?</v>
      </c>
      <c r="O98" s="7" t="e">
        <v>#NULL!</v>
      </c>
      <c r="P98" s="7" t="e">
        <v>#NUM!</v>
      </c>
      <c r="Q98" s="7" t="e">
        <v>#REF!</v>
      </c>
      <c r="R98" s="6">
        <f>_xlfn.STDEV.S(C98:D98,D98:E98,E98:F98,"2")</f>
        <v>5.5145262715848942</v>
      </c>
      <c r="S98" s="6" t="e" vm="107">
        <f>_xlfn.STDEV.S(D98:E98,E98:F98,F98:G98,"")</f>
        <v>#VALUE!</v>
      </c>
      <c r="T98" s="6">
        <f>_xlfn.STDEV.S(E98:F98,F98:G98,G98:H98,"29/02/1900")</f>
        <v>24.100518666617944</v>
      </c>
      <c r="U98" s="6" t="e">
        <f>_xlfn.STDEV.S(G98:H98)</f>
        <v>#DIV/0!</v>
      </c>
      <c r="V98" s="6">
        <f>_xlfn.STDEV.S(F98:H98,H98:I98,I98:J98)</f>
        <v>1.6263455967290594</v>
      </c>
      <c r="W98" s="6" t="e">
        <f>_xlfn.STDEV.S(G98:H98)</f>
        <v>#DIV/0!</v>
      </c>
      <c r="X98" s="6">
        <f>_xlfn.STDEV.S(I98,G98,E98)</f>
        <v>0.70710678118654757</v>
      </c>
      <c r="Y98" s="6" t="e">
        <f>_xlfn.STDEV.S(J98,G98)</f>
        <v>#DIV/0!</v>
      </c>
      <c r="Z98" s="6" t="e">
        <f t="shared" ref="Z98:AF98" si="81">_xlfn.STDEV.S(K98:L98)</f>
        <v>#VALUE!</v>
      </c>
      <c r="AA98" s="6" t="e">
        <f t="shared" si="81"/>
        <v>#N/A</v>
      </c>
      <c r="AB98" s="6" t="e">
        <f t="shared" si="81"/>
        <v>#DIV/0!</v>
      </c>
      <c r="AC98" s="6" t="e">
        <f t="shared" si="81"/>
        <v>#NAME?</v>
      </c>
      <c r="AD98" s="6" t="e">
        <f t="shared" si="81"/>
        <v>#NULL!</v>
      </c>
      <c r="AE98" s="6" t="e">
        <f t="shared" si="81"/>
        <v>#NUM!</v>
      </c>
      <c r="AF98" s="6" t="e">
        <f t="shared" si="81"/>
        <v>#REF!</v>
      </c>
      <c r="AG98" s="6">
        <f>_xlfn.STDEV.S(F98:J98)</f>
        <v>1.6263455967290594</v>
      </c>
      <c r="AH98" s="6">
        <f t="array" ref="AH98:AM98">_xlfn.STDEV.S(C98:J98)</f>
        <v>4.8954060097197249</v>
      </c>
      <c r="AI98" s="6">
        <v>4.8954060097197249</v>
      </c>
      <c r="AJ98" s="6">
        <v>4.8954060097197249</v>
      </c>
      <c r="AK98" s="6">
        <v>4.8954060097197249</v>
      </c>
      <c r="AL98" s="6">
        <v>4.8954060097197249</v>
      </c>
      <c r="AM98" s="6">
        <v>4.8954060097197249</v>
      </c>
      <c r="AN98" s="6" t="e">
        <f t="array" ref="AN98:AW98">_xlfn.STDEV.S(J98:Q98)</f>
        <v>#VALUE!</v>
      </c>
      <c r="AO98" s="6" t="e">
        <v>#VALUE!</v>
      </c>
      <c r="AP98" s="6" t="e">
        <v>#VALUE!</v>
      </c>
      <c r="AQ98" s="6" t="e">
        <v>#VALUE!</v>
      </c>
      <c r="AR98" s="6" t="e">
        <v>#VALUE!</v>
      </c>
      <c r="AS98" s="6" t="e">
        <v>#VALUE!</v>
      </c>
      <c r="AT98" s="6" t="e">
        <v>#VALUE!</v>
      </c>
      <c r="AU98" s="6" t="e">
        <v>#VALUE!</v>
      </c>
      <c r="AV98" s="6" t="e">
        <v>#VALUE!</v>
      </c>
      <c r="AW98" s="4" t="e">
        <v>#VALUE!</v>
      </c>
    </row>
    <row r="99" spans="1:49" x14ac:dyDescent="0.15">
      <c r="A99" s="35" t="s">
        <v>191</v>
      </c>
      <c r="B99" s="36" t="s">
        <v>541</v>
      </c>
      <c r="C99" s="4">
        <v>0</v>
      </c>
      <c r="D99" s="4">
        <v>-10</v>
      </c>
      <c r="E99" s="4">
        <v>0.9</v>
      </c>
      <c r="F99" s="4">
        <v>2.2000000000000002</v>
      </c>
      <c r="G99" s="4">
        <v>-0.1</v>
      </c>
      <c r="H99" s="6"/>
      <c r="I99" s="16" t="s">
        <v>448</v>
      </c>
      <c r="J99" s="6" t="b">
        <v>1</v>
      </c>
      <c r="K99" s="6" t="e">
        <v>#VALUE!</v>
      </c>
      <c r="L99" s="6" t="e">
        <v>#N/A</v>
      </c>
      <c r="M99" s="7" t="e">
        <v>#DIV/0!</v>
      </c>
      <c r="N99" s="7" t="e">
        <v>#NAME?</v>
      </c>
      <c r="O99" s="7" t="e">
        <v>#NULL!</v>
      </c>
      <c r="P99" s="7" t="e">
        <v>#NUM!</v>
      </c>
      <c r="Q99" s="7" t="e">
        <v>#REF!</v>
      </c>
      <c r="R99" s="6">
        <f>STDEVA(C99:D99,D99:E99,E99:F99,"2")</f>
        <v>5.5145262715848942</v>
      </c>
      <c r="S99" s="6" t="e" vm="108">
        <f>STDEVA(D99:E99,E99:F99,F99:G99,"")</f>
        <v>#VALUE!</v>
      </c>
      <c r="T99" s="6">
        <f>STDEVA(E99:F99,F99:G99,G99:H99,"29/02/1900")</f>
        <v>24.100518666617944</v>
      </c>
      <c r="U99" s="6" t="e">
        <f>STDEVA(G99:H99)</f>
        <v>#DIV/0!</v>
      </c>
      <c r="V99" s="6">
        <f>STDEVA(F99:H99,H99:I99,I99:J99)</f>
        <v>0.99095913134699964</v>
      </c>
      <c r="W99" s="6" t="e">
        <f>STDEVA(G99:H99)</f>
        <v>#DIV/0!</v>
      </c>
      <c r="X99" s="6">
        <f>STDEVA(I99,G99,E99)</f>
        <v>0.55075705472861025</v>
      </c>
      <c r="Y99" s="6">
        <f>STDEVA(J99,G99)</f>
        <v>0.7778174593052023</v>
      </c>
      <c r="Z99" s="6" t="e">
        <f t="shared" ref="Z99:AF99" si="82">STDEVA(K99:L99)</f>
        <v>#VALUE!</v>
      </c>
      <c r="AA99" s="6" t="e">
        <f t="shared" si="82"/>
        <v>#N/A</v>
      </c>
      <c r="AB99" s="6" t="e">
        <f t="shared" si="82"/>
        <v>#DIV/0!</v>
      </c>
      <c r="AC99" s="6" t="e">
        <f t="shared" si="82"/>
        <v>#NAME?</v>
      </c>
      <c r="AD99" s="6" t="e">
        <f t="shared" si="82"/>
        <v>#NULL!</v>
      </c>
      <c r="AE99" s="6" t="e">
        <f t="shared" si="82"/>
        <v>#NUM!</v>
      </c>
      <c r="AF99" s="6" t="e">
        <f t="shared" si="82"/>
        <v>#REF!</v>
      </c>
      <c r="AG99" s="6">
        <f>STDEVA(F99:J99)</f>
        <v>1.0719919153924</v>
      </c>
      <c r="AH99" s="6">
        <f t="array" ref="AH99:AM99">STDEVA(C99:J99)</f>
        <v>4.113334876900228</v>
      </c>
      <c r="AI99" s="6">
        <v>4.113334876900228</v>
      </c>
      <c r="AJ99" s="6">
        <v>4.113334876900228</v>
      </c>
      <c r="AK99" s="6">
        <v>4.113334876900228</v>
      </c>
      <c r="AL99" s="6">
        <v>4.113334876900228</v>
      </c>
      <c r="AM99" s="6">
        <v>4.113334876900228</v>
      </c>
      <c r="AN99" s="6" t="e">
        <f t="array" ref="AN99:AW99">STDEVA(J99:Q99)</f>
        <v>#VALUE!</v>
      </c>
      <c r="AO99" s="6" t="e">
        <v>#VALUE!</v>
      </c>
      <c r="AP99" s="6" t="e">
        <v>#VALUE!</v>
      </c>
      <c r="AQ99" s="6" t="e">
        <v>#VALUE!</v>
      </c>
      <c r="AR99" s="6" t="e">
        <v>#VALUE!</v>
      </c>
      <c r="AS99" s="6" t="e">
        <v>#VALUE!</v>
      </c>
      <c r="AT99" s="6" t="e">
        <v>#VALUE!</v>
      </c>
      <c r="AU99" s="6" t="e">
        <v>#VALUE!</v>
      </c>
      <c r="AV99" s="6" t="e">
        <v>#VALUE!</v>
      </c>
      <c r="AW99" s="4" t="e">
        <v>#VALUE!</v>
      </c>
    </row>
    <row r="100" spans="1:49" x14ac:dyDescent="0.15">
      <c r="A100" s="35" t="s">
        <v>192</v>
      </c>
      <c r="B100" s="36" t="s">
        <v>541</v>
      </c>
      <c r="C100" s="4">
        <v>0</v>
      </c>
      <c r="D100" s="4">
        <v>-10</v>
      </c>
      <c r="E100" s="4">
        <v>0.9</v>
      </c>
      <c r="F100" s="4">
        <v>2.2000000000000002</v>
      </c>
      <c r="G100" s="4">
        <v>-0.1</v>
      </c>
      <c r="H100" s="6"/>
      <c r="I100" s="16" t="s">
        <v>448</v>
      </c>
      <c r="J100" s="6" t="b">
        <v>1</v>
      </c>
      <c r="K100" s="6" t="e">
        <v>#VALUE!</v>
      </c>
      <c r="L100" s="6" t="e">
        <v>#N/A</v>
      </c>
      <c r="M100" s="7" t="e">
        <v>#DIV/0!</v>
      </c>
      <c r="N100" s="7" t="e">
        <v>#NAME?</v>
      </c>
      <c r="O100" s="7" t="e">
        <v>#NULL!</v>
      </c>
      <c r="P100" s="7" t="e">
        <v>#NUM!</v>
      </c>
      <c r="Q100" s="7" t="e">
        <v>#REF!</v>
      </c>
      <c r="R100" s="6">
        <f>STDEVPA(C100:D100,D100:E100,E100:F100,"2")</f>
        <v>5.1054592629570834</v>
      </c>
      <c r="S100" s="6" t="e" vm="109">
        <f>STDEVPA(D100:E100,E100:F100,F100:G100,"")</f>
        <v>#VALUE!</v>
      </c>
      <c r="T100" s="6">
        <f>STDEVPA(E100:F100,F100:G100,G100:H100,"29/02/1900")</f>
        <v>22.00066286880163</v>
      </c>
      <c r="U100" s="6" t="e">
        <f>STDEVPA(H100)</f>
        <v>#DIV/0!</v>
      </c>
      <c r="V100" s="6">
        <f>STDEVPA(G100:H100,H100:I100,I100:J100)</f>
        <v>0.44930501889028573</v>
      </c>
      <c r="W100" s="6">
        <f>STDEVPA(G100:H100)</f>
        <v>0</v>
      </c>
      <c r="X100" s="6">
        <f>STDEVPA(I100,G100)</f>
        <v>0.05</v>
      </c>
      <c r="Y100" s="6">
        <f>STDEVPA(J100,G100)</f>
        <v>0.55000000000000004</v>
      </c>
      <c r="Z100" s="6" t="e">
        <f t="shared" ref="Z100:AF100" si="83">STDEVPA(K100:L100)</f>
        <v>#VALUE!</v>
      </c>
      <c r="AA100" s="6" t="e">
        <f t="shared" si="83"/>
        <v>#N/A</v>
      </c>
      <c r="AB100" s="6" t="e">
        <f t="shared" si="83"/>
        <v>#DIV/0!</v>
      </c>
      <c r="AC100" s="6" t="e">
        <f t="shared" si="83"/>
        <v>#NAME?</v>
      </c>
      <c r="AD100" s="6" t="e">
        <f t="shared" si="83"/>
        <v>#NULL!</v>
      </c>
      <c r="AE100" s="6" t="e">
        <f t="shared" si="83"/>
        <v>#NUM!</v>
      </c>
      <c r="AF100" s="6" t="e">
        <f t="shared" si="83"/>
        <v>#REF!</v>
      </c>
      <c r="AG100" s="6">
        <f>STDEVPA(F100:J100)</f>
        <v>0.92837223138135716</v>
      </c>
      <c r="AH100" s="6">
        <f t="array" ref="AH100:AM100">STDEVPA(C100:J100)</f>
        <v>3.8082081061296846</v>
      </c>
      <c r="AI100" s="6">
        <v>3.8082081061296846</v>
      </c>
      <c r="AJ100" s="6">
        <v>3.8082081061296846</v>
      </c>
      <c r="AK100" s="6">
        <v>3.8082081061296846</v>
      </c>
      <c r="AL100" s="6">
        <v>3.8082081061296846</v>
      </c>
      <c r="AM100" s="6">
        <v>3.8082081061296846</v>
      </c>
      <c r="AN100" s="6" t="e">
        <f t="array" ref="AN100:AW100">STDEVPA(J100:Q100)</f>
        <v>#VALUE!</v>
      </c>
      <c r="AO100" s="6" t="e">
        <v>#VALUE!</v>
      </c>
      <c r="AP100" s="6" t="e">
        <v>#VALUE!</v>
      </c>
      <c r="AQ100" s="6" t="e">
        <v>#VALUE!</v>
      </c>
      <c r="AR100" s="6" t="e">
        <v>#VALUE!</v>
      </c>
      <c r="AS100" s="6" t="e">
        <v>#VALUE!</v>
      </c>
      <c r="AT100" s="6" t="e">
        <v>#VALUE!</v>
      </c>
      <c r="AU100" s="6" t="e">
        <v>#VALUE!</v>
      </c>
      <c r="AV100" s="6" t="e">
        <v>#VALUE!</v>
      </c>
      <c r="AW100" s="4" t="e">
        <v>#VALUE!</v>
      </c>
    </row>
    <row r="101" spans="1:49" x14ac:dyDescent="0.15">
      <c r="A101" s="35" t="s">
        <v>193</v>
      </c>
      <c r="B101" s="36" t="s">
        <v>541</v>
      </c>
      <c r="C101" s="4">
        <v>10</v>
      </c>
      <c r="D101" s="4">
        <v>3.2</v>
      </c>
      <c r="E101" s="4">
        <v>0.7</v>
      </c>
      <c r="F101" s="4">
        <v>2</v>
      </c>
      <c r="G101" s="4">
        <v>4</v>
      </c>
      <c r="H101" s="6"/>
      <c r="I101" s="16" t="s">
        <v>785</v>
      </c>
      <c r="J101" s="6" t="b">
        <v>1</v>
      </c>
      <c r="K101" s="6" t="e">
        <v>#VALUE!</v>
      </c>
      <c r="L101" s="6" t="e">
        <v>#N/A</v>
      </c>
      <c r="M101" s="7" t="e">
        <v>#DIV/0!</v>
      </c>
      <c r="N101" s="7" t="e">
        <v>#NAME?</v>
      </c>
      <c r="O101" s="7" t="e">
        <v>#NULL!</v>
      </c>
      <c r="P101" s="7" t="e">
        <v>#NUM!</v>
      </c>
      <c r="Q101" s="7" t="e">
        <v>#REF!</v>
      </c>
      <c r="R101" s="18">
        <f>STEYX(C100:D101,E98:E101)</f>
        <v>10</v>
      </c>
      <c r="S101" s="6" t="e">
        <f>STEYX(D101:E101,E101:G101)</f>
        <v>#N/A</v>
      </c>
      <c r="T101" s="6" t="e">
        <f>STEYX(E101:F101,G101:H101)</f>
        <v>#DIV/0!</v>
      </c>
      <c r="U101" s="6" t="e">
        <f>STEYX(D101,F101)</f>
        <v>#DIV/0!</v>
      </c>
      <c r="V101" s="6" t="e">
        <f>STEYX(G101:I101,H101:J101)</f>
        <v>#DIV/0!</v>
      </c>
      <c r="W101" s="6" t="e">
        <f>STEYX(H101:I101,E101:G101)</f>
        <v>#N/A</v>
      </c>
      <c r="X101" s="6" t="e">
        <f>STEYX(I101:J101,K101:L101)</f>
        <v>#VALUE!</v>
      </c>
      <c r="Y101" s="6" t="e">
        <f>STEYX(J101:K101,L101:M101)</f>
        <v>#N/A</v>
      </c>
      <c r="Z101" s="6" t="e">
        <f>STEYX(K101:L101,M101:N101)</f>
        <v>#VALUE!</v>
      </c>
      <c r="AA101" s="6" t="e">
        <f t="shared" ref="AA101:AF101" si="84">STEYX(L101:M101,N101:O101)</f>
        <v>#N/A</v>
      </c>
      <c r="AB101" s="6" t="e">
        <f t="shared" si="84"/>
        <v>#DIV/0!</v>
      </c>
      <c r="AC101" s="6" t="e">
        <f t="shared" si="84"/>
        <v>#NAME?</v>
      </c>
      <c r="AD101" s="6" t="e">
        <f t="shared" si="84"/>
        <v>#NUM!</v>
      </c>
      <c r="AE101" s="6" t="e">
        <f t="shared" si="84"/>
        <v>#NUM!</v>
      </c>
      <c r="AF101" s="6" t="e">
        <f t="shared" si="84"/>
        <v>#REF!</v>
      </c>
      <c r="AG101" s="6">
        <f t="array" ref="AG101">STEYX(C100:D101, F100:G101)</f>
        <v>7.7241368850199814</v>
      </c>
      <c r="AH101" s="71" t="e">
        <f t="array" ref="AH101:AW101">STEYX(D101:E101, E101:F101)</f>
        <v>#DIV/0!</v>
      </c>
      <c r="AI101" s="6" t="e">
        <v>#DIV/0!</v>
      </c>
      <c r="AJ101" s="6" t="e">
        <v>#DIV/0!</v>
      </c>
      <c r="AK101" s="6" t="e">
        <v>#DIV/0!</v>
      </c>
      <c r="AL101" s="6" t="e">
        <v>#DIV/0!</v>
      </c>
      <c r="AM101" s="6" t="e">
        <v>#DIV/0!</v>
      </c>
      <c r="AN101" s="6" t="e">
        <v>#DIV/0!</v>
      </c>
      <c r="AO101" s="6" t="e">
        <v>#DIV/0!</v>
      </c>
      <c r="AP101" s="6" t="e">
        <v>#DIV/0!</v>
      </c>
      <c r="AQ101" s="6" t="e">
        <v>#DIV/0!</v>
      </c>
      <c r="AR101" s="6" t="e">
        <v>#DIV/0!</v>
      </c>
      <c r="AS101" s="6" t="e">
        <v>#DIV/0!</v>
      </c>
      <c r="AT101" s="6" t="e">
        <v>#DIV/0!</v>
      </c>
      <c r="AU101" s="6" t="e">
        <v>#DIV/0!</v>
      </c>
      <c r="AV101" s="6" t="e">
        <v>#DIV/0!</v>
      </c>
      <c r="AW101" s="4" t="e">
        <v>#DIV/0!</v>
      </c>
    </row>
    <row r="102" spans="1:49" x14ac:dyDescent="0.15">
      <c r="A102" s="35" t="s">
        <v>194</v>
      </c>
      <c r="B102" s="36" t="s">
        <v>541</v>
      </c>
      <c r="C102" s="4">
        <v>0</v>
      </c>
      <c r="D102" s="4">
        <v>5</v>
      </c>
      <c r="E102" s="4">
        <v>0.7</v>
      </c>
      <c r="F102" s="4">
        <v>3</v>
      </c>
      <c r="G102" s="4">
        <v>4</v>
      </c>
      <c r="H102" s="6"/>
      <c r="I102" s="16" t="s">
        <v>444</v>
      </c>
      <c r="J102" s="6" t="b">
        <v>1</v>
      </c>
      <c r="K102" s="6" t="e">
        <v>#VALUE!</v>
      </c>
      <c r="L102" s="6" t="e">
        <v>#N/A</v>
      </c>
      <c r="M102" s="7" t="e">
        <v>#DIV/0!</v>
      </c>
      <c r="N102" s="7" t="e">
        <v>#NAME?</v>
      </c>
      <c r="O102" s="7" t="e">
        <v>#NULL!</v>
      </c>
      <c r="P102" s="7" t="e">
        <v>#NUM!</v>
      </c>
      <c r="Q102" s="7" t="e">
        <v>#REF!</v>
      </c>
      <c r="R102" s="6" t="e">
        <f>_xlfn.T.DIST(C102,,)</f>
        <v>#DIV/0!</v>
      </c>
      <c r="S102" s="6">
        <f>_xlfn.T.DIST(D102,10,FALSE)</f>
        <v>3.960010564637988E-4</v>
      </c>
      <c r="T102" s="6">
        <f>_xlfn.T.DIST(E102,"1",5)</f>
        <v>0.69440011221421472</v>
      </c>
      <c r="U102" s="6" t="e">
        <f>_xlfn.T.DIST(F102,-1,"TRUE")</f>
        <v>#NUM!</v>
      </c>
      <c r="V102" s="6">
        <f>_xlfn.T.DIST(G102, 7,1)</f>
        <v>0.99740504332535163</v>
      </c>
      <c r="W102" s="6" t="e">
        <f>_xlfn.T.DIST(H102,H102,1)</f>
        <v>#NUM!</v>
      </c>
      <c r="X102" s="6">
        <f>_xlfn.T.DIST(I102,I102,1)</f>
        <v>1</v>
      </c>
      <c r="Y102" s="6">
        <f>_xlfn.T.DIST(J102,I102,1)</f>
        <v>0.83933674835337713</v>
      </c>
      <c r="Z102" s="6" t="e">
        <f>_xlfn.T.DIST(K102,I102,1)</f>
        <v>#VALUE!</v>
      </c>
      <c r="AA102" s="6" t="e">
        <f t="shared" ref="AA102:AF102" si="85">_xlfn.T.DIST(L102,J102,1)</f>
        <v>#N/A</v>
      </c>
      <c r="AB102" s="6" t="e">
        <f t="shared" si="85"/>
        <v>#DIV/0!</v>
      </c>
      <c r="AC102" s="6" t="e">
        <f t="shared" si="85"/>
        <v>#NAME?</v>
      </c>
      <c r="AD102" s="6" t="e">
        <f t="shared" si="85"/>
        <v>#NULL!</v>
      </c>
      <c r="AE102" s="6" t="e">
        <f t="shared" si="85"/>
        <v>#NUM!</v>
      </c>
      <c r="AF102" s="6" t="e">
        <f t="shared" si="85"/>
        <v>#REF!</v>
      </c>
      <c r="AG102" s="6">
        <f t="array" ref="AG102">_xlfn.T.DIST(C102:Q102,3,1)</f>
        <v>0.5</v>
      </c>
      <c r="AH102" s="6">
        <f t="array" ref="AH102:AW102">_xlfn.T.DIST(C102:Q102,3,1)</f>
        <v>0.5</v>
      </c>
      <c r="AI102" s="6">
        <v>0.99230378096334881</v>
      </c>
      <c r="AJ102" s="6">
        <v>0.73283650084761809</v>
      </c>
      <c r="AK102" s="6">
        <v>0.97116555718878128</v>
      </c>
      <c r="AL102" s="6">
        <v>0.98599577199492694</v>
      </c>
      <c r="AM102" s="6">
        <v>0.5</v>
      </c>
      <c r="AN102" s="6">
        <v>0.99999490020316339</v>
      </c>
      <c r="AO102" s="6">
        <v>0.80449889052211465</v>
      </c>
      <c r="AP102" s="6" t="e">
        <v>#VALUE!</v>
      </c>
      <c r="AQ102" s="6" t="e">
        <v>#N/A</v>
      </c>
      <c r="AR102" s="6" t="e">
        <v>#DIV/0!</v>
      </c>
      <c r="AS102" s="6" t="e">
        <v>#NAME?</v>
      </c>
      <c r="AT102" s="6" t="e">
        <v>#NULL!</v>
      </c>
      <c r="AU102" s="6" t="e">
        <v>#NUM!</v>
      </c>
      <c r="AV102" s="6" t="e">
        <v>#REF!</v>
      </c>
      <c r="AW102" s="4" t="e">
        <v>#N/A</v>
      </c>
    </row>
    <row r="103" spans="1:49" x14ac:dyDescent="0.15">
      <c r="A103" s="35" t="s">
        <v>206</v>
      </c>
      <c r="B103" s="36" t="s">
        <v>541</v>
      </c>
      <c r="C103" s="4">
        <v>0</v>
      </c>
      <c r="D103" s="4">
        <v>5</v>
      </c>
      <c r="E103" s="4">
        <v>0.7</v>
      </c>
      <c r="F103" s="4">
        <v>3</v>
      </c>
      <c r="G103" s="4">
        <v>4</v>
      </c>
      <c r="H103" s="6"/>
      <c r="I103" s="16" t="s">
        <v>444</v>
      </c>
      <c r="J103" s="6" t="b">
        <v>1</v>
      </c>
      <c r="K103" s="6" t="e">
        <v>#VALUE!</v>
      </c>
      <c r="L103" s="6" t="e">
        <v>#N/A</v>
      </c>
      <c r="M103" s="7" t="e">
        <v>#DIV/0!</v>
      </c>
      <c r="N103" s="7" t="e">
        <v>#NAME?</v>
      </c>
      <c r="O103" s="7" t="e">
        <v>#NULL!</v>
      </c>
      <c r="P103" s="7" t="e">
        <v>#NUM!</v>
      </c>
      <c r="Q103" s="7" t="e">
        <v>#REF!</v>
      </c>
      <c r="R103" s="6" t="e">
        <f>_xlfn.T.DIST.2T(C103,)</f>
        <v>#NUM!</v>
      </c>
      <c r="S103" s="6">
        <f>_xlfn.T.DIST.2T(D103,10)</f>
        <v>5.3733360275645225E-4</v>
      </c>
      <c r="T103" s="6">
        <f>_xlfn.T.DIST.2T(E103,"1")</f>
        <v>0.61119977557157046</v>
      </c>
      <c r="U103" s="6" t="e">
        <f>_xlfn.T.DIST.2T(F103,-1)</f>
        <v>#NUM!</v>
      </c>
      <c r="V103" s="6">
        <f>_xlfn.T.DIST.2T(G103, 7)</f>
        <v>5.1899133492968146E-3</v>
      </c>
      <c r="W103" s="6" t="e">
        <f>_xlfn.T.DIST.2T(H103,H103)</f>
        <v>#NUM!</v>
      </c>
      <c r="X103" s="6">
        <f>_xlfn.T.DIST.2T(I103,I103)</f>
        <v>2.8486069614398582E-55</v>
      </c>
      <c r="Y103" s="6">
        <f>_xlfn.T.DIST.2T(J103,I103)</f>
        <v>0.3213265032932458</v>
      </c>
      <c r="Z103" s="6" t="e">
        <f>_xlfn.T.DIST.2T(K103,I103)</f>
        <v>#VALUE!</v>
      </c>
      <c r="AA103" s="6" t="e">
        <f t="shared" ref="AA103:AF103" si="86">_xlfn.T.DIST.2T(L103,J103)</f>
        <v>#N/A</v>
      </c>
      <c r="AB103" s="6" t="e">
        <f t="shared" si="86"/>
        <v>#DIV/0!</v>
      </c>
      <c r="AC103" s="6" t="e">
        <f t="shared" si="86"/>
        <v>#NAME?</v>
      </c>
      <c r="AD103" s="6" t="e">
        <f t="shared" si="86"/>
        <v>#NULL!</v>
      </c>
      <c r="AE103" s="6" t="e">
        <f t="shared" si="86"/>
        <v>#NUM!</v>
      </c>
      <c r="AF103" s="6" t="e">
        <f t="shared" si="86"/>
        <v>#REF!</v>
      </c>
      <c r="AG103" s="6">
        <f t="array" ref="AG103">_xlfn.T.DIST.2T(C103:Q103,3)</f>
        <v>1</v>
      </c>
      <c r="AH103" s="6">
        <f t="array" ref="AH103:AW103">_xlfn.T.DIST.2T(C103:Q103,3)</f>
        <v>1</v>
      </c>
      <c r="AI103" s="6">
        <v>1.5392438073302294E-2</v>
      </c>
      <c r="AJ103" s="6">
        <v>0.53432699830476393</v>
      </c>
      <c r="AK103" s="6">
        <v>5.7668885622437334E-2</v>
      </c>
      <c r="AL103" s="6">
        <v>2.8008456010146163E-2</v>
      </c>
      <c r="AM103" s="6">
        <v>1</v>
      </c>
      <c r="AN103" s="6">
        <v>1.019959367331975E-5</v>
      </c>
      <c r="AO103" s="6">
        <v>0.39100221895577059</v>
      </c>
      <c r="AP103" s="6" t="e">
        <v>#VALUE!</v>
      </c>
      <c r="AQ103" s="6" t="e">
        <v>#N/A</v>
      </c>
      <c r="AR103" s="6" t="e">
        <v>#DIV/0!</v>
      </c>
      <c r="AS103" s="6" t="e">
        <v>#NAME?</v>
      </c>
      <c r="AT103" s="6" t="e">
        <v>#NULL!</v>
      </c>
      <c r="AU103" s="6" t="e">
        <v>#NUM!</v>
      </c>
      <c r="AV103" s="6" t="e">
        <v>#REF!</v>
      </c>
      <c r="AW103" s="4" t="e">
        <v>#N/A</v>
      </c>
    </row>
    <row r="104" spans="1:49" x14ac:dyDescent="0.15">
      <c r="A104" s="35" t="s">
        <v>195</v>
      </c>
      <c r="B104" s="36" t="s">
        <v>541</v>
      </c>
      <c r="C104" s="4">
        <v>0</v>
      </c>
      <c r="D104" s="4">
        <v>5</v>
      </c>
      <c r="E104" s="4">
        <v>0.7</v>
      </c>
      <c r="F104" s="4">
        <v>3</v>
      </c>
      <c r="G104" s="4">
        <v>4</v>
      </c>
      <c r="H104" s="6"/>
      <c r="I104" s="16" t="s">
        <v>444</v>
      </c>
      <c r="J104" s="6" t="b">
        <v>1</v>
      </c>
      <c r="K104" s="6" t="e">
        <v>#VALUE!</v>
      </c>
      <c r="L104" s="6" t="e">
        <v>#N/A</v>
      </c>
      <c r="M104" s="7" t="e">
        <v>#DIV/0!</v>
      </c>
      <c r="N104" s="7" t="e">
        <v>#NAME?</v>
      </c>
      <c r="O104" s="7" t="e">
        <v>#NULL!</v>
      </c>
      <c r="P104" s="7" t="e">
        <v>#NUM!</v>
      </c>
      <c r="Q104" s="7" t="e">
        <v>#REF!</v>
      </c>
      <c r="R104" s="6" t="e">
        <f>_xlfn.T.DIST.RT(C104,)</f>
        <v>#NUM!</v>
      </c>
      <c r="S104" s="6">
        <f>_xlfn.T.DIST.RT(D104,10)</f>
        <v>2.6866680137822613E-4</v>
      </c>
      <c r="T104" s="6">
        <f>_xlfn.T.DIST.RT(E104,"1")</f>
        <v>0.30559988778578523</v>
      </c>
      <c r="U104" s="6" t="e">
        <f>_xlfn.T.DIST.RT(F104,-1)</f>
        <v>#NUM!</v>
      </c>
      <c r="V104" s="6">
        <f>_xlfn.T.DIST.RT(G104, 7)</f>
        <v>2.5949566746484073E-3</v>
      </c>
      <c r="W104" s="6" t="e">
        <f>_xlfn.T.DIST.RT(H104,H104)</f>
        <v>#NUM!</v>
      </c>
      <c r="X104" s="6">
        <f>_xlfn.T.DIST.RT(I104,I104)</f>
        <v>1.4243034807199291E-55</v>
      </c>
      <c r="Y104" s="6">
        <f>_xlfn.T.DIST.RT(J104,I104)</f>
        <v>0.1606632516466229</v>
      </c>
      <c r="Z104" s="6" t="e">
        <f>_xlfn.T.DIST.RT(K104,I104)</f>
        <v>#VALUE!</v>
      </c>
      <c r="AA104" s="6" t="e">
        <f t="shared" ref="AA104:AF104" si="87">_xlfn.T.DIST.RT(L104,J104)</f>
        <v>#N/A</v>
      </c>
      <c r="AB104" s="6" t="e">
        <f t="shared" si="87"/>
        <v>#DIV/0!</v>
      </c>
      <c r="AC104" s="6" t="e">
        <f t="shared" si="87"/>
        <v>#NAME?</v>
      </c>
      <c r="AD104" s="6" t="e">
        <f t="shared" si="87"/>
        <v>#NULL!</v>
      </c>
      <c r="AE104" s="6" t="e">
        <f t="shared" si="87"/>
        <v>#NUM!</v>
      </c>
      <c r="AF104" s="6" t="e">
        <f t="shared" si="87"/>
        <v>#REF!</v>
      </c>
      <c r="AG104" s="6">
        <f t="array" ref="AG104">_xlfn.T.DIST.RT(C104:Q104,3)</f>
        <v>0.5</v>
      </c>
      <c r="AH104" s="6">
        <f t="array" ref="AH104:AW104">_xlfn.T.DIST.RT(C104:Q104,3)</f>
        <v>0.5</v>
      </c>
      <c r="AI104" s="6">
        <v>7.6962190366511472E-3</v>
      </c>
      <c r="AJ104" s="6">
        <v>0.26716349915238197</v>
      </c>
      <c r="AK104" s="6">
        <v>2.8834442811218667E-2</v>
      </c>
      <c r="AL104" s="6">
        <v>1.4004228005073081E-2</v>
      </c>
      <c r="AM104" s="6">
        <v>0.5</v>
      </c>
      <c r="AN104" s="6">
        <v>5.0997968366598749E-6</v>
      </c>
      <c r="AO104" s="6">
        <v>0.19550110947788529</v>
      </c>
      <c r="AP104" s="6" t="e">
        <v>#VALUE!</v>
      </c>
      <c r="AQ104" s="6" t="e">
        <v>#N/A</v>
      </c>
      <c r="AR104" s="6" t="e">
        <v>#DIV/0!</v>
      </c>
      <c r="AS104" s="6" t="e">
        <v>#NAME?</v>
      </c>
      <c r="AT104" s="6" t="e">
        <v>#NULL!</v>
      </c>
      <c r="AU104" s="6" t="e">
        <v>#NUM!</v>
      </c>
      <c r="AV104" s="6" t="e">
        <v>#REF!</v>
      </c>
      <c r="AW104" s="4" t="e">
        <v>#N/A</v>
      </c>
    </row>
    <row r="105" spans="1:49" x14ac:dyDescent="0.15">
      <c r="A105" s="35" t="s">
        <v>196</v>
      </c>
      <c r="B105" s="36" t="s">
        <v>541</v>
      </c>
      <c r="C105" s="4">
        <v>10</v>
      </c>
      <c r="D105" s="4">
        <v>0.1</v>
      </c>
      <c r="E105" s="4">
        <v>0.7</v>
      </c>
      <c r="F105" s="4">
        <v>100</v>
      </c>
      <c r="G105" s="4">
        <v>4</v>
      </c>
      <c r="H105" s="6"/>
      <c r="I105" s="16" t="s">
        <v>785</v>
      </c>
      <c r="J105" s="6" t="b">
        <v>1</v>
      </c>
      <c r="K105" s="6" t="e">
        <v>#VALUE!</v>
      </c>
      <c r="L105" s="6" t="e">
        <v>#N/A</v>
      </c>
      <c r="M105" s="7" t="e">
        <v>#DIV/0!</v>
      </c>
      <c r="N105" s="7" t="e">
        <v>#NAME?</v>
      </c>
      <c r="O105" s="7" t="e">
        <v>#NULL!</v>
      </c>
      <c r="P105" s="7" t="e">
        <v>#NUM!</v>
      </c>
      <c r="Q105" s="7" t="e">
        <v>#REF!</v>
      </c>
      <c r="R105" s="6" t="e">
        <f>_xlfn.T.INV(C105,0.4)</f>
        <v>#NUM!</v>
      </c>
      <c r="S105" s="6">
        <f>_xlfn.T.INV(D105,9)</f>
        <v>-1.383028738396632</v>
      </c>
      <c r="T105" s="6" t="e">
        <f>_xlfn.T.INV(0.4,E105)</f>
        <v>#NUM!</v>
      </c>
      <c r="U105" s="6">
        <f>_xlfn.T.INV(0.01, F105)</f>
        <v>-2.3642173662384813</v>
      </c>
      <c r="V105" s="6">
        <f>_xlfn.T.INV(D105,G105)</f>
        <v>-1.5332062740589443</v>
      </c>
      <c r="W105" s="6" t="e">
        <f>_xlfn.T.INV(H105,3)</f>
        <v>#NUM!</v>
      </c>
      <c r="X105" s="6">
        <f>_xlfn.T.INV(0.9,I105)</f>
        <v>1.3501712887800554</v>
      </c>
      <c r="Y105" s="6">
        <f>_xlfn.T.INV(0.3,J105)</f>
        <v>-0.72654252800536112</v>
      </c>
      <c r="Z105" s="6" t="e">
        <f>_xlfn.T.INV(K105,C105)</f>
        <v>#VALUE!</v>
      </c>
      <c r="AA105" s="6" t="e">
        <f t="shared" ref="AA105:AF105" si="88">_xlfn.T.INV(L105,D105)</f>
        <v>#N/A</v>
      </c>
      <c r="AB105" s="6" t="e">
        <f t="shared" si="88"/>
        <v>#DIV/0!</v>
      </c>
      <c r="AC105" s="6" t="e">
        <f t="shared" si="88"/>
        <v>#NAME?</v>
      </c>
      <c r="AD105" s="6" t="e">
        <f t="shared" si="88"/>
        <v>#NULL!</v>
      </c>
      <c r="AE105" s="6" t="e">
        <f t="shared" si="88"/>
        <v>#NUM!</v>
      </c>
      <c r="AF105" s="6" t="e">
        <f t="shared" si="88"/>
        <v>#REF!</v>
      </c>
      <c r="AG105" s="6">
        <f t="array" ref="AG105">_xlfn.T.INV(0.6, C105:Q105)</f>
        <v>0.26018482949207855</v>
      </c>
      <c r="AH105" s="6">
        <f t="array" ref="AH105:AW105">_xlfn.T.INV(0.5, C105:Q105)</f>
        <v>0</v>
      </c>
      <c r="AI105" s="6" t="e">
        <v>#NUM!</v>
      </c>
      <c r="AJ105" s="6" t="e">
        <v>#NUM!</v>
      </c>
      <c r="AK105" s="6">
        <v>0</v>
      </c>
      <c r="AL105" s="6">
        <v>0</v>
      </c>
      <c r="AM105" s="6" t="e">
        <v>#NUM!</v>
      </c>
      <c r="AN105" s="6">
        <v>0</v>
      </c>
      <c r="AO105" s="6">
        <v>0</v>
      </c>
      <c r="AP105" s="6" t="e">
        <v>#VALUE!</v>
      </c>
      <c r="AQ105" s="6" t="e">
        <v>#N/A</v>
      </c>
      <c r="AR105" s="6" t="e">
        <v>#DIV/0!</v>
      </c>
      <c r="AS105" s="6" t="e">
        <v>#NAME?</v>
      </c>
      <c r="AT105" s="6" t="e">
        <v>#NULL!</v>
      </c>
      <c r="AU105" s="6" t="e">
        <v>#NUM!</v>
      </c>
      <c r="AV105" s="6" t="e">
        <v>#REF!</v>
      </c>
      <c r="AW105" s="4" t="e">
        <v>#N/A</v>
      </c>
    </row>
    <row r="106" spans="1:49" x14ac:dyDescent="0.15">
      <c r="A106" s="35" t="s">
        <v>207</v>
      </c>
      <c r="B106" s="36" t="s">
        <v>541</v>
      </c>
      <c r="C106" s="4">
        <v>10</v>
      </c>
      <c r="D106" s="4">
        <v>0.1</v>
      </c>
      <c r="E106" s="4">
        <v>0.7</v>
      </c>
      <c r="F106" s="4">
        <v>100</v>
      </c>
      <c r="G106" s="4">
        <v>4</v>
      </c>
      <c r="H106" s="6"/>
      <c r="I106" s="16" t="s">
        <v>785</v>
      </c>
      <c r="J106" s="6" t="b">
        <v>1</v>
      </c>
      <c r="K106" s="6" t="e">
        <v>#VALUE!</v>
      </c>
      <c r="L106" s="6" t="e">
        <v>#N/A</v>
      </c>
      <c r="M106" s="7" t="e">
        <v>#DIV/0!</v>
      </c>
      <c r="N106" s="7" t="e">
        <v>#NAME?</v>
      </c>
      <c r="O106" s="7" t="e">
        <v>#NULL!</v>
      </c>
      <c r="P106" s="7" t="e">
        <v>#NUM!</v>
      </c>
      <c r="Q106" s="7" t="e">
        <v>#REF!</v>
      </c>
      <c r="R106" s="6" t="e">
        <f>_xlfn.T.INV.2T(C106,0.4)</f>
        <v>#NUM!</v>
      </c>
      <c r="S106" s="6">
        <f>_xlfn.T.INV.2T(D106,9)</f>
        <v>1.8331129326562374</v>
      </c>
      <c r="T106" s="6" t="e">
        <f>_xlfn.T.INV.2T(0.4,E106)</f>
        <v>#NUM!</v>
      </c>
      <c r="U106" s="6">
        <f>_xlfn.T.INV.2T(0.01, F106)</f>
        <v>2.6258905214380182</v>
      </c>
      <c r="V106" s="6">
        <f>_xlfn.T.INV.2T(D106,G106)</f>
        <v>2.1318467863266499</v>
      </c>
      <c r="W106" s="6" t="e">
        <f>_xlfn.T.INV.2T(H106,3)</f>
        <v>#NUM!</v>
      </c>
      <c r="X106" s="6">
        <f>_xlfn.T.INV.2T(0.9,I106)</f>
        <v>0.12813904981844981</v>
      </c>
      <c r="Y106" s="6">
        <f>_xlfn.T.INV.2T(0.3,J106)</f>
        <v>1.9626105055051506</v>
      </c>
      <c r="Z106" s="6" t="e">
        <f>_xlfn.T.INV.2T(K106,C106)</f>
        <v>#VALUE!</v>
      </c>
      <c r="AA106" s="6" t="e">
        <f t="shared" ref="AA106:AF106" si="89">_xlfn.T.INV.2T(L106,D106)</f>
        <v>#N/A</v>
      </c>
      <c r="AB106" s="6" t="e">
        <f t="shared" si="89"/>
        <v>#DIV/0!</v>
      </c>
      <c r="AC106" s="6" t="e">
        <f t="shared" si="89"/>
        <v>#NAME?</v>
      </c>
      <c r="AD106" s="6" t="e">
        <f t="shared" si="89"/>
        <v>#NULL!</v>
      </c>
      <c r="AE106" s="6" t="e">
        <f t="shared" si="89"/>
        <v>#NUM!</v>
      </c>
      <c r="AF106" s="6" t="e">
        <f t="shared" si="89"/>
        <v>#REF!</v>
      </c>
      <c r="AG106" s="6">
        <f t="array" ref="AG106">_xlfn.T.INV.2T(0.6, C106:Q106)</f>
        <v>0.5415280387550151</v>
      </c>
      <c r="AH106" s="6">
        <f t="array" ref="AH106:AW106">_xlfn.T.INV.2T(0.5, C106:Q106)</f>
        <v>0.69981206131243168</v>
      </c>
      <c r="AI106" s="6" t="e">
        <v>#NUM!</v>
      </c>
      <c r="AJ106" s="6" t="e">
        <v>#NUM!</v>
      </c>
      <c r="AK106" s="6">
        <v>0.67695104301146958</v>
      </c>
      <c r="AL106" s="6">
        <v>0.74069708411268287</v>
      </c>
      <c r="AM106" s="6" t="e">
        <v>#NUM!</v>
      </c>
      <c r="AN106" s="6">
        <v>0.69382930423544042</v>
      </c>
      <c r="AO106" s="6">
        <v>1.0000000000000002</v>
      </c>
      <c r="AP106" s="6" t="e">
        <v>#VALUE!</v>
      </c>
      <c r="AQ106" s="6" t="e">
        <v>#N/A</v>
      </c>
      <c r="AR106" s="6" t="e">
        <v>#DIV/0!</v>
      </c>
      <c r="AS106" s="6" t="e">
        <v>#NAME?</v>
      </c>
      <c r="AT106" s="6" t="e">
        <v>#NULL!</v>
      </c>
      <c r="AU106" s="6" t="e">
        <v>#NUM!</v>
      </c>
      <c r="AV106" s="6" t="e">
        <v>#REF!</v>
      </c>
      <c r="AW106" s="4" t="e">
        <v>#N/A</v>
      </c>
    </row>
    <row r="107" spans="1:49" x14ac:dyDescent="0.15">
      <c r="A107" s="99" t="s">
        <v>197</v>
      </c>
      <c r="B107" s="100" t="s">
        <v>541</v>
      </c>
      <c r="C107" s="4">
        <v>10</v>
      </c>
      <c r="D107" s="4">
        <v>3.2</v>
      </c>
      <c r="E107" s="4">
        <v>0.7</v>
      </c>
      <c r="F107" s="4">
        <v>2</v>
      </c>
      <c r="G107" s="4">
        <v>4</v>
      </c>
      <c r="H107" s="6"/>
      <c r="I107" s="16" t="s">
        <v>785</v>
      </c>
      <c r="J107" s="6" t="b">
        <v>1</v>
      </c>
      <c r="K107" s="6" t="e">
        <v>#VALUE!</v>
      </c>
      <c r="L107" s="6" t="e">
        <v>#N/A</v>
      </c>
      <c r="M107" s="7" t="e">
        <v>#DIV/0!</v>
      </c>
      <c r="N107" s="7" t="e">
        <v>#NAME?</v>
      </c>
      <c r="O107" s="7" t="e">
        <v>#NULL!</v>
      </c>
      <c r="P107" s="7" t="e">
        <v>#NUM!</v>
      </c>
      <c r="Q107" s="7" t="e">
        <v>#REF!</v>
      </c>
      <c r="R107" s="18" cm="1">
        <f t="array" ref="R107:R112">_xlfn.T.TEST(C106:D107,E104:E107,{1;2;1;2;1;2},{1;2;3;1;2;3})</f>
        <v>6.5969811936051129E-2</v>
      </c>
      <c r="S107" s="6" t="e" cm="1">
        <f t="array" ref="S107:S112">_xlfn.T.TEST(D107:E107,E107:G107,{1;2;1;2;1;2},{1;2;3;1;2;3})</f>
        <v>#N/A</v>
      </c>
      <c r="T107" s="6" t="e" cm="1">
        <f t="array" ref="T107:T112">_xlfn.T.TEST(E107:F107,G107:H107,{1;2;1;2;1;2},{1;2;3;1;2;3})</f>
        <v>#DIV/0!</v>
      </c>
      <c r="U107" s="6" t="e" cm="1">
        <f t="array" ref="U107:U112">_xlfn.T.TEST(D107,F107,{1;2;1;2;1;2},{1;2;3;1;2;3})</f>
        <v>#DIV/0!</v>
      </c>
      <c r="V107" s="6" t="e" cm="1">
        <f t="array" ref="V107:V112">_xlfn.T.TEST(G107:I107,H107:J107,{1;2;1;2;1;2},{1;2;3;1;2;3})</f>
        <v>#DIV/0!</v>
      </c>
      <c r="W107" s="6" t="e" cm="1">
        <f t="array" ref="W107:W112">_xlfn.T.TEST(H107:I107,J107:K107,{1;2;1;2;1;2},{1;2;3;1;2;3})</f>
        <v>#VALUE!</v>
      </c>
      <c r="X107" s="6" t="e" cm="1">
        <f t="array" ref="X107:X112">_xlfn.T.TEST(I107:J107,K107:L107,{1;2;1;2;1;2},{1;2;3;1;2;3})</f>
        <v>#VALUE!</v>
      </c>
      <c r="Y107" s="6" t="e" cm="1">
        <f t="array" ref="Y107:Y112">_xlfn.T.TEST(J107:K107,L107:M107,{1;2;1;2;1;2},{1;2;3;1;2;3})</f>
        <v>#N/A</v>
      </c>
      <c r="Z107" s="6" t="e" cm="1">
        <f t="array" ref="Z107:Z112">_xlfn.T.TEST(K107:L107,M107:N107,{1;2;1;2;1;2},{1;2;3;1;2;3})</f>
        <v>#VALUE!</v>
      </c>
      <c r="AA107" s="6" t="e" cm="1">
        <f t="array" ref="AA107:AA112">_xlfn.T.TEST(L107:M107,N107:O107,{1;2;1;2;1;2},{1;2;3;1;2;3})</f>
        <v>#N/A</v>
      </c>
      <c r="AB107" s="6" t="e" cm="1">
        <f t="array" ref="AB107:AB112">_xlfn.T.TEST(M107:N107,O107:P107,{1;2;1;2;1;2},{1;2;3;1;2;3})</f>
        <v>#DIV/0!</v>
      </c>
      <c r="AC107" s="6" t="e" cm="1">
        <f t="array" ref="AC107:AC112">_xlfn.T.TEST(N107:O107,P107:Q107,{1;2;1;2;1;2},{1;2;3;1;2;3})</f>
        <v>#NAME?</v>
      </c>
      <c r="AD107" s="6" t="e" cm="1">
        <f t="array" ref="AD107:AD112">_xlfn.T.TEST(O107:P107,Q107:R107,{1;2;1;2;1;2},{1;2;3;1;2;3})</f>
        <v>#NUM!</v>
      </c>
      <c r="AE107" s="6" t="e" cm="1">
        <f t="array" ref="AE107:AE112">_xlfn.T.TEST(P107:Q107,R107:S107,{1;2;1;2;1;2},{1;2;3;1;2;3})</f>
        <v>#NUM!</v>
      </c>
      <c r="AF107" s="6" t="e" cm="1">
        <f t="array" ref="AF107:AF112">_xlfn.T.TEST(Q107:R107,S107:T107,{1;2;1;2;1;2},{1;2;3;1;2;3})</f>
        <v>#REF!</v>
      </c>
      <c r="AG107" s="6" cm="1">
        <f t="array" ref="AG107:AG112">_xlfn.T.TEST(C106:D107, F106:G107,{1;2;1;2;1;2},{1;2;3;1;2;3})</f>
        <v>0.20698537813086479</v>
      </c>
      <c r="AH107" s="71">
        <f t="array" ref="AH107:AW112">_xlfn.T.TEST(D107:E107, E107:F107,{1;2;1;2;1;2},{1;2;3;1;2;3})</f>
        <v>0.40263573125709518</v>
      </c>
      <c r="AI107" s="6">
        <v>0.40263573125709518</v>
      </c>
      <c r="AJ107" s="6">
        <v>0.40263573125709518</v>
      </c>
      <c r="AK107" s="6">
        <v>0.40263573125709518</v>
      </c>
      <c r="AL107" s="6">
        <v>0.40263573125709518</v>
      </c>
      <c r="AM107" s="6">
        <v>0.40263573125709518</v>
      </c>
      <c r="AN107" s="6">
        <v>0.40263573125709518</v>
      </c>
      <c r="AO107" s="6">
        <v>0.40263573125709518</v>
      </c>
      <c r="AP107" s="6">
        <v>0.40263573125709518</v>
      </c>
      <c r="AQ107" s="6">
        <v>0.40263573125709518</v>
      </c>
      <c r="AR107" s="6">
        <v>0.40263573125709518</v>
      </c>
      <c r="AS107" s="6">
        <v>0.40263573125709518</v>
      </c>
      <c r="AT107" s="6">
        <v>0.40263573125709518</v>
      </c>
      <c r="AU107" s="6">
        <v>0.40263573125709518</v>
      </c>
      <c r="AV107" s="6">
        <v>0.40263573125709518</v>
      </c>
      <c r="AW107" s="4">
        <v>0.40263573125709518</v>
      </c>
    </row>
    <row r="108" spans="1:49" x14ac:dyDescent="0.15">
      <c r="A108" s="99"/>
      <c r="B108" s="100"/>
      <c r="H108" s="6"/>
      <c r="I108" s="16"/>
      <c r="J108" s="6"/>
      <c r="K108" s="6"/>
      <c r="L108" s="6"/>
      <c r="M108" s="7"/>
      <c r="N108" s="7"/>
      <c r="O108" s="7"/>
      <c r="P108" s="7"/>
      <c r="Q108" s="7"/>
      <c r="R108" s="18">
        <v>8.5470905238832953E-2</v>
      </c>
      <c r="S108" s="6">
        <v>0.86663407215254395</v>
      </c>
      <c r="T108" s="6" t="e">
        <v>#DIV/0!</v>
      </c>
      <c r="U108" s="6" t="e">
        <v>#DIV/0!</v>
      </c>
      <c r="V108" s="6" t="e">
        <v>#DIV/0!</v>
      </c>
      <c r="W108" s="6" t="e">
        <v>#VALUE!</v>
      </c>
      <c r="X108" s="6" t="e">
        <v>#VALUE!</v>
      </c>
      <c r="Y108" s="6" t="e">
        <v>#VALUE!</v>
      </c>
      <c r="Z108" s="6" t="e">
        <v>#VALUE!</v>
      </c>
      <c r="AA108" s="6" t="e">
        <v>#N/A</v>
      </c>
      <c r="AB108" s="6" t="e">
        <v>#DIV/0!</v>
      </c>
      <c r="AC108" s="6" t="e">
        <v>#NAME?</v>
      </c>
      <c r="AD108" s="6" t="e">
        <v>#NUM!</v>
      </c>
      <c r="AE108" s="6" t="e">
        <v>#NUM!</v>
      </c>
      <c r="AF108" s="6" t="e">
        <v>#REF!</v>
      </c>
      <c r="AG108" s="6">
        <v>0.40674226895110216</v>
      </c>
      <c r="AH108" s="71">
        <v>0.71165840120067247</v>
      </c>
      <c r="AI108" s="6">
        <v>0.71165840120067247</v>
      </c>
      <c r="AJ108" s="6">
        <v>0.71165840120067247</v>
      </c>
      <c r="AK108" s="6">
        <v>0.71165840120067247</v>
      </c>
      <c r="AL108" s="6">
        <v>0.71165840120067247</v>
      </c>
      <c r="AM108" s="6">
        <v>0.71165840120067247</v>
      </c>
      <c r="AN108" s="6">
        <v>0.71165840120067247</v>
      </c>
      <c r="AO108" s="6">
        <v>0.71165840120067247</v>
      </c>
      <c r="AP108" s="6">
        <v>0.71165840120067247</v>
      </c>
      <c r="AQ108" s="6">
        <v>0.71165840120067247</v>
      </c>
      <c r="AR108" s="6">
        <v>0.71165840120067247</v>
      </c>
      <c r="AS108" s="6">
        <v>0.71165840120067247</v>
      </c>
      <c r="AT108" s="6">
        <v>0.71165840120067247</v>
      </c>
      <c r="AU108" s="6">
        <v>0.71165840120067247</v>
      </c>
      <c r="AV108" s="6">
        <v>0.71165840120067247</v>
      </c>
      <c r="AW108" s="4">
        <v>0.71165840120067247</v>
      </c>
    </row>
    <row r="109" spans="1:49" x14ac:dyDescent="0.15">
      <c r="A109" s="99"/>
      <c r="B109" s="100"/>
      <c r="H109" s="6"/>
      <c r="I109" s="16"/>
      <c r="J109" s="6"/>
      <c r="K109" s="6"/>
      <c r="L109" s="6"/>
      <c r="M109" s="7"/>
      <c r="N109" s="7"/>
      <c r="O109" s="7"/>
      <c r="P109" s="7"/>
      <c r="Q109" s="7"/>
      <c r="R109" s="18">
        <v>6.5969811936051129E-2</v>
      </c>
      <c r="S109" s="6">
        <v>0.43641889152620611</v>
      </c>
      <c r="T109" s="6" t="e">
        <v>#DIV/0!</v>
      </c>
      <c r="U109" s="6" t="e">
        <v>#DIV/0!</v>
      </c>
      <c r="V109" s="6" t="e">
        <v>#DIV/0!</v>
      </c>
      <c r="W109" s="6" t="e">
        <v>#VALUE!</v>
      </c>
      <c r="X109" s="6" t="e">
        <v>#VALUE!</v>
      </c>
      <c r="Y109" s="6" t="e">
        <v>#VALUE!</v>
      </c>
      <c r="Z109" s="6" t="e">
        <v>#VALUE!</v>
      </c>
      <c r="AA109" s="6" t="e">
        <v>#N/A</v>
      </c>
      <c r="AB109" s="6" t="e">
        <v>#DIV/0!</v>
      </c>
      <c r="AC109" s="6" t="e">
        <v>#NAME?</v>
      </c>
      <c r="AD109" s="6" t="e">
        <v>#NUM!</v>
      </c>
      <c r="AE109" s="6" t="e">
        <v>#NUM!</v>
      </c>
      <c r="AF109" s="6" t="e">
        <v>#REF!</v>
      </c>
      <c r="AG109" s="6">
        <v>0.21843312589632996</v>
      </c>
      <c r="AH109" s="71">
        <v>0.3615989819032468</v>
      </c>
      <c r="AI109" s="6">
        <v>0.3615989819032468</v>
      </c>
      <c r="AJ109" s="6">
        <v>0.3615989819032468</v>
      </c>
      <c r="AK109" s="6">
        <v>0.3615989819032468</v>
      </c>
      <c r="AL109" s="6">
        <v>0.3615989819032468</v>
      </c>
      <c r="AM109" s="6">
        <v>0.3615989819032468</v>
      </c>
      <c r="AN109" s="6">
        <v>0.3615989819032468</v>
      </c>
      <c r="AO109" s="6">
        <v>0.3615989819032468</v>
      </c>
      <c r="AP109" s="6">
        <v>0.3615989819032468</v>
      </c>
      <c r="AQ109" s="6">
        <v>0.3615989819032468</v>
      </c>
      <c r="AR109" s="6">
        <v>0.3615989819032468</v>
      </c>
      <c r="AS109" s="6">
        <v>0.3615989819032468</v>
      </c>
      <c r="AT109" s="6">
        <v>0.3615989819032468</v>
      </c>
      <c r="AU109" s="6">
        <v>0.3615989819032468</v>
      </c>
      <c r="AV109" s="6">
        <v>0.3615989819032468</v>
      </c>
      <c r="AW109" s="4">
        <v>0.3615989819032468</v>
      </c>
    </row>
    <row r="110" spans="1:49" x14ac:dyDescent="0.15">
      <c r="A110" s="99"/>
      <c r="B110" s="100"/>
      <c r="H110" s="6"/>
      <c r="I110" s="16"/>
      <c r="J110" s="6"/>
      <c r="K110" s="6"/>
      <c r="L110" s="6"/>
      <c r="M110" s="7"/>
      <c r="N110" s="7"/>
      <c r="O110" s="7"/>
      <c r="P110" s="7"/>
      <c r="Q110" s="7"/>
      <c r="R110" s="18">
        <v>0.13193962387210226</v>
      </c>
      <c r="S110" s="6" t="e">
        <v>#N/A</v>
      </c>
      <c r="T110" s="6" t="e">
        <v>#DIV/0!</v>
      </c>
      <c r="U110" s="6" t="e">
        <v>#DIV/0!</v>
      </c>
      <c r="V110" s="6" t="e">
        <v>#DIV/0!</v>
      </c>
      <c r="W110" s="6" t="e">
        <v>#VALUE!</v>
      </c>
      <c r="X110" s="6" t="e">
        <v>#VALUE!</v>
      </c>
      <c r="Y110" s="6" t="e">
        <v>#N/A</v>
      </c>
      <c r="Z110" s="6" t="e">
        <v>#VALUE!</v>
      </c>
      <c r="AA110" s="6" t="e">
        <v>#N/A</v>
      </c>
      <c r="AB110" s="6" t="e">
        <v>#DIV/0!</v>
      </c>
      <c r="AC110" s="6" t="e">
        <v>#NAME?</v>
      </c>
      <c r="AD110" s="6" t="e">
        <v>#NUM!</v>
      </c>
      <c r="AE110" s="6" t="e">
        <v>#NUM!</v>
      </c>
      <c r="AF110" s="6" t="e">
        <v>#REF!</v>
      </c>
      <c r="AG110" s="6">
        <v>0.41397075626172958</v>
      </c>
      <c r="AH110" s="71">
        <v>0.80527146251419035</v>
      </c>
      <c r="AI110" s="6">
        <v>0.80527146251419035</v>
      </c>
      <c r="AJ110" s="6">
        <v>0.80527146251419035</v>
      </c>
      <c r="AK110" s="6">
        <v>0.80527146251419035</v>
      </c>
      <c r="AL110" s="6">
        <v>0.80527146251419035</v>
      </c>
      <c r="AM110" s="6">
        <v>0.80527146251419035</v>
      </c>
      <c r="AN110" s="6">
        <v>0.80527146251419035</v>
      </c>
      <c r="AO110" s="6">
        <v>0.80527146251419035</v>
      </c>
      <c r="AP110" s="6">
        <v>0.80527146251419035</v>
      </c>
      <c r="AQ110" s="6">
        <v>0.80527146251419035</v>
      </c>
      <c r="AR110" s="6">
        <v>0.80527146251419035</v>
      </c>
      <c r="AS110" s="6">
        <v>0.80527146251419035</v>
      </c>
      <c r="AT110" s="6">
        <v>0.80527146251419035</v>
      </c>
      <c r="AU110" s="6">
        <v>0.80527146251419035</v>
      </c>
      <c r="AV110" s="6">
        <v>0.80527146251419035</v>
      </c>
      <c r="AW110" s="4">
        <v>0.80527146251419035</v>
      </c>
    </row>
    <row r="111" spans="1:49" x14ac:dyDescent="0.15">
      <c r="A111" s="99"/>
      <c r="B111" s="100"/>
      <c r="H111" s="6"/>
      <c r="I111" s="16"/>
      <c r="J111" s="6"/>
      <c r="K111" s="6"/>
      <c r="L111" s="6"/>
      <c r="M111" s="7"/>
      <c r="N111" s="7"/>
      <c r="O111" s="7"/>
      <c r="P111" s="7"/>
      <c r="Q111" s="7"/>
      <c r="R111" s="18">
        <v>4.2735452619416477E-2</v>
      </c>
      <c r="S111" s="6">
        <v>0.43331703607627198</v>
      </c>
      <c r="T111" s="6" t="e">
        <v>#DIV/0!</v>
      </c>
      <c r="U111" s="6" t="e">
        <v>#DIV/0!</v>
      </c>
      <c r="V111" s="6" t="e">
        <v>#DIV/0!</v>
      </c>
      <c r="W111" s="6" t="e">
        <v>#VALUE!</v>
      </c>
      <c r="X111" s="6" t="e">
        <v>#VALUE!</v>
      </c>
      <c r="Y111" s="6" t="e">
        <v>#VALUE!</v>
      </c>
      <c r="Z111" s="6" t="e">
        <v>#VALUE!</v>
      </c>
      <c r="AA111" s="6" t="e">
        <v>#N/A</v>
      </c>
      <c r="AB111" s="6" t="e">
        <v>#DIV/0!</v>
      </c>
      <c r="AC111" s="6" t="e">
        <v>#NAME?</v>
      </c>
      <c r="AD111" s="6" t="e">
        <v>#NUM!</v>
      </c>
      <c r="AE111" s="6" t="e">
        <v>#NUM!</v>
      </c>
      <c r="AF111" s="6" t="e">
        <v>#REF!</v>
      </c>
      <c r="AG111" s="6">
        <v>0.20337113447555108</v>
      </c>
      <c r="AH111" s="71">
        <v>0.35582920060033624</v>
      </c>
      <c r="AI111" s="6">
        <v>0.35582920060033624</v>
      </c>
      <c r="AJ111" s="6">
        <v>0.35582920060033624</v>
      </c>
      <c r="AK111" s="6">
        <v>0.35582920060033624</v>
      </c>
      <c r="AL111" s="6">
        <v>0.35582920060033624</v>
      </c>
      <c r="AM111" s="6">
        <v>0.35582920060033624</v>
      </c>
      <c r="AN111" s="6">
        <v>0.35582920060033624</v>
      </c>
      <c r="AO111" s="6">
        <v>0.35582920060033624</v>
      </c>
      <c r="AP111" s="6">
        <v>0.35582920060033624</v>
      </c>
      <c r="AQ111" s="6">
        <v>0.35582920060033624</v>
      </c>
      <c r="AR111" s="6">
        <v>0.35582920060033624</v>
      </c>
      <c r="AS111" s="6">
        <v>0.35582920060033624</v>
      </c>
      <c r="AT111" s="6">
        <v>0.35582920060033624</v>
      </c>
      <c r="AU111" s="6">
        <v>0.35582920060033624</v>
      </c>
      <c r="AV111" s="6">
        <v>0.35582920060033624</v>
      </c>
      <c r="AW111" s="4">
        <v>0.35582920060033624</v>
      </c>
    </row>
    <row r="112" spans="1:49" x14ac:dyDescent="0.15">
      <c r="A112" s="99"/>
      <c r="B112" s="100"/>
      <c r="H112" s="6"/>
      <c r="I112" s="16"/>
      <c r="J112" s="6"/>
      <c r="K112" s="6"/>
      <c r="L112" s="6"/>
      <c r="M112" s="7"/>
      <c r="N112" s="7"/>
      <c r="O112" s="7"/>
      <c r="P112" s="7"/>
      <c r="Q112" s="7"/>
      <c r="R112" s="18">
        <v>0.13193962387210226</v>
      </c>
      <c r="S112" s="6">
        <v>0.87283778305241222</v>
      </c>
      <c r="T112" s="6" t="e">
        <v>#DIV/0!</v>
      </c>
      <c r="U112" s="6" t="e">
        <v>#DIV/0!</v>
      </c>
      <c r="V112" s="6" t="e">
        <v>#DIV/0!</v>
      </c>
      <c r="W112" s="6" t="e">
        <v>#VALUE!</v>
      </c>
      <c r="X112" s="6" t="e">
        <v>#VALUE!</v>
      </c>
      <c r="Y112" s="6" t="e">
        <v>#VALUE!</v>
      </c>
      <c r="Z112" s="6" t="e">
        <v>#VALUE!</v>
      </c>
      <c r="AA112" s="6" t="e">
        <v>#N/A</v>
      </c>
      <c r="AB112" s="6" t="e">
        <v>#DIV/0!</v>
      </c>
      <c r="AC112" s="6" t="e">
        <v>#NAME?</v>
      </c>
      <c r="AD112" s="6" t="e">
        <v>#NUM!</v>
      </c>
      <c r="AE112" s="6" t="e">
        <v>#NUM!</v>
      </c>
      <c r="AF112" s="6" t="e">
        <v>#REF!</v>
      </c>
      <c r="AG112" s="6">
        <v>0.43686625179265992</v>
      </c>
      <c r="AH112" s="71">
        <v>0.72319796380649359</v>
      </c>
      <c r="AI112" s="6">
        <v>0.72319796380649359</v>
      </c>
      <c r="AJ112" s="6">
        <v>0.72319796380649359</v>
      </c>
      <c r="AK112" s="6">
        <v>0.72319796380649359</v>
      </c>
      <c r="AL112" s="6">
        <v>0.72319796380649359</v>
      </c>
      <c r="AM112" s="6">
        <v>0.72319796380649359</v>
      </c>
      <c r="AN112" s="6">
        <v>0.72319796380649359</v>
      </c>
      <c r="AO112" s="6">
        <v>0.72319796380649359</v>
      </c>
      <c r="AP112" s="6">
        <v>0.72319796380649359</v>
      </c>
      <c r="AQ112" s="6">
        <v>0.72319796380649359</v>
      </c>
      <c r="AR112" s="6">
        <v>0.72319796380649359</v>
      </c>
      <c r="AS112" s="6">
        <v>0.72319796380649359</v>
      </c>
      <c r="AT112" s="6">
        <v>0.72319796380649359</v>
      </c>
      <c r="AU112" s="6">
        <v>0.72319796380649359</v>
      </c>
      <c r="AV112" s="6">
        <v>0.72319796380649359</v>
      </c>
      <c r="AW112" s="4">
        <v>0.72319796380649359</v>
      </c>
    </row>
    <row r="113" spans="1:49" x14ac:dyDescent="0.15">
      <c r="A113" s="99" t="s">
        <v>198</v>
      </c>
      <c r="B113" s="100" t="s">
        <v>541</v>
      </c>
      <c r="C113" s="4">
        <v>4</v>
      </c>
      <c r="D113" s="4">
        <v>0.1</v>
      </c>
      <c r="E113" s="4">
        <v>0.2</v>
      </c>
      <c r="F113" s="4">
        <v>0.3</v>
      </c>
      <c r="G113" s="4">
        <v>5</v>
      </c>
      <c r="H113" s="6"/>
      <c r="I113" s="16" t="s">
        <v>444</v>
      </c>
      <c r="J113" s="6" t="b">
        <v>1</v>
      </c>
      <c r="K113" s="6" t="e">
        <v>#VALUE!</v>
      </c>
      <c r="L113" s="6" t="e">
        <v>#N/A</v>
      </c>
      <c r="M113" s="7" t="e">
        <v>#DIV/0!</v>
      </c>
      <c r="N113" s="7" t="e">
        <v>#NAME?</v>
      </c>
      <c r="O113" s="7" t="e">
        <v>#NULL!</v>
      </c>
      <c r="P113" s="7" t="e">
        <v>#NUM!</v>
      </c>
      <c r="Q113" s="7" t="e">
        <v>#REF!</v>
      </c>
      <c r="R113" s="6" cm="1">
        <f t="array" ref="R113">TREND({2;3;4;21;2},{2,1;2,2;5,3;2,4;4,1},C113:D113)</f>
        <v>-6.594117647058825</v>
      </c>
      <c r="S113" s="6" t="e" cm="1">
        <f t="array" ref="S113">TREND({2;3;4;21;2},{2,1;2,2;5,3;2,4;4,1},D113:F113)</f>
        <v>#REF!</v>
      </c>
      <c r="T113" s="6" cm="1">
        <f t="array" ref="T113:T114">TREND({2;3;4;21;2},{2,1;2,2;5,3;2,4;4,1},E113:F114)</f>
        <v>2.0529411764705867</v>
      </c>
      <c r="U113" s="6" cm="1">
        <f t="array" ref="U113:U114">TREND({2;3;4;21;2},{2,1;2,2;5,3;2,4;4,1},F113:G114)</f>
        <v>26.45882352941176</v>
      </c>
      <c r="V113" s="6" t="e" cm="1">
        <f t="array" ref="V113">TREND({2;3;4;21;2},{2,1;2,2;5,3;2,4;4,1},G113:G114)</f>
        <v>#REF!</v>
      </c>
      <c r="W113" s="6" t="e" cm="1">
        <f t="array" ref="W113">TREND({2;3;4;21;2},{2,1;2,2;5,3;2,4;4,1},H113:I114)</f>
        <v>#VALUE!</v>
      </c>
      <c r="X113" s="6" t="e" cm="1">
        <f t="array" ref="X113">TREND({2;3;4;21;2},{2,1;2,2;5,3;2,4;4,1},I113:J114)</f>
        <v>#VALUE!</v>
      </c>
      <c r="Y113" s="6" t="e" cm="1">
        <f t="array" ref="Y113">TREND({2;3;4;21;2},{2,1;2,2;5,3;2,4;4,1},J113:K114)</f>
        <v>#VALUE!</v>
      </c>
      <c r="Z113" s="6" t="e" cm="1">
        <f t="array" ref="Z113">TREND({2;3;4;21;2},{2,1;2,2;5,3;2,4;4,1},K113:L114)</f>
        <v>#VALUE!</v>
      </c>
      <c r="AA113" s="6" t="e" cm="1">
        <f t="array" ref="AA113">TREND({2;3;4;21;2},{2,1;2,2;5,3;2,4;4,1},L113:M114)</f>
        <v>#VALUE!</v>
      </c>
      <c r="AB113" s="6" t="e" cm="1">
        <f t="array" ref="AB113">TREND({2;3;4;21;2},{2,1;2,2;5,3;2,4;4,1},M113:N114)</f>
        <v>#VALUE!</v>
      </c>
      <c r="AC113" s="6" t="e" cm="1">
        <f t="array" ref="AC113">TREND({2;3;4;21;2},{2,1;2,2;5,3;2,4;4,1},N113:O114)</f>
        <v>#VALUE!</v>
      </c>
      <c r="AD113" s="6" t="e" cm="1">
        <f t="array" ref="AD113">TREND({2;3;4;21;2},{2,1;2,2;5,3;2,4;4,1},O113:P114)</f>
        <v>#VALUE!</v>
      </c>
      <c r="AE113" s="6" t="e" cm="1">
        <f t="array" ref="AE113">TREND({2;3;4;21;2},{2,1;2,2;5,3;2,4;4,1},P113:Q114)</f>
        <v>#VALUE!</v>
      </c>
      <c r="AF113" s="6" t="e" cm="1">
        <f t="array" ref="AF113">TREND({2;3;4;21;2},{2,1;2,2;5,3;2,4;4,1},Q113:R114)</f>
        <v>#VALUE!</v>
      </c>
      <c r="AG113" s="6">
        <f t="array" ref="AG113:AG114">TREND({2;3;4;21;2},{2,1;2,2;5,3;2,4;4,1},F113:G114)</f>
        <v>26.45882352941176</v>
      </c>
      <c r="AH113" s="6">
        <f t="array" ref="AH113:AW114">TREND({2;3;4;21;2},{2,1;2,2;5,3;2,4;4,1},F113:G114)</f>
        <v>26.45882352941176</v>
      </c>
      <c r="AI113" s="6">
        <v>26.45882352941176</v>
      </c>
      <c r="AJ113" s="6">
        <v>26.45882352941176</v>
      </c>
      <c r="AK113" s="6">
        <v>26.45882352941176</v>
      </c>
      <c r="AL113" s="6">
        <v>26.45882352941176</v>
      </c>
      <c r="AM113" s="6">
        <v>26.45882352941176</v>
      </c>
      <c r="AN113" s="6">
        <v>26.45882352941176</v>
      </c>
      <c r="AO113" s="6">
        <v>26.45882352941176</v>
      </c>
      <c r="AP113" s="6">
        <v>26.45882352941176</v>
      </c>
      <c r="AQ113" s="6">
        <v>26.45882352941176</v>
      </c>
      <c r="AR113" s="6">
        <v>26.45882352941176</v>
      </c>
      <c r="AS113" s="6">
        <v>26.45882352941176</v>
      </c>
      <c r="AT113" s="6">
        <v>26.45882352941176</v>
      </c>
      <c r="AU113" s="6">
        <v>26.45882352941176</v>
      </c>
      <c r="AV113" s="6">
        <v>26.45882352941176</v>
      </c>
      <c r="AW113" s="4">
        <v>26.45882352941176</v>
      </c>
    </row>
    <row r="114" spans="1:49" x14ac:dyDescent="0.15">
      <c r="A114" s="99"/>
      <c r="B114" s="100"/>
      <c r="C114" s="4">
        <v>0</v>
      </c>
      <c r="D114" s="4">
        <v>5</v>
      </c>
      <c r="E114" s="4">
        <v>0.7</v>
      </c>
      <c r="F114" s="4">
        <v>3</v>
      </c>
      <c r="G114" s="4">
        <v>4</v>
      </c>
      <c r="H114" s="6">
        <v>1</v>
      </c>
      <c r="I114" s="16">
        <v>2</v>
      </c>
      <c r="J114" s="6">
        <v>3</v>
      </c>
      <c r="K114" s="6">
        <v>4</v>
      </c>
      <c r="L114" s="6">
        <v>5</v>
      </c>
      <c r="M114" s="7">
        <v>6</v>
      </c>
      <c r="N114" s="7">
        <v>7</v>
      </c>
      <c r="O114" s="7">
        <v>8</v>
      </c>
      <c r="P114" s="7">
        <v>9</v>
      </c>
      <c r="Q114" s="7">
        <v>0</v>
      </c>
      <c r="R114" s="6"/>
      <c r="S114" s="6"/>
      <c r="T114" s="6">
        <v>15.188235294117646</v>
      </c>
      <c r="U114" s="6">
        <v>15.823529411764705</v>
      </c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>
        <v>15.823529411764705</v>
      </c>
      <c r="AH114" s="6">
        <v>15.823529411764705</v>
      </c>
      <c r="AI114" s="6">
        <v>15.823529411764705</v>
      </c>
      <c r="AJ114" s="6">
        <v>15.823529411764705</v>
      </c>
      <c r="AK114" s="6">
        <v>15.823529411764705</v>
      </c>
      <c r="AL114" s="6">
        <v>15.823529411764705</v>
      </c>
      <c r="AM114" s="6">
        <v>15.823529411764705</v>
      </c>
      <c r="AN114" s="6">
        <v>15.823529411764705</v>
      </c>
      <c r="AO114" s="6">
        <v>15.823529411764705</v>
      </c>
      <c r="AP114" s="6">
        <v>15.823529411764705</v>
      </c>
      <c r="AQ114" s="6">
        <v>15.823529411764705</v>
      </c>
      <c r="AR114" s="6">
        <v>15.823529411764705</v>
      </c>
      <c r="AS114" s="6">
        <v>15.823529411764705</v>
      </c>
      <c r="AT114" s="6">
        <v>15.823529411764705</v>
      </c>
      <c r="AU114" s="6">
        <v>15.823529411764705</v>
      </c>
      <c r="AV114" s="6">
        <v>15.823529411764705</v>
      </c>
      <c r="AW114" s="4">
        <v>15.823529411764705</v>
      </c>
    </row>
    <row r="115" spans="1:49" x14ac:dyDescent="0.15">
      <c r="A115" s="35" t="s">
        <v>199</v>
      </c>
      <c r="B115" s="36" t="s">
        <v>541</v>
      </c>
      <c r="C115" s="4">
        <v>0</v>
      </c>
      <c r="D115" s="4">
        <v>1</v>
      </c>
      <c r="E115" s="4">
        <v>0.7</v>
      </c>
      <c r="F115" s="4">
        <v>0.2</v>
      </c>
      <c r="G115" s="4">
        <v>-1</v>
      </c>
      <c r="H115" s="6"/>
      <c r="I115" s="16" t="s">
        <v>444</v>
      </c>
      <c r="J115" s="6" t="b">
        <v>1</v>
      </c>
      <c r="K115" s="6" t="e">
        <v>#VALUE!</v>
      </c>
      <c r="L115" s="6" t="e">
        <v>#N/A</v>
      </c>
      <c r="M115" s="7" t="e">
        <v>#DIV/0!</v>
      </c>
      <c r="N115" s="7" t="e">
        <v>#NAME?</v>
      </c>
      <c r="O115" s="7" t="e">
        <v>#NULL!</v>
      </c>
      <c r="P115" s="7" t="e">
        <v>#NUM!</v>
      </c>
      <c r="Q115" s="7" t="e">
        <v>#REF!</v>
      </c>
      <c r="R115" s="6">
        <f>TRIMMEAN($C115:$J115,C115)</f>
        <v>0.18</v>
      </c>
      <c r="S115" s="6" t="e">
        <f t="shared" ref="S115:AF115" si="90">TRIMMEAN($C115:$J115,D115)</f>
        <v>#NUM!</v>
      </c>
      <c r="T115" s="6">
        <f t="shared" si="90"/>
        <v>0.3</v>
      </c>
      <c r="U115" s="6">
        <f t="shared" si="90"/>
        <v>0.18</v>
      </c>
      <c r="V115" s="6" t="e">
        <f t="shared" si="90"/>
        <v>#NUM!</v>
      </c>
      <c r="W115" s="6">
        <f t="shared" si="90"/>
        <v>0.18</v>
      </c>
      <c r="X115" s="6" t="e">
        <f>TRIMMEAN($C115:$J115,I115)</f>
        <v>#NUM!</v>
      </c>
      <c r="Y115" s="6" t="e">
        <f t="shared" si="90"/>
        <v>#NUM!</v>
      </c>
      <c r="Z115" s="6" t="e">
        <f t="shared" si="90"/>
        <v>#VALUE!</v>
      </c>
      <c r="AA115" s="6" t="e">
        <f t="shared" si="90"/>
        <v>#N/A</v>
      </c>
      <c r="AB115" s="6" t="e">
        <f t="shared" si="90"/>
        <v>#DIV/0!</v>
      </c>
      <c r="AC115" s="6" t="e">
        <f t="shared" si="90"/>
        <v>#NAME?</v>
      </c>
      <c r="AD115" s="6" t="e">
        <f t="shared" si="90"/>
        <v>#NULL!</v>
      </c>
      <c r="AE115" s="6" t="e">
        <f t="shared" si="90"/>
        <v>#NUM!</v>
      </c>
      <c r="AF115" s="6" t="e">
        <f t="shared" si="90"/>
        <v>#REF!</v>
      </c>
      <c r="AG115" s="6">
        <f t="array" ref="AG115">TRIMMEAN($C115:$J115,E115:R115)</f>
        <v>0.3</v>
      </c>
      <c r="AH115" s="6">
        <f t="array" ref="AH115:AW115">TRIMMEAN($C115:$J115,E115:R115)</f>
        <v>0.3</v>
      </c>
      <c r="AI115" s="6">
        <v>0.18</v>
      </c>
      <c r="AJ115" s="6" t="e">
        <v>#NUM!</v>
      </c>
      <c r="AK115" s="6">
        <v>0.18</v>
      </c>
      <c r="AL115" s="6" t="e">
        <v>#NUM!</v>
      </c>
      <c r="AM115" s="6" t="e">
        <v>#NUM!</v>
      </c>
      <c r="AN115" s="6" t="e">
        <v>#VALUE!</v>
      </c>
      <c r="AO115" s="6" t="e">
        <v>#N/A</v>
      </c>
      <c r="AP115" s="6" t="e">
        <v>#DIV/0!</v>
      </c>
      <c r="AQ115" s="6" t="e">
        <v>#NAME?</v>
      </c>
      <c r="AR115" s="6" t="e">
        <v>#NULL!</v>
      </c>
      <c r="AS115" s="6" t="e">
        <v>#NUM!</v>
      </c>
      <c r="AT115" s="6" t="e">
        <v>#REF!</v>
      </c>
      <c r="AU115" s="6">
        <v>0.18</v>
      </c>
      <c r="AV115" s="6" t="e">
        <v>#N/A</v>
      </c>
      <c r="AW115" s="4" t="e">
        <v>#N/A</v>
      </c>
    </row>
    <row r="116" spans="1:49" x14ac:dyDescent="0.15">
      <c r="A116" s="35" t="s">
        <v>200</v>
      </c>
      <c r="B116" s="36" t="s">
        <v>541</v>
      </c>
      <c r="C116" s="4">
        <v>0</v>
      </c>
      <c r="D116" s="4">
        <v>-10</v>
      </c>
      <c r="E116" s="4">
        <v>0.9</v>
      </c>
      <c r="F116" s="4">
        <v>2.2000000000000002</v>
      </c>
      <c r="G116" s="4">
        <v>-0.1</v>
      </c>
      <c r="H116" s="6"/>
      <c r="I116" s="16" t="s">
        <v>448</v>
      </c>
      <c r="J116" s="6" t="b">
        <v>1</v>
      </c>
      <c r="K116" s="6" t="e">
        <v>#VALUE!</v>
      </c>
      <c r="L116" s="6" t="e">
        <v>#N/A</v>
      </c>
      <c r="M116" s="7" t="e">
        <v>#DIV/0!</v>
      </c>
      <c r="N116" s="7" t="e">
        <v>#NAME?</v>
      </c>
      <c r="O116" s="7" t="e">
        <v>#NULL!</v>
      </c>
      <c r="P116" s="7" t="e">
        <v>#NUM!</v>
      </c>
      <c r="Q116" s="7" t="e">
        <v>#REF!</v>
      </c>
      <c r="R116" s="6">
        <f>_xlfn.VAR.P(C116:D116,D116:E116,E116:F116,"2")</f>
        <v>26.065714285714282</v>
      </c>
      <c r="S116" s="6" t="e" vm="110">
        <f>_xlfn.VAR.P(D116:E116,E116:F116,F116:G116,"")</f>
        <v>#VALUE!</v>
      </c>
      <c r="T116" s="6">
        <f>_xlfn.VAR.P(E116:F116,F116:G116,G116:H116,"29/02/1900")</f>
        <v>484.02916666666675</v>
      </c>
      <c r="U116" s="6" t="e">
        <f>_xlfn.VAR.P(H116)</f>
        <v>#DIV/0!</v>
      </c>
      <c r="V116" s="6">
        <f>_xlfn.VAR.P(G116:H116,H116:I116,I116:J116)</f>
        <v>0</v>
      </c>
      <c r="W116" s="6">
        <f>_xlfn.VAR.P(G116:H116)</f>
        <v>0</v>
      </c>
      <c r="X116" s="6">
        <f>_xlfn.VAR.P(I116,G116)</f>
        <v>0</v>
      </c>
      <c r="Y116" s="6">
        <f>_xlfn.VAR.P(J116,G116)</f>
        <v>0</v>
      </c>
      <c r="Z116" s="6" t="e">
        <f>_xlfn.VAR.P(K116:L116)</f>
        <v>#VALUE!</v>
      </c>
      <c r="AA116" s="6" t="e">
        <f t="shared" ref="AA116:AF116" si="91">_xlfn.VAR.P(L116:M116)</f>
        <v>#N/A</v>
      </c>
      <c r="AB116" s="6" t="e">
        <f t="shared" si="91"/>
        <v>#DIV/0!</v>
      </c>
      <c r="AC116" s="6" t="e">
        <f t="shared" si="91"/>
        <v>#NAME?</v>
      </c>
      <c r="AD116" s="6" t="e">
        <f t="shared" si="91"/>
        <v>#NULL!</v>
      </c>
      <c r="AE116" s="6" t="e">
        <f t="shared" si="91"/>
        <v>#NUM!</v>
      </c>
      <c r="AF116" s="6" t="e">
        <f t="shared" si="91"/>
        <v>#REF!</v>
      </c>
      <c r="AG116" s="6">
        <f>_xlfn.VAR.P(F116:J116)</f>
        <v>1.3225000000000002</v>
      </c>
      <c r="AH116" s="6">
        <f t="array" ref="AH116:AM116">_xlfn.VAR.P(C116:J116)</f>
        <v>19.172000000000004</v>
      </c>
      <c r="AI116" s="6">
        <v>19.172000000000004</v>
      </c>
      <c r="AJ116" s="6">
        <v>19.172000000000004</v>
      </c>
      <c r="AK116" s="6">
        <v>19.172000000000004</v>
      </c>
      <c r="AL116" s="6">
        <v>19.172000000000004</v>
      </c>
      <c r="AM116" s="6">
        <v>19.172000000000004</v>
      </c>
      <c r="AN116" s="6" t="e">
        <f t="array" ref="AN116:AW116">_xlfn.VAR.P(J116:Q116)</f>
        <v>#VALUE!</v>
      </c>
      <c r="AO116" s="6" t="e">
        <v>#VALUE!</v>
      </c>
      <c r="AP116" s="6" t="e">
        <v>#VALUE!</v>
      </c>
      <c r="AQ116" s="6" t="e">
        <v>#VALUE!</v>
      </c>
      <c r="AR116" s="6" t="e">
        <v>#VALUE!</v>
      </c>
      <c r="AS116" s="6" t="e">
        <v>#VALUE!</v>
      </c>
      <c r="AT116" s="6" t="e">
        <v>#VALUE!</v>
      </c>
      <c r="AU116" s="6" t="e">
        <v>#VALUE!</v>
      </c>
      <c r="AV116" s="6" t="e">
        <v>#VALUE!</v>
      </c>
      <c r="AW116" s="4" t="e">
        <v>#VALUE!</v>
      </c>
    </row>
    <row r="117" spans="1:49" x14ac:dyDescent="0.15">
      <c r="A117" s="35" t="s">
        <v>201</v>
      </c>
      <c r="B117" s="36" t="s">
        <v>541</v>
      </c>
      <c r="C117" s="4">
        <v>0</v>
      </c>
      <c r="D117" s="4">
        <v>-10</v>
      </c>
      <c r="E117" s="4">
        <v>0.9</v>
      </c>
      <c r="F117" s="4">
        <v>2.2000000000000002</v>
      </c>
      <c r="G117" s="4">
        <v>-0.1</v>
      </c>
      <c r="H117" s="6"/>
      <c r="I117" s="16" t="s">
        <v>448</v>
      </c>
      <c r="J117" s="6" t="b">
        <v>1</v>
      </c>
      <c r="K117" s="6" t="e">
        <v>#VALUE!</v>
      </c>
      <c r="L117" s="6" t="e">
        <v>#N/A</v>
      </c>
      <c r="M117" s="7" t="e">
        <v>#DIV/0!</v>
      </c>
      <c r="N117" s="7" t="e">
        <v>#NAME?</v>
      </c>
      <c r="O117" s="7" t="e">
        <v>#NULL!</v>
      </c>
      <c r="P117" s="7" t="e">
        <v>#NUM!</v>
      </c>
      <c r="Q117" s="7" t="e">
        <v>#REF!</v>
      </c>
      <c r="R117" s="6">
        <f>_xlfn.VAR.S(C117:D117,D117:E117,E117:F117,"2")</f>
        <v>30.409999999999997</v>
      </c>
      <c r="S117" s="6" t="e" vm="111">
        <f>_xlfn.VAR.S(D117:E117,E117:F117,F117:G117,"")</f>
        <v>#VALUE!</v>
      </c>
      <c r="T117" s="6">
        <f>_xlfn.VAR.S(E117:F117,F117:G117,G117:H117,"29/02/1900")</f>
        <v>580.83500000000004</v>
      </c>
      <c r="U117" s="6" t="e">
        <f>_xlfn.VAR.S(G117:H117)</f>
        <v>#DIV/0!</v>
      </c>
      <c r="V117" s="6">
        <f>_xlfn.VAR.S(F117:H117,H117:I117,I117:J117)</f>
        <v>2.6450000000000005</v>
      </c>
      <c r="W117" s="6" t="e">
        <f>_xlfn.VAR.S(G117:H117)</f>
        <v>#DIV/0!</v>
      </c>
      <c r="X117" s="6">
        <f>_xlfn.VAR.S(I117,G117,E117)</f>
        <v>0.5</v>
      </c>
      <c r="Y117" s="6" t="e">
        <f>_xlfn.VAR.S(J117,G117)</f>
        <v>#DIV/0!</v>
      </c>
      <c r="Z117" s="6" t="e">
        <f>_xlfn.VAR.S(K117:L117)</f>
        <v>#VALUE!</v>
      </c>
      <c r="AA117" s="6" t="e">
        <f t="shared" ref="AA117:AF117" si="92">_xlfn.VAR.S(L117:M117)</f>
        <v>#N/A</v>
      </c>
      <c r="AB117" s="6" t="e">
        <f t="shared" si="92"/>
        <v>#DIV/0!</v>
      </c>
      <c r="AC117" s="6" t="e">
        <f t="shared" si="92"/>
        <v>#NAME?</v>
      </c>
      <c r="AD117" s="6" t="e">
        <f t="shared" si="92"/>
        <v>#NULL!</v>
      </c>
      <c r="AE117" s="6" t="e">
        <f t="shared" si="92"/>
        <v>#NUM!</v>
      </c>
      <c r="AF117" s="6" t="e">
        <f t="shared" si="92"/>
        <v>#REF!</v>
      </c>
      <c r="AG117" s="6">
        <f>_xlfn.VAR.S(F117:J117)</f>
        <v>2.6450000000000005</v>
      </c>
      <c r="AH117" s="6">
        <f t="array" ref="AH117:AM117">_xlfn.VAR.S(C117:J117)</f>
        <v>23.965000000000003</v>
      </c>
      <c r="AI117" s="6">
        <v>23.965000000000003</v>
      </c>
      <c r="AJ117" s="6">
        <v>23.965000000000003</v>
      </c>
      <c r="AK117" s="6">
        <v>23.965000000000003</v>
      </c>
      <c r="AL117" s="6">
        <v>23.965000000000003</v>
      </c>
      <c r="AM117" s="6">
        <v>23.965000000000003</v>
      </c>
      <c r="AN117" s="6" t="e">
        <f t="array" ref="AN117:AW117">_xlfn.VAR.S(J117:Q117)</f>
        <v>#VALUE!</v>
      </c>
      <c r="AO117" s="6" t="e">
        <v>#VALUE!</v>
      </c>
      <c r="AP117" s="6" t="e">
        <v>#VALUE!</v>
      </c>
      <c r="AQ117" s="6" t="e">
        <v>#VALUE!</v>
      </c>
      <c r="AR117" s="6" t="e">
        <v>#VALUE!</v>
      </c>
      <c r="AS117" s="6" t="e">
        <v>#VALUE!</v>
      </c>
      <c r="AT117" s="6" t="e">
        <v>#VALUE!</v>
      </c>
      <c r="AU117" s="6" t="e">
        <v>#VALUE!</v>
      </c>
      <c r="AV117" s="6" t="e">
        <v>#VALUE!</v>
      </c>
      <c r="AW117" s="4" t="e">
        <v>#VALUE!</v>
      </c>
    </row>
    <row r="118" spans="1:49" x14ac:dyDescent="0.15">
      <c r="A118" s="35" t="s">
        <v>202</v>
      </c>
      <c r="B118" s="36" t="s">
        <v>541</v>
      </c>
      <c r="C118" s="4">
        <v>0</v>
      </c>
      <c r="D118" s="4">
        <v>-10</v>
      </c>
      <c r="E118" s="4">
        <v>0.9</v>
      </c>
      <c r="F118" s="4">
        <v>2.2000000000000002</v>
      </c>
      <c r="G118" s="4">
        <v>-0.1</v>
      </c>
      <c r="H118" s="6"/>
      <c r="I118" s="16" t="s">
        <v>448</v>
      </c>
      <c r="J118" s="6" t="b">
        <v>1</v>
      </c>
      <c r="K118" s="6" t="e">
        <v>#VALUE!</v>
      </c>
      <c r="L118" s="6" t="e">
        <v>#N/A</v>
      </c>
      <c r="M118" s="7" t="e">
        <v>#DIV/0!</v>
      </c>
      <c r="N118" s="7" t="e">
        <v>#NAME?</v>
      </c>
      <c r="O118" s="7" t="e">
        <v>#NULL!</v>
      </c>
      <c r="P118" s="7" t="e">
        <v>#NUM!</v>
      </c>
      <c r="Q118" s="7" t="e">
        <v>#REF!</v>
      </c>
      <c r="R118" s="6">
        <f>VARA(C118:D118,D118:E118,E118:F118,"2")</f>
        <v>30.409999999999997</v>
      </c>
      <c r="S118" s="6" t="e" vm="112">
        <f>VARA(D118:E118,E118:F118,F118:G118,"")</f>
        <v>#VALUE!</v>
      </c>
      <c r="T118" s="6">
        <f>VARA(E118:F118,F118:G118,G118:H118,"29/02/1900")</f>
        <v>580.83500000000004</v>
      </c>
      <c r="U118" s="6" t="e">
        <f>VARA(G118:H118)</f>
        <v>#DIV/0!</v>
      </c>
      <c r="V118" s="6">
        <f>VARA(F118:H118,H118:I118,I118:J118)</f>
        <v>0.9820000000000001</v>
      </c>
      <c r="W118" s="6" t="e">
        <f>VARA(G118:H118)</f>
        <v>#DIV/0!</v>
      </c>
      <c r="X118" s="6">
        <f>VARA(I118,G118,E118)</f>
        <v>0.30333333333333334</v>
      </c>
      <c r="Y118" s="6">
        <f>VARA(J118,G118)</f>
        <v>0.60499999999999998</v>
      </c>
      <c r="Z118" s="6" t="e">
        <f>VARA(K118:L118)</f>
        <v>#VALUE!</v>
      </c>
      <c r="AA118" s="6" t="e">
        <f t="shared" ref="AA118:AF118" si="93">VARA(L118:M118)</f>
        <v>#N/A</v>
      </c>
      <c r="AB118" s="6" t="e">
        <f t="shared" si="93"/>
        <v>#DIV/0!</v>
      </c>
      <c r="AC118" s="6" t="e">
        <f t="shared" si="93"/>
        <v>#NAME?</v>
      </c>
      <c r="AD118" s="6" t="e">
        <f t="shared" si="93"/>
        <v>#NULL!</v>
      </c>
      <c r="AE118" s="6" t="e">
        <f t="shared" si="93"/>
        <v>#NUM!</v>
      </c>
      <c r="AF118" s="6" t="e">
        <f t="shared" si="93"/>
        <v>#REF!</v>
      </c>
      <c r="AG118" s="6">
        <f>VARA(F118:J118)</f>
        <v>1.1491666666666667</v>
      </c>
      <c r="AH118" s="6">
        <f t="array" ref="AH118:AM118">VARA(C118:J118)</f>
        <v>16.919523809523813</v>
      </c>
      <c r="AI118" s="6">
        <v>16.919523809523813</v>
      </c>
      <c r="AJ118" s="6">
        <v>16.919523809523813</v>
      </c>
      <c r="AK118" s="6">
        <v>16.919523809523813</v>
      </c>
      <c r="AL118" s="6">
        <v>16.919523809523813</v>
      </c>
      <c r="AM118" s="6">
        <v>16.919523809523813</v>
      </c>
      <c r="AN118" s="6" t="e">
        <f t="array" ref="AN118:AW118">VARA(J118:Q118)</f>
        <v>#VALUE!</v>
      </c>
      <c r="AO118" s="6" t="e">
        <v>#VALUE!</v>
      </c>
      <c r="AP118" s="6" t="e">
        <v>#VALUE!</v>
      </c>
      <c r="AQ118" s="6" t="e">
        <v>#VALUE!</v>
      </c>
      <c r="AR118" s="6" t="e">
        <v>#VALUE!</v>
      </c>
      <c r="AS118" s="6" t="e">
        <v>#VALUE!</v>
      </c>
      <c r="AT118" s="6" t="e">
        <v>#VALUE!</v>
      </c>
      <c r="AU118" s="6" t="e">
        <v>#VALUE!</v>
      </c>
      <c r="AV118" s="6" t="e">
        <v>#VALUE!</v>
      </c>
      <c r="AW118" s="4" t="e">
        <v>#VALUE!</v>
      </c>
    </row>
    <row r="119" spans="1:49" x14ac:dyDescent="0.15">
      <c r="A119" s="35" t="s">
        <v>203</v>
      </c>
      <c r="B119" s="36" t="s">
        <v>541</v>
      </c>
      <c r="C119" s="4">
        <v>0</v>
      </c>
      <c r="D119" s="4">
        <v>-10</v>
      </c>
      <c r="E119" s="4">
        <v>0.9</v>
      </c>
      <c r="F119" s="4">
        <v>2.2000000000000002</v>
      </c>
      <c r="G119" s="4">
        <v>-0.1</v>
      </c>
      <c r="H119" s="6"/>
      <c r="I119" s="16" t="s">
        <v>448</v>
      </c>
      <c r="J119" s="6" t="b">
        <v>1</v>
      </c>
      <c r="K119" s="6" t="e">
        <v>#VALUE!</v>
      </c>
      <c r="L119" s="6" t="e">
        <v>#N/A</v>
      </c>
      <c r="M119" s="7" t="e">
        <v>#DIV/0!</v>
      </c>
      <c r="N119" s="7" t="e">
        <v>#NAME?</v>
      </c>
      <c r="O119" s="7" t="e">
        <v>#NULL!</v>
      </c>
      <c r="P119" s="7" t="e">
        <v>#NUM!</v>
      </c>
      <c r="Q119" s="7" t="e">
        <v>#REF!</v>
      </c>
      <c r="R119" s="6">
        <f>VARPA(C119:D119,D119:E119,E119:F119,"2")</f>
        <v>26.065714285714282</v>
      </c>
      <c r="S119" s="6" t="e" vm="113">
        <f>VARPA(D119:E119,E119:F119,F119:G119,"")</f>
        <v>#VALUE!</v>
      </c>
      <c r="T119" s="6">
        <f>VARPA(E119:F119,F119:G119,G119:H119,"29/02/1900")</f>
        <v>484.02916666666675</v>
      </c>
      <c r="U119" s="6" t="e">
        <f>VARPA(H119)</f>
        <v>#DIV/0!</v>
      </c>
      <c r="V119" s="6">
        <f>VARPA(G119:H119,H119:I119,I119:J119)</f>
        <v>0.201875</v>
      </c>
      <c r="W119" s="6">
        <f>VARPA(G119:H119)</f>
        <v>0</v>
      </c>
      <c r="X119" s="6">
        <f>VARPA(I119,G119)</f>
        <v>2.5000000000000005E-3</v>
      </c>
      <c r="Y119" s="6">
        <f>VARPA(J119,G119)</f>
        <v>0.30249999999999999</v>
      </c>
      <c r="Z119" s="6" t="e">
        <f>VARPA(K119:L119)</f>
        <v>#VALUE!</v>
      </c>
      <c r="AA119" s="6" t="e">
        <f t="shared" ref="AA119:AF119" si="94">VARPA(L119:M119)</f>
        <v>#N/A</v>
      </c>
      <c r="AB119" s="6" t="e">
        <f t="shared" si="94"/>
        <v>#DIV/0!</v>
      </c>
      <c r="AC119" s="6" t="e">
        <f t="shared" si="94"/>
        <v>#NAME?</v>
      </c>
      <c r="AD119" s="6" t="e">
        <f t="shared" si="94"/>
        <v>#NULL!</v>
      </c>
      <c r="AE119" s="6" t="e">
        <f t="shared" si="94"/>
        <v>#NUM!</v>
      </c>
      <c r="AF119" s="6" t="e">
        <f t="shared" si="94"/>
        <v>#REF!</v>
      </c>
      <c r="AG119" s="6">
        <f>VARPA(F119:J119)</f>
        <v>0.86187500000000006</v>
      </c>
      <c r="AH119" s="6">
        <f t="array" ref="AH119:AM119">VARPA(C119:J119)</f>
        <v>14.50244897959184</v>
      </c>
      <c r="AI119" s="6">
        <v>14.50244897959184</v>
      </c>
      <c r="AJ119" s="6">
        <v>14.50244897959184</v>
      </c>
      <c r="AK119" s="6">
        <v>14.50244897959184</v>
      </c>
      <c r="AL119" s="6">
        <v>14.50244897959184</v>
      </c>
      <c r="AM119" s="6">
        <v>14.50244897959184</v>
      </c>
      <c r="AN119" s="6" t="e">
        <f t="array" ref="AN119:AW119">VARPA(J119:Q119)</f>
        <v>#VALUE!</v>
      </c>
      <c r="AO119" s="6" t="e">
        <v>#VALUE!</v>
      </c>
      <c r="AP119" s="6" t="e">
        <v>#VALUE!</v>
      </c>
      <c r="AQ119" s="6" t="e">
        <v>#VALUE!</v>
      </c>
      <c r="AR119" s="6" t="e">
        <v>#VALUE!</v>
      </c>
      <c r="AS119" s="6" t="e">
        <v>#VALUE!</v>
      </c>
      <c r="AT119" s="6" t="e">
        <v>#VALUE!</v>
      </c>
      <c r="AU119" s="6" t="e">
        <v>#VALUE!</v>
      </c>
      <c r="AV119" s="6" t="e">
        <v>#VALUE!</v>
      </c>
      <c r="AW119" s="4" t="e">
        <v>#VALUE!</v>
      </c>
    </row>
    <row r="120" spans="1:49" x14ac:dyDescent="0.15">
      <c r="A120" s="35" t="s">
        <v>204</v>
      </c>
      <c r="B120" s="36" t="s">
        <v>541</v>
      </c>
      <c r="C120" s="4">
        <v>0</v>
      </c>
      <c r="D120" s="4">
        <v>-0.1</v>
      </c>
      <c r="E120" s="4">
        <v>0.7</v>
      </c>
      <c r="F120" s="4">
        <v>3</v>
      </c>
      <c r="G120" s="4">
        <v>4</v>
      </c>
      <c r="H120" s="6"/>
      <c r="I120" s="16" t="s">
        <v>444</v>
      </c>
      <c r="J120" s="6" t="b">
        <v>1</v>
      </c>
      <c r="K120" s="6" t="e">
        <v>#VALUE!</v>
      </c>
      <c r="L120" s="6" t="e">
        <v>#N/A</v>
      </c>
      <c r="M120" s="7" t="e">
        <v>#DIV/0!</v>
      </c>
      <c r="N120" s="7" t="e">
        <v>#NAME?</v>
      </c>
      <c r="O120" s="7" t="e">
        <v>#NULL!</v>
      </c>
      <c r="P120" s="7" t="e">
        <v>#NUM!</v>
      </c>
      <c r="Q120" s="7" t="e">
        <v>#REF!</v>
      </c>
      <c r="R120" s="6" t="e">
        <f>_xlfn.WEIBULL.DIST(C120,,,)</f>
        <v>#NUM!</v>
      </c>
      <c r="S120" s="6" t="e">
        <f>_xlfn.WEIBULL.DIST(D120,1,2,FALSE)</f>
        <v>#NUM!</v>
      </c>
      <c r="T120" s="6">
        <f>_xlfn.WEIBULL.DIST(E120,"1","3",5)</f>
        <v>0.2081104336632183</v>
      </c>
      <c r="U120" s="6" t="e">
        <f>_xlfn.WEIBULL.DIST(F120,-1,2,"TRUE")</f>
        <v>#NUM!</v>
      </c>
      <c r="V120" s="6" t="e">
        <f>_xlfn.WEIBULL.DIST(G120, 0,0,1)</f>
        <v>#NUM!</v>
      </c>
      <c r="W120" s="6" t="e">
        <f>_xlfn.WEIBULL.DIST(H120,H120,G120,1)</f>
        <v>#NUM!</v>
      </c>
      <c r="X120" s="6" t="e">
        <f>_xlfn.WEIBULL.DIST(I120,,I120,1)</f>
        <v>#NUM!</v>
      </c>
      <c r="Y120" s="6">
        <f>_xlfn.WEIBULL.DIST(J120,I120,E120,1)</f>
        <v>1</v>
      </c>
      <c r="Z120" s="6" t="e">
        <f>_xlfn.WEIBULL.DIST(K120,I120,G120,1)</f>
        <v>#VALUE!</v>
      </c>
      <c r="AA120" s="6" t="e">
        <f t="shared" ref="AA120:AF120" si="95">_xlfn.WEIBULL.DIST(L120,J120,H120,1)</f>
        <v>#N/A</v>
      </c>
      <c r="AB120" s="6" t="e">
        <f t="shared" si="95"/>
        <v>#DIV/0!</v>
      </c>
      <c r="AC120" s="6" t="e">
        <f t="shared" si="95"/>
        <v>#NAME?</v>
      </c>
      <c r="AD120" s="6" t="e">
        <f t="shared" si="95"/>
        <v>#NULL!</v>
      </c>
      <c r="AE120" s="6" t="e">
        <f t="shared" si="95"/>
        <v>#NUM!</v>
      </c>
      <c r="AF120" s="6" t="e">
        <f t="shared" si="95"/>
        <v>#REF!</v>
      </c>
      <c r="AG120" s="6">
        <f t="array" ref="AG120">_xlfn.WEIBULL.DIST(C120:Q120,3,3,1)</f>
        <v>0</v>
      </c>
      <c r="AH120" s="6">
        <f t="array" ref="AH120:AW120">_xlfn.WEIBULL.DIST(C120:Q120,3,4,1)</f>
        <v>0</v>
      </c>
      <c r="AI120" s="6" t="e">
        <v>#NUM!</v>
      </c>
      <c r="AJ120" s="6">
        <v>5.3450391715986721E-3</v>
      </c>
      <c r="AK120" s="6">
        <v>0.34418398872849854</v>
      </c>
      <c r="AL120" s="6">
        <v>0.63212055882855767</v>
      </c>
      <c r="AM120" s="6">
        <v>0</v>
      </c>
      <c r="AN120" s="6">
        <v>1</v>
      </c>
      <c r="AO120" s="6">
        <v>1.5503562994591602E-2</v>
      </c>
      <c r="AP120" s="6" t="e">
        <v>#VALUE!</v>
      </c>
      <c r="AQ120" s="6" t="e">
        <v>#N/A</v>
      </c>
      <c r="AR120" s="6" t="e">
        <v>#DIV/0!</v>
      </c>
      <c r="AS120" s="6" t="e">
        <v>#NAME?</v>
      </c>
      <c r="AT120" s="6" t="e">
        <v>#NULL!</v>
      </c>
      <c r="AU120" s="6" t="e">
        <v>#NUM!</v>
      </c>
      <c r="AV120" s="6" t="e">
        <v>#REF!</v>
      </c>
      <c r="AW120" s="4" t="e">
        <v>#N/A</v>
      </c>
    </row>
    <row r="121" spans="1:49" x14ac:dyDescent="0.15">
      <c r="A121" s="35" t="s">
        <v>205</v>
      </c>
      <c r="B121" s="36" t="s">
        <v>541</v>
      </c>
      <c r="C121" s="4">
        <v>10</v>
      </c>
      <c r="D121" s="4">
        <v>3.2</v>
      </c>
      <c r="E121" s="4">
        <v>0.7</v>
      </c>
      <c r="F121" s="4">
        <v>2</v>
      </c>
      <c r="G121" s="4">
        <v>4</v>
      </c>
      <c r="H121" s="6"/>
      <c r="I121" s="16" t="s">
        <v>785</v>
      </c>
      <c r="J121" s="6" t="b">
        <v>1</v>
      </c>
      <c r="K121" s="6" t="e">
        <v>#VALUE!</v>
      </c>
      <c r="L121" s="6" t="e">
        <v>#N/A</v>
      </c>
      <c r="M121" s="7" t="e">
        <v>#DIV/0!</v>
      </c>
      <c r="N121" s="7" t="e">
        <v>#NAME?</v>
      </c>
      <c r="O121" s="7" t="e">
        <v>#NULL!</v>
      </c>
      <c r="P121" s="7" t="e">
        <v>#NUM!</v>
      </c>
      <c r="Q121" s="7" t="e">
        <v>#REF!</v>
      </c>
      <c r="R121" s="18">
        <f>_xlfn.Z.TEST(C120:D121,E121)</f>
        <v>0.13853080871747964</v>
      </c>
      <c r="S121" s="6">
        <f>_xlfn.Z.TEST(D121:E121,E121,3)</f>
        <v>0.27784489514139721</v>
      </c>
      <c r="T121" s="6">
        <f>_xlfn.Z.TEST(E121:F121,G121, 2)</f>
        <v>0.96952327472253352</v>
      </c>
      <c r="U121" s="6" t="e">
        <f>_xlfn.Z.TEST(D121:E121,F121,0)</f>
        <v>#NUM!</v>
      </c>
      <c r="V121" s="6" t="e">
        <f>_xlfn.Z.TEST(G121:I121,H121,2)</f>
        <v>#DIV/0!</v>
      </c>
      <c r="W121" s="6">
        <f>_xlfn.Z.TEST(F121:I121,J121)</f>
        <v>2.2750131948179191E-2</v>
      </c>
      <c r="X121" s="6" t="e">
        <f>_xlfn.Z.TEST(I121:J121,K121)</f>
        <v>#VALUE!</v>
      </c>
      <c r="Y121" s="6" t="e">
        <f t="shared" ref="Y121:AF121" si="96">_xlfn.Z.TEST(J121:K121,L121)</f>
        <v>#N/A</v>
      </c>
      <c r="Z121" s="6" t="e">
        <f>_xlfn.Z.TEST(K121:L121,M121)</f>
        <v>#DIV/0!</v>
      </c>
      <c r="AA121" s="6" t="e">
        <f>_xlfn.Z.TEST(L121:M121,O121,N121)</f>
        <v>#NULL!</v>
      </c>
      <c r="AB121" s="6" t="e">
        <f>_xlfn.Z.TEST(M121:N121,3,N121)</f>
        <v>#NAME?</v>
      </c>
      <c r="AC121" s="6" t="e">
        <f t="shared" si="96"/>
        <v>#NUM!</v>
      </c>
      <c r="AD121" s="6" t="e">
        <f t="shared" si="96"/>
        <v>#REF!</v>
      </c>
      <c r="AE121" s="6" t="e">
        <f t="shared" si="96"/>
        <v>#NUM!</v>
      </c>
      <c r="AF121" s="6" t="e">
        <f t="shared" si="96"/>
        <v>#REF!</v>
      </c>
      <c r="AG121" s="6">
        <f t="array" ref="AG121">_xlfn.Z.TEST(C120:D121, F120:G121,2)</f>
        <v>0.39165811915360504</v>
      </c>
      <c r="AH121" s="71">
        <f t="array" ref="AH121:AW121">_xlfn.Z.TEST(C119:E121, C121:J121)</f>
        <v>0.99999998303747872</v>
      </c>
      <c r="AI121" s="6">
        <v>0.93659121275835422</v>
      </c>
      <c r="AJ121" s="6">
        <v>0.52341324068902062</v>
      </c>
      <c r="AK121" s="6">
        <v>0.7944923710502152</v>
      </c>
      <c r="AL121" s="6">
        <v>0.97706288732660052</v>
      </c>
      <c r="AM121" s="6">
        <v>0.3622945967610543</v>
      </c>
      <c r="AN121" s="6">
        <v>0.99999999999983502</v>
      </c>
      <c r="AO121" s="6">
        <v>0.59285220224955404</v>
      </c>
      <c r="AP121" s="6" t="e">
        <v>#N/A</v>
      </c>
      <c r="AQ121" s="6" t="e">
        <v>#N/A</v>
      </c>
      <c r="AR121" s="6" t="e">
        <v>#N/A</v>
      </c>
      <c r="AS121" s="6" t="e">
        <v>#N/A</v>
      </c>
      <c r="AT121" s="6" t="e">
        <v>#N/A</v>
      </c>
      <c r="AU121" s="6" t="e">
        <v>#N/A</v>
      </c>
      <c r="AV121" s="6" t="e">
        <v>#N/A</v>
      </c>
      <c r="AW121" s="4" t="e">
        <v>#N/A</v>
      </c>
    </row>
    <row r="124" spans="1:49" ht="15" x14ac:dyDescent="0.2">
      <c r="D124" s="72"/>
    </row>
    <row r="148" spans="1:4" x14ac:dyDescent="0.15">
      <c r="A148" s="75"/>
      <c r="B148" s="76"/>
      <c r="C148" s="73"/>
      <c r="D148" s="73"/>
    </row>
  </sheetData>
  <mergeCells count="15">
    <mergeCell ref="B113:B114"/>
    <mergeCell ref="A113:A114"/>
    <mergeCell ref="A107:A112"/>
    <mergeCell ref="B107:B112"/>
    <mergeCell ref="A69:A70"/>
    <mergeCell ref="B69:B70"/>
    <mergeCell ref="C1:Q1"/>
    <mergeCell ref="A51:A52"/>
    <mergeCell ref="B51:B52"/>
    <mergeCell ref="R1:AW1"/>
    <mergeCell ref="C2:G2"/>
    <mergeCell ref="K2:Q2"/>
    <mergeCell ref="R2:V2"/>
    <mergeCell ref="Z2:AF2"/>
    <mergeCell ref="AH2:AW2"/>
  </mergeCells>
  <phoneticPr fontId="5" type="noConversion"/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/>
  <dimension ref="A1:BK55"/>
  <sheetViews>
    <sheetView zoomScale="172" zoomScaleNormal="100" workbookViewId="0">
      <selection activeCell="B1" sqref="B1"/>
    </sheetView>
  </sheetViews>
  <sheetFormatPr baseColWidth="10" defaultColWidth="10.83203125" defaultRowHeight="11" x14ac:dyDescent="0.15"/>
  <cols>
    <col min="1" max="1" width="9.33203125" style="42" bestFit="1" customWidth="1"/>
    <col min="2" max="2" width="5.33203125" style="41" bestFit="1" customWidth="1"/>
    <col min="3" max="6" width="5.6640625" style="4" bestFit="1" customWidth="1"/>
    <col min="7" max="7" width="2" style="4" bestFit="1" customWidth="1"/>
    <col min="8" max="10" width="5.6640625" style="4" bestFit="1" customWidth="1"/>
    <col min="11" max="11" width="5.83203125" style="4" bestFit="1" customWidth="1"/>
    <col min="12" max="12" width="4.1640625" style="4" bestFit="1" customWidth="1"/>
    <col min="13" max="13" width="5.6640625" style="4" bestFit="1" customWidth="1"/>
    <col min="14" max="14" width="5.83203125" style="4" bestFit="1" customWidth="1"/>
    <col min="15" max="15" width="4.83203125" style="4" bestFit="1" customWidth="1"/>
    <col min="16" max="16" width="5.6640625" style="4" bestFit="1" customWidth="1"/>
    <col min="17" max="17" width="4.1640625" style="4" bestFit="1" customWidth="1"/>
    <col min="18" max="18" width="6.83203125" style="4" customWidth="1"/>
    <col min="19" max="19" width="8.33203125" style="4" customWidth="1"/>
    <col min="20" max="22" width="6.83203125" style="4" customWidth="1"/>
    <col min="23" max="23" width="6.5" style="4" bestFit="1" customWidth="1"/>
    <col min="24" max="24" width="5.83203125" style="4" bestFit="1" customWidth="1"/>
    <col min="25" max="25" width="5.6640625" style="4" bestFit="1" customWidth="1"/>
    <col min="26" max="26" width="5.83203125" style="4" bestFit="1" customWidth="1"/>
    <col min="27" max="27" width="3.83203125" style="4" bestFit="1" customWidth="1"/>
    <col min="28" max="28" width="5.6640625" style="4" bestFit="1" customWidth="1"/>
    <col min="29" max="29" width="5.83203125" style="4" bestFit="1" customWidth="1"/>
    <col min="30" max="30" width="4.83203125" style="4" bestFit="1" customWidth="1"/>
    <col min="31" max="31" width="5" style="4" bestFit="1" customWidth="1"/>
    <col min="32" max="32" width="5.1640625" style="4" bestFit="1" customWidth="1"/>
    <col min="33" max="33" width="10.5" style="4" bestFit="1" customWidth="1"/>
    <col min="34" max="36" width="5.83203125" style="4" bestFit="1" customWidth="1"/>
    <col min="37" max="43" width="6" style="4" bestFit="1" customWidth="1"/>
    <col min="44" max="44" width="5.5" style="4" bestFit="1" customWidth="1"/>
    <col min="45" max="45" width="5.83203125" style="4" bestFit="1" customWidth="1"/>
    <col min="46" max="46" width="5.1640625" style="4" bestFit="1" customWidth="1"/>
    <col min="47" max="47" width="5.33203125" style="4" bestFit="1" customWidth="1"/>
    <col min="48" max="48" width="5.83203125" style="4" bestFit="1" customWidth="1"/>
    <col min="49" max="49" width="5.1640625" style="4" bestFit="1" customWidth="1"/>
    <col min="50" max="16384" width="10.83203125" style="4"/>
  </cols>
  <sheetData>
    <row r="1" spans="1:63" x14ac:dyDescent="0.15">
      <c r="A1" s="42" t="s">
        <v>542</v>
      </c>
      <c r="B1" s="80">
        <f>COUNTIF(B3:B265,"=DONE")/COUNTA(A3:A265)</f>
        <v>0.88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63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63" x14ac:dyDescent="0.15">
      <c r="A3" s="105" t="s">
        <v>504</v>
      </c>
      <c r="B3" s="106" t="s">
        <v>541</v>
      </c>
      <c r="C3" s="4">
        <v>0</v>
      </c>
      <c r="D3" s="4">
        <v>1.9</v>
      </c>
      <c r="E3" s="4">
        <v>2.2999999999999998</v>
      </c>
      <c r="F3" s="4">
        <v>10</v>
      </c>
      <c r="G3" s="4">
        <v>-1</v>
      </c>
      <c r="H3" s="6"/>
      <c r="I3" s="16" t="s">
        <v>537</v>
      </c>
      <c r="J3" s="6" t="b">
        <v>1</v>
      </c>
      <c r="K3" s="6" t="e">
        <f>#VALUE!</f>
        <v>#VALUE!</v>
      </c>
      <c r="L3" s="6" t="e">
        <v>#N/A</v>
      </c>
      <c r="M3" s="7" t="e">
        <v>#DIV/0!</v>
      </c>
      <c r="N3" s="7" t="e">
        <v>#NAME?</v>
      </c>
      <c r="O3" s="7" t="e">
        <v>#NULL!</v>
      </c>
      <c r="P3" s="7" t="e">
        <v>#NUM!</v>
      </c>
      <c r="Q3" s="7" t="e">
        <v>#REF!</v>
      </c>
      <c r="R3" s="4" t="str">
        <f>_xlfn.ARRAYTOTEXT(C3:D4,0)</f>
        <v>0, 1.9, 0, 1.9</v>
      </c>
      <c r="S3" s="4" t="str">
        <f>_xlfn.ARRAYTOTEXT(D3:E4,0)</f>
        <v>1.9, 2.3, 1.9, 2.3</v>
      </c>
      <c r="T3" s="4" t="str">
        <f>_xlfn.ARRAYTOTEXT(E3:E4,0)</f>
        <v>2.3, 2.3</v>
      </c>
      <c r="U3" s="4" t="str">
        <f>_xlfn.ARRAYTOTEXT(G3,0)</f>
        <v>-1</v>
      </c>
      <c r="V3" s="4" t="str">
        <f>_xlfn.ARRAYTOTEXT(H3:H4,0)</f>
        <v xml:space="preserve">, </v>
      </c>
      <c r="W3" s="4" t="str">
        <f t="shared" ref="W3:AE3" si="0">_xlfn.ARRAYTOTEXT(H3:I3,0)</f>
        <v>, 1987-08-26</v>
      </c>
      <c r="X3" s="4" t="str">
        <f t="shared" si="0"/>
        <v>1987-08-26, TRUE</v>
      </c>
      <c r="Y3" s="4" t="str">
        <f t="shared" si="0"/>
        <v>TRUE, #VALUE!</v>
      </c>
      <c r="Z3" s="4" t="str">
        <f t="shared" si="0"/>
        <v>#VALUE!, #N/A</v>
      </c>
      <c r="AA3" s="4" t="str">
        <f t="shared" si="0"/>
        <v>#N/A, #DIV/0!</v>
      </c>
      <c r="AB3" s="4" t="str">
        <f t="shared" si="0"/>
        <v>#DIV/0!, #NAME?</v>
      </c>
      <c r="AC3" s="4" t="str">
        <f t="shared" si="0"/>
        <v>#NAME?, #NULL!</v>
      </c>
      <c r="AD3" s="4" t="str">
        <f t="shared" si="0"/>
        <v>#NULL!, #NUM!</v>
      </c>
      <c r="AE3" s="4" t="str">
        <f t="shared" si="0"/>
        <v>#NUM!, #REF!</v>
      </c>
      <c r="AF3" s="4" t="str">
        <f>_xlfn.ARRAYTOTEXT(Q3:R3,0)</f>
        <v>#REF!, 0, 1.9, 0, 1.9</v>
      </c>
      <c r="AG3" s="4" t="str">
        <f t="array" ref="AG3">_xlfn.ARRAYTOTEXT(Q3:R3,{0,1})</f>
        <v>#REF!, 0, 1.9, 0, 1.9</v>
      </c>
      <c r="AH3" s="4" t="str">
        <f t="array" ref="AH3:AW3">_xlfn.ARRAYTOTEXT(C3:J3,C3:Q3)</f>
        <v>0, 1.9, 2.3, 10, -1, , 1987-08-26, TRUE</v>
      </c>
      <c r="AI3" s="4" t="str">
        <v>{0,1.9,2.3,10,-1,,"1987-08-26",TRUE}</v>
      </c>
      <c r="AJ3" s="4" t="e">
        <v>#VALUE!</v>
      </c>
      <c r="AK3" s="4" t="e">
        <v>#VALUE!</v>
      </c>
      <c r="AL3" s="4" t="e">
        <v>#VALUE!</v>
      </c>
      <c r="AM3" s="4" t="str">
        <v>0, 1.9, 2.3, 10, -1, , 1987-08-26, TRUE</v>
      </c>
      <c r="AN3" s="4" t="e">
        <v>#VALUE!</v>
      </c>
      <c r="AO3" s="4" t="str">
        <v>{0,1.9,2.3,10,-1,,"1987-08-26",TRUE}</v>
      </c>
      <c r="AP3" s="4" t="e">
        <v>#VALUE!</v>
      </c>
      <c r="AQ3" s="4" t="e">
        <v>#N/A</v>
      </c>
      <c r="AR3" s="4" t="e">
        <v>#DIV/0!</v>
      </c>
      <c r="AS3" s="4" t="e">
        <v>#NAME?</v>
      </c>
      <c r="AT3" s="4" t="e">
        <v>#NULL!</v>
      </c>
      <c r="AU3" s="4" t="e">
        <v>#NUM!</v>
      </c>
      <c r="AV3" s="4" t="e">
        <v>#REF!</v>
      </c>
      <c r="AW3" s="4" t="e">
        <v>#N/A</v>
      </c>
    </row>
    <row r="4" spans="1:63" x14ac:dyDescent="0.15">
      <c r="A4" s="102"/>
      <c r="B4" s="100"/>
      <c r="C4" s="4">
        <v>0</v>
      </c>
      <c r="D4" s="4">
        <v>1.9</v>
      </c>
      <c r="E4" s="4">
        <v>2.2999999999999998</v>
      </c>
      <c r="F4" s="4">
        <v>10</v>
      </c>
      <c r="G4" s="4">
        <v>-1</v>
      </c>
      <c r="H4" s="6"/>
      <c r="I4" s="16" t="s">
        <v>446</v>
      </c>
      <c r="J4" s="6" t="b">
        <v>1</v>
      </c>
      <c r="K4" s="6" t="e">
        <f>#VALUE!</f>
        <v>#VALUE!</v>
      </c>
      <c r="L4" s="6" t="e">
        <v>#N/A</v>
      </c>
      <c r="M4" s="7" t="e">
        <v>#DIV/0!</v>
      </c>
      <c r="N4" s="7" t="e">
        <v>#NAME?</v>
      </c>
      <c r="O4" s="7" t="e">
        <v>#NULL!</v>
      </c>
      <c r="P4" s="7" t="e">
        <v>#NUM!</v>
      </c>
      <c r="Q4" s="7" t="e">
        <v>#REF!</v>
      </c>
      <c r="R4" s="4" t="e">
        <f>_xlfn.ARRAYTOTEXT(C4:D4,2)</f>
        <v>#VALUE!</v>
      </c>
      <c r="S4" s="4" t="str">
        <f>_xlfn.ARRAYTOTEXT(D3:E4,1)</f>
        <v>{1.9,2.3;1.9,2.3}</v>
      </c>
      <c r="T4" s="4" t="str">
        <f>_xlfn.ARRAYTOTEXT(E3:E4,1)</f>
        <v>{2.3;2.3}</v>
      </c>
      <c r="U4" s="4" t="str">
        <f>_xlfn.ARRAYTOTEXT(F4:G4,1)</f>
        <v>{10,-1}</v>
      </c>
      <c r="V4" s="4" t="e">
        <f>_xlfn.ARRAYTOTEXT(H4,1)</f>
        <v>#VALUE!</v>
      </c>
      <c r="W4" s="4" t="str">
        <f>_xlfn.ARRAYTOTEXT(I4,1)</f>
        <v>{""}</v>
      </c>
      <c r="X4" s="4" t="str">
        <f>_xlfn.ARRAYTOTEXT(I4:J4,1)</f>
        <v>{"",TRUE}</v>
      </c>
      <c r="Y4" s="4" t="str">
        <f>_xlfn.ARRAYTOTEXT(J4:K4,1)</f>
        <v>{TRUE,#VALUE!}</v>
      </c>
      <c r="Z4" s="4" t="str">
        <f t="shared" ref="Z4:AE4" si="1">_xlfn.ARRAYTOTEXT(K4:L4,0.9)</f>
        <v>#VALUE!, #N/A</v>
      </c>
      <c r="AA4" s="4" t="str">
        <f t="shared" si="1"/>
        <v>#N/A, #DIV/0!</v>
      </c>
      <c r="AB4" s="4" t="str">
        <f t="shared" si="1"/>
        <v>#DIV/0!, #NAME?</v>
      </c>
      <c r="AC4" s="4" t="str">
        <f t="shared" si="1"/>
        <v>#NAME?, #NULL!</v>
      </c>
      <c r="AD4" s="4" t="str">
        <f t="shared" si="1"/>
        <v>#NULL!, #NUM!</v>
      </c>
      <c r="AE4" s="4" t="str">
        <f t="shared" si="1"/>
        <v>#NUM!, #REF!</v>
      </c>
      <c r="AF4" s="4" t="str">
        <f>_xlfn.ARRAYTOTEXT(Q4:R4,0.9)</f>
        <v>#REF!, #VALUE!</v>
      </c>
      <c r="AG4" s="4" t="str">
        <f t="array" ref="AG4">_xlfn.ARRAYTOTEXT(C4:Q4,C4:D4)</f>
        <v>0, 1.9, 2.3, 10, -1, , , TRUE, #VALUE!, #N/A, #DIV/0!, #NAME?, #NULL!, #NUM!, #REF!</v>
      </c>
      <c r="AH4" s="4" t="str">
        <f t="array" ref="AH4:AW4">_xlfn.ARRAYTOTEXT(C4:Q4,1)</f>
        <v>{0,1.9,2.3,10,-1,,"",TRUE,#VALUE!,#N/A,#DIV/0!,#NAME?,#NULL!,#NUM!,#REF!}</v>
      </c>
      <c r="AI4" s="4" t="str">
        <v>{0,1.9,2.3,10,-1,,"",TRUE,#VALUE!,#N/A,#DIV/0!,#NAME?,#NULL!,#NUM!,#REF!}</v>
      </c>
      <c r="AJ4" s="4" t="str">
        <v>{0,1.9,2.3,10,-1,,"",TRUE,#VALUE!,#N/A,#DIV/0!,#NAME?,#NULL!,#NUM!,#REF!}</v>
      </c>
      <c r="AK4" s="4" t="str">
        <v>{0,1.9,2.3,10,-1,,"",TRUE,#VALUE!,#N/A,#DIV/0!,#NAME?,#NULL!,#NUM!,#REF!}</v>
      </c>
      <c r="AL4" s="4" t="str">
        <v>{0,1.9,2.3,10,-1,,"",TRUE,#VALUE!,#N/A,#DIV/0!,#NAME?,#NULL!,#NUM!,#REF!}</v>
      </c>
      <c r="AM4" s="4" t="str">
        <v>{0,1.9,2.3,10,-1,,"",TRUE,#VALUE!,#N/A,#DIV/0!,#NAME?,#NULL!,#NUM!,#REF!}</v>
      </c>
      <c r="AN4" s="4" t="str">
        <v>{0,1.9,2.3,10,-1,,"",TRUE,#VALUE!,#N/A,#DIV/0!,#NAME?,#NULL!,#NUM!,#REF!}</v>
      </c>
      <c r="AO4" s="4" t="str">
        <v>{0,1.9,2.3,10,-1,,"",TRUE,#VALUE!,#N/A,#DIV/0!,#NAME?,#NULL!,#NUM!,#REF!}</v>
      </c>
      <c r="AP4" s="4" t="str">
        <v>{0,1.9,2.3,10,-1,,"",TRUE,#VALUE!,#N/A,#DIV/0!,#NAME?,#NULL!,#NUM!,#REF!}</v>
      </c>
      <c r="AQ4" s="4" t="str">
        <v>{0,1.9,2.3,10,-1,,"",TRUE,#VALUE!,#N/A,#DIV/0!,#NAME?,#NULL!,#NUM!,#REF!}</v>
      </c>
      <c r="AR4" s="4" t="str">
        <v>{0,1.9,2.3,10,-1,,"",TRUE,#VALUE!,#N/A,#DIV/0!,#NAME?,#NULL!,#NUM!,#REF!}</v>
      </c>
      <c r="AS4" s="4" t="str">
        <v>{0,1.9,2.3,10,-1,,"",TRUE,#VALUE!,#N/A,#DIV/0!,#NAME?,#NULL!,#NUM!,#REF!}</v>
      </c>
      <c r="AT4" s="4" t="str">
        <v>{0,1.9,2.3,10,-1,,"",TRUE,#VALUE!,#N/A,#DIV/0!,#NAME?,#NULL!,#NUM!,#REF!}</v>
      </c>
      <c r="AU4" s="4" t="str">
        <v>{0,1.9,2.3,10,-1,,"",TRUE,#VALUE!,#N/A,#DIV/0!,#NAME?,#NULL!,#NUM!,#REF!}</v>
      </c>
      <c r="AV4" s="4" t="str">
        <v>{0,1.9,2.3,10,-1,,"",TRUE,#VALUE!,#N/A,#DIV/0!,#NAME?,#NULL!,#NUM!,#REF!}</v>
      </c>
      <c r="AW4" s="4" t="str">
        <v>{0,1.9,2.3,10,-1,,"",TRUE,#VALUE!,#N/A,#DIV/0!,#NAME?,#NULL!,#NUM!,#REF!}</v>
      </c>
    </row>
    <row r="5" spans="1:63" x14ac:dyDescent="0.15">
      <c r="A5" s="35" t="s">
        <v>281</v>
      </c>
      <c r="B5" s="36" t="s">
        <v>541</v>
      </c>
      <c r="C5" s="4">
        <v>0</v>
      </c>
      <c r="D5" s="4">
        <v>157</v>
      </c>
      <c r="E5" s="4">
        <v>65</v>
      </c>
      <c r="F5" s="4">
        <v>65.8</v>
      </c>
      <c r="G5" s="4">
        <v>-1</v>
      </c>
      <c r="H5" s="16"/>
      <c r="I5" s="6" t="s">
        <v>32</v>
      </c>
      <c r="J5" s="6" t="b">
        <v>1</v>
      </c>
      <c r="K5" s="6" t="e">
        <f>#VALUE!</f>
        <v>#VALUE!</v>
      </c>
      <c r="L5" s="6" t="e">
        <v>#N/A</v>
      </c>
      <c r="M5" s="7" t="e">
        <v>#DIV/0!</v>
      </c>
      <c r="N5" s="7" t="e">
        <v>#NAME?</v>
      </c>
      <c r="O5" s="7" t="e">
        <v>#NULL!</v>
      </c>
      <c r="P5" s="7" t="e">
        <v>#NUM!</v>
      </c>
      <c r="Q5" s="7" t="e">
        <v>#REF!</v>
      </c>
      <c r="R5" s="4" t="str">
        <f>ASC(C5)</f>
        <v>0</v>
      </c>
      <c r="S5" s="4" t="str">
        <f t="shared" ref="S5:AF5" si="2">ASC(D5)</f>
        <v>157</v>
      </c>
      <c r="T5" s="4" t="str">
        <f t="shared" si="2"/>
        <v>65</v>
      </c>
      <c r="U5" s="4" t="str">
        <f t="shared" si="2"/>
        <v>65.8</v>
      </c>
      <c r="V5" s="4" t="str">
        <f t="shared" si="2"/>
        <v>-1</v>
      </c>
      <c r="W5" s="4" t="str">
        <f t="shared" si="2"/>
        <v/>
      </c>
      <c r="X5" s="4" t="str">
        <f t="shared" si="2"/>
        <v>ciao</v>
      </c>
      <c r="Y5" s="4" t="str">
        <f>ASC(J5)</f>
        <v>TRUE</v>
      </c>
      <c r="Z5" s="4" t="e">
        <f t="shared" si="2"/>
        <v>#VALUE!</v>
      </c>
      <c r="AA5" s="4" t="e">
        <f t="shared" si="2"/>
        <v>#N/A</v>
      </c>
      <c r="AB5" s="4" t="e">
        <f t="shared" si="2"/>
        <v>#DIV/0!</v>
      </c>
      <c r="AC5" s="4" t="e">
        <f t="shared" si="2"/>
        <v>#NAME?</v>
      </c>
      <c r="AD5" s="4" t="e">
        <f t="shared" si="2"/>
        <v>#NULL!</v>
      </c>
      <c r="AE5" s="4" t="e">
        <f t="shared" si="2"/>
        <v>#NUM!</v>
      </c>
      <c r="AF5" s="4" t="e">
        <f t="shared" si="2"/>
        <v>#REF!</v>
      </c>
      <c r="AG5" s="4" t="str">
        <f t="array" ref="AG5">ASC(C5:Q5)</f>
        <v>0</v>
      </c>
      <c r="AH5" s="4" t="str">
        <f t="array" ref="AH5:AW5">ASC(C5:Q5)</f>
        <v>0</v>
      </c>
      <c r="AI5" s="4" t="str">
        <v>157</v>
      </c>
      <c r="AJ5" s="4" t="str">
        <v>65</v>
      </c>
      <c r="AK5" s="4" t="str">
        <v>65.8</v>
      </c>
      <c r="AL5" s="4" t="str">
        <v>-1</v>
      </c>
      <c r="AM5" s="4" t="str">
        <v/>
      </c>
      <c r="AN5" s="4" t="str">
        <v>ciao</v>
      </c>
      <c r="AO5" s="4" t="str">
        <v>TRUE</v>
      </c>
      <c r="AP5" s="4" t="e">
        <v>#VALUE!</v>
      </c>
      <c r="AQ5" s="4" t="e">
        <v>#N/A</v>
      </c>
      <c r="AR5" s="4" t="e">
        <v>#DIV/0!</v>
      </c>
      <c r="AS5" s="4" t="e">
        <v>#NAME?</v>
      </c>
      <c r="AT5" s="4" t="e">
        <v>#NULL!</v>
      </c>
      <c r="AU5" s="4" t="e">
        <v>#NUM!</v>
      </c>
      <c r="AV5" s="4" t="e">
        <v>#REF!</v>
      </c>
      <c r="AW5" s="4" t="e">
        <v>#N/A</v>
      </c>
    </row>
    <row r="6" spans="1:63" x14ac:dyDescent="0.15">
      <c r="A6" s="35" t="s">
        <v>282</v>
      </c>
      <c r="B6" s="36" t="s">
        <v>541</v>
      </c>
      <c r="C6" s="4">
        <v>0</v>
      </c>
      <c r="D6" s="4">
        <v>157</v>
      </c>
      <c r="E6" s="4">
        <v>65</v>
      </c>
      <c r="F6" s="4">
        <v>65.8</v>
      </c>
      <c r="G6" s="4">
        <v>-1</v>
      </c>
      <c r="H6" s="16"/>
      <c r="I6" s="6" t="s">
        <v>32</v>
      </c>
      <c r="J6" s="6" t="b">
        <v>1</v>
      </c>
      <c r="K6" s="6" t="e">
        <f>#VALUE!</f>
        <v>#VALUE!</v>
      </c>
      <c r="L6" s="6" t="e">
        <v>#N/A</v>
      </c>
      <c r="M6" s="7" t="e">
        <v>#DIV/0!</v>
      </c>
      <c r="N6" s="7" t="e">
        <v>#NAME?</v>
      </c>
      <c r="O6" s="7" t="e">
        <v>#NULL!</v>
      </c>
      <c r="P6" s="7" t="e">
        <v>#NUM!</v>
      </c>
      <c r="Q6" s="7" t="e">
        <v>#REF!</v>
      </c>
      <c r="R6" s="4" t="str">
        <f>BAHTTEXT(C6)</f>
        <v>ศูนย์บาทถ้วน</v>
      </c>
      <c r="S6" s="4" t="str">
        <f t="shared" ref="S6:AF6" si="3">BAHTTEXT(D6)</f>
        <v>หนึ่งร้อยห้าสิบเจ็ดบาทถ้วน</v>
      </c>
      <c r="T6" s="4" t="str">
        <f t="shared" si="3"/>
        <v>หกสิบห้าบาทถ้วน</v>
      </c>
      <c r="U6" s="4" t="str">
        <f t="shared" si="3"/>
        <v>หกสิบห้าบาทแปดสิบสตางค์</v>
      </c>
      <c r="V6" s="4" t="str">
        <f t="shared" si="3"/>
        <v>ลบหนึ่งบาทถ้วน</v>
      </c>
      <c r="W6" s="4" t="str">
        <f t="shared" si="3"/>
        <v>ศูนย์บาทถ้วน</v>
      </c>
      <c r="X6" s="4" t="e" vm="114">
        <f t="shared" si="3"/>
        <v>#VALUE!</v>
      </c>
      <c r="Y6" s="4" t="str">
        <f t="shared" si="3"/>
        <v>หนึ่งบาทถ้วน</v>
      </c>
      <c r="Z6" s="4" t="e">
        <f t="shared" si="3"/>
        <v>#VALUE!</v>
      </c>
      <c r="AA6" s="4" t="e">
        <f t="shared" si="3"/>
        <v>#N/A</v>
      </c>
      <c r="AB6" s="4" t="e">
        <f>BAHTTEXT(M6)</f>
        <v>#DIV/0!</v>
      </c>
      <c r="AC6" s="4" t="e">
        <f t="shared" si="3"/>
        <v>#NAME?</v>
      </c>
      <c r="AD6" s="4" t="e">
        <f t="shared" si="3"/>
        <v>#NULL!</v>
      </c>
      <c r="AE6" s="4" t="e">
        <f t="shared" si="3"/>
        <v>#NUM!</v>
      </c>
      <c r="AF6" s="4" t="e">
        <f t="shared" si="3"/>
        <v>#REF!</v>
      </c>
      <c r="AG6" s="4" t="str">
        <f t="array" ref="AG6">BAHTTEXT(C6:Q6)</f>
        <v>ศูนย์บาทถ้วน</v>
      </c>
      <c r="AH6" s="4" t="str">
        <f t="array" ref="AH6:AW6">BAHTTEXT(C6:Q6)</f>
        <v>ศูนย์บาทถ้วน</v>
      </c>
      <c r="AI6" s="4" t="str">
        <v>หนึ่งร้อยห้าสิบเจ็ดบาทถ้วน</v>
      </c>
      <c r="AJ6" s="4" t="str">
        <v>หกสิบห้าบาทถ้วน</v>
      </c>
      <c r="AK6" s="4" t="str">
        <v>หกสิบห้าบาทแปดสิบสตางค์</v>
      </c>
      <c r="AL6" s="4" t="str">
        <v>ลบหนึ่งบาทถ้วน</v>
      </c>
      <c r="AM6" s="4" t="str">
        <v>ศูนย์บาทถ้วน</v>
      </c>
      <c r="AN6" s="4" t="e" vm="114">
        <v>#VALUE!</v>
      </c>
      <c r="AO6" s="4" t="str">
        <v>หนึ่งบาทถ้วน</v>
      </c>
      <c r="AP6" s="4" t="e">
        <v>#VALUE!</v>
      </c>
      <c r="AQ6" s="4" t="e">
        <v>#N/A</v>
      </c>
      <c r="AR6" s="4" t="e">
        <v>#DIV/0!</v>
      </c>
      <c r="AS6" s="4" t="e">
        <v>#NAME?</v>
      </c>
      <c r="AT6" s="4" t="e">
        <v>#NULL!</v>
      </c>
      <c r="AU6" s="4" t="e">
        <v>#NUM!</v>
      </c>
      <c r="AV6" s="4" t="e">
        <v>#REF!</v>
      </c>
      <c r="AW6" s="4" t="e">
        <v>#N/A</v>
      </c>
    </row>
    <row r="7" spans="1:63" x14ac:dyDescent="0.15">
      <c r="A7" s="35" t="s">
        <v>283</v>
      </c>
      <c r="B7" s="36" t="s">
        <v>541</v>
      </c>
      <c r="C7" s="4">
        <v>0</v>
      </c>
      <c r="D7" s="4">
        <v>157</v>
      </c>
      <c r="E7" s="4">
        <v>65</v>
      </c>
      <c r="F7" s="4">
        <v>65.8</v>
      </c>
      <c r="G7" s="4">
        <v>-1</v>
      </c>
      <c r="H7" s="16"/>
      <c r="I7" s="6" t="s">
        <v>32</v>
      </c>
      <c r="J7" s="6" t="b">
        <v>1</v>
      </c>
      <c r="K7" s="6" t="e">
        <f>#VALUE!</f>
        <v>#VALUE!</v>
      </c>
      <c r="L7" s="6" t="e">
        <v>#N/A</v>
      </c>
      <c r="M7" s="7" t="e">
        <v>#DIV/0!</v>
      </c>
      <c r="N7" s="7" t="e">
        <v>#NAME?</v>
      </c>
      <c r="O7" s="7" t="e">
        <v>#NULL!</v>
      </c>
      <c r="P7" s="7" t="e">
        <v>#NUM!</v>
      </c>
      <c r="Q7" s="7" t="e">
        <v>#REF!</v>
      </c>
      <c r="R7" s="6" t="e">
        <f t="shared" ref="R7:AF7" si="4">CHAR(C7)</f>
        <v>#VALUE!</v>
      </c>
      <c r="S7" s="6" t="str">
        <f>CHAR(D7)</f>
        <v>ù</v>
      </c>
      <c r="T7" s="6" t="str">
        <f t="shared" si="4"/>
        <v>A</v>
      </c>
      <c r="U7" s="6" t="str">
        <f t="shared" si="4"/>
        <v>A</v>
      </c>
      <c r="V7" s="6" t="e">
        <f t="shared" si="4"/>
        <v>#VALUE!</v>
      </c>
      <c r="W7" s="6" t="e">
        <f t="shared" si="4"/>
        <v>#VALUE!</v>
      </c>
      <c r="X7" s="6" t="e" vm="115">
        <f t="shared" si="4"/>
        <v>#VALUE!</v>
      </c>
      <c r="Y7" s="6" t="str">
        <f t="shared" si="4"/>
        <v>_x0001_</v>
      </c>
      <c r="Z7" s="6" t="e">
        <f t="shared" si="4"/>
        <v>#VALUE!</v>
      </c>
      <c r="AA7" s="6" t="e">
        <f t="shared" si="4"/>
        <v>#N/A</v>
      </c>
      <c r="AB7" s="6" t="e">
        <f t="shared" si="4"/>
        <v>#DIV/0!</v>
      </c>
      <c r="AC7" s="6" t="e">
        <f t="shared" si="4"/>
        <v>#NAME?</v>
      </c>
      <c r="AD7" s="6" t="e">
        <f t="shared" si="4"/>
        <v>#NULL!</v>
      </c>
      <c r="AE7" s="6" t="e">
        <f t="shared" si="4"/>
        <v>#NUM!</v>
      </c>
      <c r="AF7" s="6" t="e">
        <f t="shared" si="4"/>
        <v>#REF!</v>
      </c>
      <c r="AG7" s="6" t="str">
        <f t="array" ref="AG7">CHAR(D7:F7)</f>
        <v>ù</v>
      </c>
      <c r="AH7" s="6" t="e">
        <f t="array" ref="AH7:AW7">CHAR(C7:Q7)</f>
        <v>#VALUE!</v>
      </c>
      <c r="AI7" s="6" t="str">
        <v>ù</v>
      </c>
      <c r="AJ7" s="6" t="str">
        <v>A</v>
      </c>
      <c r="AK7" s="6" t="str">
        <v>A</v>
      </c>
      <c r="AL7" s="6" t="e">
        <v>#VALUE!</v>
      </c>
      <c r="AM7" s="6" t="e">
        <v>#VALUE!</v>
      </c>
      <c r="AN7" s="6" t="e" vm="115">
        <v>#VALUE!</v>
      </c>
      <c r="AO7" s="6" t="str">
        <v>_x0001_</v>
      </c>
      <c r="AP7" s="6" t="e">
        <v>#VALUE!</v>
      </c>
      <c r="AQ7" s="6" t="e">
        <v>#N/A</v>
      </c>
      <c r="AR7" s="6" t="e">
        <v>#DIV/0!</v>
      </c>
      <c r="AS7" s="6" t="e">
        <v>#NAME?</v>
      </c>
      <c r="AT7" s="6" t="e">
        <v>#NULL!</v>
      </c>
      <c r="AU7" s="6" t="e">
        <v>#NUM!</v>
      </c>
      <c r="AV7" s="6" t="e">
        <v>#REF!</v>
      </c>
      <c r="AW7" s="4" t="e">
        <v>#N/A</v>
      </c>
    </row>
    <row r="8" spans="1:63" x14ac:dyDescent="0.15">
      <c r="A8" s="35" t="s">
        <v>284</v>
      </c>
      <c r="B8" s="36" t="s">
        <v>541</v>
      </c>
      <c r="C8" s="4">
        <v>0</v>
      </c>
      <c r="D8" s="4">
        <v>157</v>
      </c>
      <c r="E8" s="4">
        <v>65</v>
      </c>
      <c r="F8" s="4">
        <v>65.8</v>
      </c>
      <c r="G8" s="4">
        <v>-1</v>
      </c>
      <c r="H8" s="16"/>
      <c r="I8" s="6" t="s">
        <v>780</v>
      </c>
      <c r="J8" s="6" t="b">
        <v>1</v>
      </c>
      <c r="K8" s="6" t="e">
        <f>#VALUE!</f>
        <v>#VALUE!</v>
      </c>
      <c r="L8" s="6" t="e">
        <v>#N/A</v>
      </c>
      <c r="M8" s="7" t="e">
        <v>#DIV/0!</v>
      </c>
      <c r="N8" s="7" t="e">
        <v>#NAME?</v>
      </c>
      <c r="O8" s="7" t="e">
        <v>#NULL!</v>
      </c>
      <c r="P8" s="7" t="e">
        <v>#NUM!</v>
      </c>
      <c r="Q8" s="7" t="e">
        <v>#REF!</v>
      </c>
      <c r="R8" s="4" t="b">
        <f>LEN(C8)&gt;LEN(CLEAN(C8))</f>
        <v>0</v>
      </c>
      <c r="S8" s="4" t="b">
        <f>LEN(D8)&gt;LEN(CLEAN(D8))</f>
        <v>0</v>
      </c>
      <c r="T8" s="4" t="b">
        <f>LEN(E8)&gt;LEN(CLEAN(E8))</f>
        <v>0</v>
      </c>
      <c r="U8" s="4" t="b">
        <f>LEN(F8)&gt;LEN(CLEAN(F8))</f>
        <v>0</v>
      </c>
      <c r="V8" s="4" t="b">
        <f>LEN(G8)&gt;LEN(CLEAN(G8))</f>
        <v>0</v>
      </c>
      <c r="W8" s="4">
        <f>LEN(CLEAN(H8))</f>
        <v>0</v>
      </c>
      <c r="X8" s="6">
        <f>LEN(I8)-LEN(CLEAN(I8))</f>
        <v>31</v>
      </c>
      <c r="Y8" s="4" t="str">
        <f>(CLEAN(J8))</f>
        <v>TRUE</v>
      </c>
      <c r="Z8" s="4" t="e">
        <f t="shared" ref="Z8:AF8" si="5">LEN(K8)&gt;LEN(CLEAN(K8))</f>
        <v>#VALUE!</v>
      </c>
      <c r="AA8" s="4" t="e">
        <f t="shared" si="5"/>
        <v>#N/A</v>
      </c>
      <c r="AB8" s="4" t="e">
        <f t="shared" si="5"/>
        <v>#DIV/0!</v>
      </c>
      <c r="AC8" s="4" t="e">
        <f t="shared" si="5"/>
        <v>#NAME?</v>
      </c>
      <c r="AD8" s="4" t="e">
        <f t="shared" si="5"/>
        <v>#NULL!</v>
      </c>
      <c r="AE8" s="4" t="e">
        <f t="shared" si="5"/>
        <v>#NUM!</v>
      </c>
      <c r="AF8" s="4" t="e">
        <f t="shared" si="5"/>
        <v>#REF!</v>
      </c>
      <c r="AG8" s="4" t="str">
        <f t="array" ref="AG8">CLEAN(C8:Q8)</f>
        <v>0</v>
      </c>
      <c r="AH8" s="4" t="str">
        <f t="array" ref="AH8:AW8">CLEAN(C8:Q8)</f>
        <v>0</v>
      </c>
      <c r="AI8" s="4" t="str">
        <v>157</v>
      </c>
      <c r="AJ8" s="4" t="str">
        <v>65</v>
      </c>
      <c r="AK8" s="4" t="str">
        <v>65.8</v>
      </c>
      <c r="AL8" s="4" t="str">
        <v>-1</v>
      </c>
      <c r="AM8" s="4" t="str">
        <v/>
      </c>
      <c r="AN8" s="4" t="str">
        <v xml:space="preserve"> !Åçèêù</v>
      </c>
      <c r="AO8" s="4" t="str">
        <v>TRUE</v>
      </c>
      <c r="AP8" s="4" t="e">
        <v>#VALUE!</v>
      </c>
      <c r="AQ8" s="4" t="e">
        <v>#N/A</v>
      </c>
      <c r="AR8" s="4" t="e">
        <v>#DIV/0!</v>
      </c>
      <c r="AS8" s="4" t="e">
        <v>#NAME?</v>
      </c>
      <c r="AT8" s="4" t="e">
        <v>#NULL!</v>
      </c>
      <c r="AU8" s="4" t="e">
        <v>#NUM!</v>
      </c>
      <c r="AV8" s="4" t="e">
        <v>#REF!</v>
      </c>
      <c r="AW8" s="4" t="e">
        <v>#N/A</v>
      </c>
    </row>
    <row r="9" spans="1:63" x14ac:dyDescent="0.15">
      <c r="A9" s="35" t="s">
        <v>285</v>
      </c>
      <c r="B9" s="36" t="s">
        <v>541</v>
      </c>
      <c r="C9" s="21">
        <v>0</v>
      </c>
      <c r="D9" s="21">
        <v>1.9</v>
      </c>
      <c r="E9" s="21">
        <v>2.2999999999999998</v>
      </c>
      <c r="F9" s="21">
        <v>10</v>
      </c>
      <c r="G9" s="21">
        <v>-1</v>
      </c>
      <c r="H9" s="6"/>
      <c r="I9" s="6" t="s">
        <v>413</v>
      </c>
      <c r="J9" s="6" t="b">
        <v>1</v>
      </c>
      <c r="K9" s="6" t="e">
        <f>#VALUE!</f>
        <v>#VALUE!</v>
      </c>
      <c r="L9" s="6" t="e">
        <v>#N/A</v>
      </c>
      <c r="M9" s="7" t="e">
        <v>#DIV/0!</v>
      </c>
      <c r="N9" s="7" t="e">
        <v>#NAME?</v>
      </c>
      <c r="O9" s="7" t="e">
        <v>#NULL!</v>
      </c>
      <c r="P9" s="7" t="e">
        <v>#NUM!</v>
      </c>
      <c r="Q9" s="7" t="e">
        <v>#REF!</v>
      </c>
      <c r="R9" s="4">
        <f t="shared" ref="R9:AF9" si="6">CODE(C9)</f>
        <v>48</v>
      </c>
      <c r="S9" s="4">
        <f t="shared" si="6"/>
        <v>49</v>
      </c>
      <c r="T9" s="4">
        <f t="shared" si="6"/>
        <v>50</v>
      </c>
      <c r="U9" s="4">
        <f t="shared" si="6"/>
        <v>49</v>
      </c>
      <c r="V9" s="4">
        <f t="shared" si="6"/>
        <v>45</v>
      </c>
      <c r="W9" s="4" t="e">
        <f t="shared" si="6"/>
        <v>#VALUE!</v>
      </c>
      <c r="X9" s="4">
        <f>CODE(I9)</f>
        <v>99</v>
      </c>
      <c r="Y9" s="4">
        <f t="shared" si="6"/>
        <v>84</v>
      </c>
      <c r="Z9" s="4" t="e">
        <f t="shared" si="6"/>
        <v>#VALUE!</v>
      </c>
      <c r="AA9" s="4" t="e">
        <f t="shared" si="6"/>
        <v>#N/A</v>
      </c>
      <c r="AB9" s="4" t="e">
        <f t="shared" si="6"/>
        <v>#DIV/0!</v>
      </c>
      <c r="AC9" s="4" t="e">
        <f t="shared" si="6"/>
        <v>#NAME?</v>
      </c>
      <c r="AD9" s="4" t="e">
        <f t="shared" si="6"/>
        <v>#NULL!</v>
      </c>
      <c r="AE9" s="4" t="e">
        <f t="shared" si="6"/>
        <v>#NUM!</v>
      </c>
      <c r="AF9" s="4" t="e">
        <f t="shared" si="6"/>
        <v>#REF!</v>
      </c>
      <c r="AG9" s="4">
        <f t="array" ref="AG9">CODE(C9:G9)</f>
        <v>48</v>
      </c>
      <c r="AH9" s="4">
        <f t="array" ref="AH9:AW9">CODE(C9:Q9)</f>
        <v>48</v>
      </c>
      <c r="AI9" s="4">
        <v>49</v>
      </c>
      <c r="AJ9" s="4">
        <v>50</v>
      </c>
      <c r="AK9" s="4">
        <v>49</v>
      </c>
      <c r="AL9" s="4">
        <v>45</v>
      </c>
      <c r="AM9" s="4" t="e">
        <v>#VALUE!</v>
      </c>
      <c r="AN9" s="4">
        <v>99</v>
      </c>
      <c r="AO9" s="4">
        <v>84</v>
      </c>
      <c r="AP9" s="4" t="e">
        <v>#VALUE!</v>
      </c>
      <c r="AQ9" s="4" t="e">
        <v>#N/A</v>
      </c>
      <c r="AR9" s="4" t="e">
        <v>#DIV/0!</v>
      </c>
      <c r="AS9" s="4" t="e">
        <v>#NAME?</v>
      </c>
      <c r="AT9" s="4" t="e">
        <v>#NULL!</v>
      </c>
      <c r="AU9" s="4" t="e">
        <v>#NUM!</v>
      </c>
      <c r="AV9" s="4" t="e">
        <v>#REF!</v>
      </c>
      <c r="AW9" s="4" t="e">
        <v>#N/A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</row>
    <row r="10" spans="1:63" x14ac:dyDescent="0.15">
      <c r="A10" s="35" t="s">
        <v>286</v>
      </c>
      <c r="B10" s="36" t="s">
        <v>541</v>
      </c>
      <c r="C10" s="4">
        <v>0</v>
      </c>
      <c r="D10" s="4">
        <v>2</v>
      </c>
      <c r="E10" s="4">
        <v>3</v>
      </c>
      <c r="F10" s="4">
        <v>10</v>
      </c>
      <c r="G10" s="4">
        <v>-1</v>
      </c>
      <c r="H10" s="6"/>
      <c r="I10" s="6" t="s">
        <v>32</v>
      </c>
      <c r="J10" s="6" t="b">
        <v>1</v>
      </c>
      <c r="K10" s="6" t="e">
        <f>#VALUE!</f>
        <v>#VALUE!</v>
      </c>
      <c r="L10" s="6" t="e">
        <v>#N/A</v>
      </c>
      <c r="M10" s="7" t="e">
        <v>#DIV/0!</v>
      </c>
      <c r="N10" s="7" t="e">
        <v>#NAME?</v>
      </c>
      <c r="O10" s="7" t="e">
        <v>#NULL!</v>
      </c>
      <c r="P10" s="7" t="e">
        <v>#NUM!</v>
      </c>
      <c r="Q10" s="7" t="e">
        <v>#REF!</v>
      </c>
      <c r="R10" s="6" t="str">
        <f t="shared" ref="R10:AF10" si="7">_xlfn.CONCAT(C10,D10,E10)</f>
        <v>023</v>
      </c>
      <c r="S10" s="6" t="str">
        <f t="shared" si="7"/>
        <v>2310</v>
      </c>
      <c r="T10" s="6" t="str">
        <f t="shared" si="7"/>
        <v>310-1</v>
      </c>
      <c r="U10" s="6" t="str">
        <f t="shared" si="7"/>
        <v>10-1</v>
      </c>
      <c r="V10" s="6" t="str">
        <f t="shared" si="7"/>
        <v>-1ciao</v>
      </c>
      <c r="W10" s="6" t="str">
        <f t="shared" si="7"/>
        <v>ciaoTRUE</v>
      </c>
      <c r="X10" s="6" t="e">
        <f t="shared" si="7"/>
        <v>#VALUE!</v>
      </c>
      <c r="Y10" s="6" t="e">
        <f t="shared" si="7"/>
        <v>#VALUE!</v>
      </c>
      <c r="Z10" s="6" t="e">
        <f t="shared" si="7"/>
        <v>#VALUE!</v>
      </c>
      <c r="AA10" s="6" t="e">
        <f t="shared" si="7"/>
        <v>#N/A</v>
      </c>
      <c r="AB10" s="6" t="e">
        <f t="shared" si="7"/>
        <v>#DIV/0!</v>
      </c>
      <c r="AC10" s="6" t="e">
        <f t="shared" si="7"/>
        <v>#NAME?</v>
      </c>
      <c r="AD10" s="6" t="e">
        <f t="shared" si="7"/>
        <v>#NULL!</v>
      </c>
      <c r="AE10" s="6" t="e">
        <f t="shared" si="7"/>
        <v>#NUM!</v>
      </c>
      <c r="AF10" s="6" t="e">
        <f t="shared" si="7"/>
        <v>#REF!</v>
      </c>
      <c r="AG10" s="6" t="str">
        <f t="array" ref="AG10">_xlfn.CONCAT(C10:J10)</f>
        <v>02310-1ciaoTRUE</v>
      </c>
      <c r="AH10" s="4" t="str">
        <f t="array" ref="AH10:AK10">_xlfn.CONCAT(C10:F10,D10:E10)</f>
        <v>0231023</v>
      </c>
      <c r="AI10" s="6" t="str">
        <v>0231023</v>
      </c>
      <c r="AJ10" s="6" t="str">
        <v>0231023</v>
      </c>
      <c r="AK10" s="6" t="str">
        <v>0231023</v>
      </c>
      <c r="AL10" s="6" t="e">
        <f t="array" ref="AL10:AW10">_xlfn.CONCAT(M10:P10,J10:K10)</f>
        <v>#DIV/0!</v>
      </c>
      <c r="AM10" s="6" t="e">
        <v>#DIV/0!</v>
      </c>
      <c r="AN10" s="6" t="e">
        <v>#DIV/0!</v>
      </c>
      <c r="AO10" s="6" t="e">
        <v>#DIV/0!</v>
      </c>
      <c r="AP10" s="6" t="e">
        <v>#DIV/0!</v>
      </c>
      <c r="AQ10" s="6" t="e">
        <v>#DIV/0!</v>
      </c>
      <c r="AR10" s="6" t="e">
        <v>#DIV/0!</v>
      </c>
      <c r="AS10" s="6" t="e">
        <v>#DIV/0!</v>
      </c>
      <c r="AT10" s="6" t="e">
        <v>#DIV/0!</v>
      </c>
      <c r="AU10" s="6" t="e">
        <v>#DIV/0!</v>
      </c>
      <c r="AV10" s="6" t="e">
        <v>#DIV/0!</v>
      </c>
      <c r="AW10" s="4" t="e">
        <v>#DIV/0!</v>
      </c>
    </row>
    <row r="11" spans="1:63" x14ac:dyDescent="0.15">
      <c r="A11" s="35" t="s">
        <v>287</v>
      </c>
      <c r="B11" s="36" t="s">
        <v>541</v>
      </c>
      <c r="C11" s="4">
        <v>0</v>
      </c>
      <c r="D11" s="4">
        <v>2</v>
      </c>
      <c r="E11" s="4">
        <v>3</v>
      </c>
      <c r="F11" s="4">
        <v>10</v>
      </c>
      <c r="G11" s="4">
        <v>-1</v>
      </c>
      <c r="H11" s="6"/>
      <c r="I11" s="6" t="s">
        <v>32</v>
      </c>
      <c r="J11" s="6" t="b">
        <v>1</v>
      </c>
      <c r="K11" s="6" t="e">
        <f>#VALUE!</f>
        <v>#VALUE!</v>
      </c>
      <c r="L11" s="6" t="e">
        <v>#N/A</v>
      </c>
      <c r="M11" s="7" t="e">
        <v>#DIV/0!</v>
      </c>
      <c r="N11" s="7" t="e">
        <v>#NAME?</v>
      </c>
      <c r="O11" s="7" t="e">
        <v>#NULL!</v>
      </c>
      <c r="P11" s="7" t="e">
        <v>#NUM!</v>
      </c>
      <c r="Q11" s="7" t="e">
        <v>#REF!</v>
      </c>
      <c r="R11" s="6" t="str">
        <f>CONCATENATE(C11,D11,E11)</f>
        <v>023</v>
      </c>
      <c r="S11" s="6" t="str">
        <f t="shared" ref="S11:Y11" si="8">CONCATENATE(D11,E11,F11)</f>
        <v>2310</v>
      </c>
      <c r="T11" s="6" t="str">
        <f t="shared" si="8"/>
        <v>310-1</v>
      </c>
      <c r="U11" s="6" t="str">
        <f t="shared" si="8"/>
        <v>10-1</v>
      </c>
      <c r="V11" s="6" t="str">
        <f t="shared" si="8"/>
        <v>-1ciao</v>
      </c>
      <c r="W11" s="6" t="str">
        <f t="shared" si="8"/>
        <v>ciaoTRUE</v>
      </c>
      <c r="X11" s="6" t="e">
        <f t="shared" si="8"/>
        <v>#VALUE!</v>
      </c>
      <c r="Y11" s="6" t="e">
        <f t="shared" si="8"/>
        <v>#VALUE!</v>
      </c>
      <c r="Z11" s="6" t="e">
        <f t="shared" ref="Z11:AF11" si="9">CONCATENATE(K11,L11,M11)</f>
        <v>#VALUE!</v>
      </c>
      <c r="AA11" s="6" t="e">
        <f t="shared" si="9"/>
        <v>#N/A</v>
      </c>
      <c r="AB11" s="6" t="e">
        <f t="shared" si="9"/>
        <v>#DIV/0!</v>
      </c>
      <c r="AC11" s="6" t="e">
        <f t="shared" si="9"/>
        <v>#NAME?</v>
      </c>
      <c r="AD11" s="6" t="e">
        <f t="shared" si="9"/>
        <v>#NULL!</v>
      </c>
      <c r="AE11" s="6" t="e">
        <f t="shared" si="9"/>
        <v>#NUM!</v>
      </c>
      <c r="AF11" s="6" t="e">
        <f t="shared" si="9"/>
        <v>#REF!</v>
      </c>
      <c r="AG11" s="6" t="str">
        <f t="array" ref="AG11">CONCATENATE(C11:J11)</f>
        <v>0</v>
      </c>
      <c r="AH11" s="4" t="str">
        <f t="array" ref="AH11:AW11">CONCATENATE(C11:P11,D11:Q11)</f>
        <v>02</v>
      </c>
      <c r="AI11" s="4" t="str">
        <v>23</v>
      </c>
      <c r="AJ11" s="4" t="str">
        <v>310</v>
      </c>
      <c r="AK11" s="4" t="str">
        <v>10-1</v>
      </c>
      <c r="AL11" s="4" t="str">
        <v>-1</v>
      </c>
      <c r="AM11" s="4" t="str">
        <v>ciao</v>
      </c>
      <c r="AN11" s="4" t="str">
        <v>ciaoTRUE</v>
      </c>
      <c r="AO11" s="4" t="e">
        <v>#VALUE!</v>
      </c>
      <c r="AP11" s="4" t="e">
        <v>#VALUE!</v>
      </c>
      <c r="AQ11" s="4" t="e">
        <v>#N/A</v>
      </c>
      <c r="AR11" s="4" t="e">
        <v>#DIV/0!</v>
      </c>
      <c r="AS11" s="4" t="e">
        <v>#NAME?</v>
      </c>
      <c r="AT11" s="4" t="e">
        <v>#NULL!</v>
      </c>
      <c r="AU11" s="4" t="e">
        <v>#NUM!</v>
      </c>
      <c r="AV11" s="4" t="e">
        <v>#N/A</v>
      </c>
      <c r="AW11" s="4" t="e">
        <v>#N/A</v>
      </c>
    </row>
    <row r="12" spans="1:63" x14ac:dyDescent="0.15">
      <c r="A12" s="40" t="s">
        <v>288</v>
      </c>
    </row>
    <row r="13" spans="1:63" x14ac:dyDescent="0.15">
      <c r="A13" s="40" t="s">
        <v>556</v>
      </c>
    </row>
    <row r="14" spans="1:63" x14ac:dyDescent="0.15">
      <c r="A14" s="40" t="s">
        <v>289</v>
      </c>
      <c r="H14" s="6"/>
      <c r="I14" s="6"/>
      <c r="J14" s="6"/>
      <c r="K14" s="6"/>
      <c r="L14" s="6"/>
      <c r="M14" s="7"/>
      <c r="N14" s="7"/>
      <c r="O14" s="7"/>
      <c r="P14" s="7"/>
      <c r="Q14" s="7"/>
    </row>
    <row r="15" spans="1:63" x14ac:dyDescent="0.15">
      <c r="A15" s="35" t="s">
        <v>290</v>
      </c>
      <c r="B15" s="36" t="s">
        <v>541</v>
      </c>
      <c r="C15" s="4">
        <v>0</v>
      </c>
      <c r="D15" s="4">
        <v>3</v>
      </c>
      <c r="E15" s="4">
        <v>2.2999999999999998</v>
      </c>
      <c r="F15" s="4">
        <v>10</v>
      </c>
      <c r="G15" s="4">
        <v>-1</v>
      </c>
      <c r="H15" s="6"/>
      <c r="I15" s="6" t="s">
        <v>32</v>
      </c>
      <c r="J15" s="6" t="b">
        <v>1</v>
      </c>
      <c r="K15" s="6" t="e">
        <v>#VALUE!</v>
      </c>
      <c r="L15" s="6" t="e">
        <v>#N/A</v>
      </c>
      <c r="M15" s="7" t="e">
        <v>#DIV/0!</v>
      </c>
      <c r="N15" s="7" t="e">
        <v>#NAME?</v>
      </c>
      <c r="O15" s="7" t="e">
        <v>#NULL!</v>
      </c>
      <c r="P15" s="7" t="e">
        <v>#NUM!</v>
      </c>
      <c r="Q15" s="7" t="e">
        <v>#REF!</v>
      </c>
      <c r="R15" s="6" t="b">
        <f>EXACT(C15,"0")</f>
        <v>1</v>
      </c>
      <c r="S15" s="6" t="b">
        <f>EXACT(D15,E15)</f>
        <v>0</v>
      </c>
      <c r="T15" s="6" t="b">
        <f>EXACT(E15,F15)</f>
        <v>0</v>
      </c>
      <c r="U15" s="6" t="b">
        <f>EXACT(F15,G15)</f>
        <v>0</v>
      </c>
      <c r="V15" s="6" t="b">
        <f>EXACT(G15,H15)</f>
        <v>0</v>
      </c>
      <c r="W15" s="6" t="b">
        <f>EXACT(H15,"")</f>
        <v>1</v>
      </c>
      <c r="X15" s="6" t="b">
        <f>EXACT(I15,"CIAO")</f>
        <v>0</v>
      </c>
      <c r="Y15" s="6" t="b">
        <f>EXACT(J15,D15)</f>
        <v>0</v>
      </c>
      <c r="Z15" s="6" t="e">
        <f>EXACT(K15,L15)</f>
        <v>#VALUE!</v>
      </c>
      <c r="AA15" s="6" t="e">
        <f t="shared" ref="AA15:AF15" si="10">EXACT(L15,M15)</f>
        <v>#N/A</v>
      </c>
      <c r="AB15" s="6" t="e">
        <f t="shared" si="10"/>
        <v>#DIV/0!</v>
      </c>
      <c r="AC15" s="6" t="e">
        <f t="shared" si="10"/>
        <v>#NAME?</v>
      </c>
      <c r="AD15" s="6" t="e">
        <f t="shared" si="10"/>
        <v>#NULL!</v>
      </c>
      <c r="AE15" s="6" t="e">
        <f t="shared" si="10"/>
        <v>#NUM!</v>
      </c>
      <c r="AF15" s="6" t="e">
        <f t="shared" si="10"/>
        <v>#REF!</v>
      </c>
      <c r="AG15" s="8" t="b">
        <f t="array" ref="AG15">EXACT(C15:G15,D15)</f>
        <v>0</v>
      </c>
      <c r="AH15" s="8" t="b">
        <f t="array" ref="AH15:AW15">EXACT(C15:P15,3)</f>
        <v>0</v>
      </c>
      <c r="AI15" s="6" t="b">
        <v>1</v>
      </c>
      <c r="AJ15" s="6" t="b">
        <v>0</v>
      </c>
      <c r="AK15" s="6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e">
        <v>#VALUE!</v>
      </c>
      <c r="AQ15" s="4" t="e">
        <v>#N/A</v>
      </c>
      <c r="AR15" s="4" t="e">
        <v>#DIV/0!</v>
      </c>
      <c r="AS15" s="4" t="e">
        <v>#NAME?</v>
      </c>
      <c r="AT15" s="4" t="e">
        <v>#NULL!</v>
      </c>
      <c r="AU15" s="4" t="e">
        <v>#NUM!</v>
      </c>
      <c r="AV15" s="4" t="e">
        <v>#N/A</v>
      </c>
      <c r="AW15" s="4" t="e">
        <v>#N/A</v>
      </c>
    </row>
    <row r="16" spans="1:63" x14ac:dyDescent="0.15">
      <c r="A16" s="35" t="s">
        <v>291</v>
      </c>
      <c r="B16" s="36" t="s">
        <v>541</v>
      </c>
      <c r="C16" s="4">
        <v>0</v>
      </c>
      <c r="D16" s="4">
        <v>2</v>
      </c>
      <c r="E16" s="4">
        <v>3</v>
      </c>
      <c r="F16" s="4">
        <v>10</v>
      </c>
      <c r="G16" s="4">
        <v>-1</v>
      </c>
      <c r="H16" s="6"/>
      <c r="I16" s="6" t="s">
        <v>32</v>
      </c>
      <c r="J16" s="6" t="b">
        <v>1</v>
      </c>
      <c r="K16" s="6" t="e">
        <f>#VALUE!</f>
        <v>#VALUE!</v>
      </c>
      <c r="L16" s="6" t="e">
        <v>#N/A</v>
      </c>
      <c r="M16" s="7" t="e">
        <v>#DIV/0!</v>
      </c>
      <c r="N16" s="7" t="e">
        <v>#NAME?</v>
      </c>
      <c r="O16" s="7" t="e">
        <v>#NULL!</v>
      </c>
      <c r="P16" s="7" t="e">
        <v>#NUM!</v>
      </c>
      <c r="Q16" s="7" t="e">
        <v>#REF!</v>
      </c>
      <c r="R16" s="4" t="e">
        <f>FIND("ia",C16)</f>
        <v>#VALUE!</v>
      </c>
      <c r="S16" s="4">
        <f>FIND("ia","山田太郎ciao",D16)</f>
        <v>6</v>
      </c>
      <c r="T16" s="4" t="e">
        <f>FIND("ia","ciao",E16)</f>
        <v>#VALUE!</v>
      </c>
      <c r="U16" s="4" t="e">
        <f>FIND("q","ciao",F16)</f>
        <v>#VALUE!</v>
      </c>
      <c r="V16" s="4" t="e">
        <f>FIND("v","ciao",G16)</f>
        <v>#VALUE!</v>
      </c>
      <c r="W16" s="4" t="e">
        <f>FIND("ia","ciao",H16)</f>
        <v>#VALUE!</v>
      </c>
      <c r="X16" s="4" t="e" vm="116">
        <f>FIND("ia","ciao",I16)</f>
        <v>#VALUE!</v>
      </c>
      <c r="Y16" s="4">
        <f t="shared" ref="Y16:AF16" si="11">FIND("ia","ciao",J16)</f>
        <v>2</v>
      </c>
      <c r="Z16" s="4" t="e">
        <f t="shared" si="11"/>
        <v>#VALUE!</v>
      </c>
      <c r="AA16" s="4" t="e">
        <f t="shared" si="11"/>
        <v>#N/A</v>
      </c>
      <c r="AB16" s="4" t="e">
        <f t="shared" si="11"/>
        <v>#DIV/0!</v>
      </c>
      <c r="AC16" s="4" t="e">
        <f t="shared" si="11"/>
        <v>#NAME?</v>
      </c>
      <c r="AD16" s="4" t="e">
        <f t="shared" si="11"/>
        <v>#NULL!</v>
      </c>
      <c r="AE16" s="4" t="e">
        <f t="shared" si="11"/>
        <v>#NUM!</v>
      </c>
      <c r="AF16" s="4" t="e">
        <f t="shared" si="11"/>
        <v>#REF!</v>
      </c>
      <c r="AG16" s="4">
        <f t="array" ref="AG16">FIND("ia",{"ciao","bau"},1)</f>
        <v>2</v>
      </c>
      <c r="AH16" s="4">
        <f t="array" ref="AH16:AJ16">FIND({"a","b"},{"ciao","bau"})</f>
        <v>3</v>
      </c>
      <c r="AI16" s="4">
        <v>1</v>
      </c>
      <c r="AJ16" s="4" t="e">
        <v>#N/A</v>
      </c>
      <c r="AK16" s="4" t="e">
        <f t="array" ref="AK16:AW16">FIND("ia", "ciao",C16:Q16)</f>
        <v>#VALUE!</v>
      </c>
      <c r="AL16" s="4">
        <v>2</v>
      </c>
      <c r="AM16" s="4" t="e">
        <v>#VALUE!</v>
      </c>
      <c r="AN16" s="4" t="e">
        <v>#VALUE!</v>
      </c>
      <c r="AO16" s="4" t="e">
        <v>#VALUE!</v>
      </c>
      <c r="AP16" s="4" t="e">
        <v>#VALUE!</v>
      </c>
      <c r="AQ16" s="4" t="e" vm="116">
        <v>#VALUE!</v>
      </c>
      <c r="AR16" s="4">
        <v>2</v>
      </c>
      <c r="AS16" s="4" t="e">
        <v>#VALUE!</v>
      </c>
      <c r="AT16" s="4" t="e">
        <v>#N/A</v>
      </c>
      <c r="AU16" s="4" t="e">
        <v>#DIV/0!</v>
      </c>
      <c r="AV16" s="4" t="e">
        <v>#NAME?</v>
      </c>
      <c r="AW16" s="4" t="e">
        <v>#NULL!</v>
      </c>
    </row>
    <row r="17" spans="1:49" x14ac:dyDescent="0.15">
      <c r="A17" s="35" t="s">
        <v>292</v>
      </c>
      <c r="B17" s="36" t="s">
        <v>541</v>
      </c>
      <c r="C17" s="4">
        <v>0</v>
      </c>
      <c r="D17" s="4">
        <v>2</v>
      </c>
      <c r="E17" s="4">
        <v>3</v>
      </c>
      <c r="F17" s="4">
        <v>10</v>
      </c>
      <c r="G17" s="4">
        <v>-1</v>
      </c>
      <c r="H17" s="6"/>
      <c r="I17" s="6" t="s">
        <v>32</v>
      </c>
      <c r="J17" s="6" t="b">
        <v>1</v>
      </c>
      <c r="K17" s="6" t="e">
        <f>#VALUE!</f>
        <v>#VALUE!</v>
      </c>
      <c r="L17" s="6" t="e">
        <v>#N/A</v>
      </c>
      <c r="M17" s="7" t="e">
        <v>#DIV/0!</v>
      </c>
      <c r="N17" s="7" t="e">
        <v>#NAME?</v>
      </c>
      <c r="O17" s="7" t="e">
        <v>#NULL!</v>
      </c>
      <c r="P17" s="7" t="e">
        <v>#NUM!</v>
      </c>
      <c r="Q17" s="7" t="e">
        <v>#REF!</v>
      </c>
      <c r="R17" s="4" t="e">
        <f>FINDB("ia",C17)</f>
        <v>#VALUE!</v>
      </c>
      <c r="S17" s="4">
        <f>FINDB("ia","山田太郎ciao",D17)</f>
        <v>6</v>
      </c>
      <c r="T17" s="4" t="e">
        <f>FINDB("ia","ciao",E17)</f>
        <v>#VALUE!</v>
      </c>
      <c r="U17" s="4" t="e">
        <f>FINDB("q","ciao",F17)</f>
        <v>#VALUE!</v>
      </c>
      <c r="V17" s="4" t="e">
        <f>FINDB("v","ciao",G17)</f>
        <v>#VALUE!</v>
      </c>
      <c r="W17" s="4" t="e">
        <f t="shared" ref="W17:AF17" si="12">FINDB("ia","ciao",H17)</f>
        <v>#VALUE!</v>
      </c>
      <c r="X17" s="4" t="e" vm="117">
        <f t="shared" si="12"/>
        <v>#VALUE!</v>
      </c>
      <c r="Y17" s="4">
        <f t="shared" si="12"/>
        <v>2</v>
      </c>
      <c r="Z17" s="4" t="e">
        <f t="shared" si="12"/>
        <v>#VALUE!</v>
      </c>
      <c r="AA17" s="4" t="e">
        <f t="shared" si="12"/>
        <v>#N/A</v>
      </c>
      <c r="AB17" s="4" t="e">
        <f t="shared" si="12"/>
        <v>#DIV/0!</v>
      </c>
      <c r="AC17" s="4" t="e">
        <f t="shared" si="12"/>
        <v>#NAME?</v>
      </c>
      <c r="AD17" s="4" t="e">
        <f t="shared" si="12"/>
        <v>#NULL!</v>
      </c>
      <c r="AE17" s="4" t="e">
        <f t="shared" si="12"/>
        <v>#NUM!</v>
      </c>
      <c r="AF17" s="4" t="e">
        <f t="shared" si="12"/>
        <v>#REF!</v>
      </c>
      <c r="AG17" s="4">
        <f t="array" ref="AG17">FINDB("ia",{"ciao","bau"},1)</f>
        <v>2</v>
      </c>
      <c r="AH17" s="4">
        <f t="array" ref="AH17:AJ17">FINDB({"a","b"},{"ciao","bau"})</f>
        <v>3</v>
      </c>
      <c r="AI17" s="4">
        <v>1</v>
      </c>
      <c r="AJ17" s="4" t="e">
        <v>#N/A</v>
      </c>
      <c r="AK17" s="4" t="e">
        <f t="array" ref="AK17:AW17">FINDB("ia", "ciao",C17:Q17)</f>
        <v>#VALUE!</v>
      </c>
      <c r="AL17" s="4">
        <v>2</v>
      </c>
      <c r="AM17" s="4" t="e">
        <v>#VALUE!</v>
      </c>
      <c r="AN17" s="4" t="e">
        <v>#VALUE!</v>
      </c>
      <c r="AO17" s="4" t="e">
        <v>#VALUE!</v>
      </c>
      <c r="AP17" s="4" t="e">
        <v>#VALUE!</v>
      </c>
      <c r="AQ17" s="4" t="e" vm="117">
        <v>#VALUE!</v>
      </c>
      <c r="AR17" s="4">
        <v>2</v>
      </c>
      <c r="AS17" s="4" t="e">
        <v>#VALUE!</v>
      </c>
      <c r="AT17" s="4" t="e">
        <v>#N/A</v>
      </c>
      <c r="AU17" s="4" t="e">
        <v>#DIV/0!</v>
      </c>
      <c r="AV17" s="4" t="e">
        <v>#NAME?</v>
      </c>
      <c r="AW17" s="4" t="e">
        <v>#NULL!</v>
      </c>
    </row>
    <row r="18" spans="1:49" x14ac:dyDescent="0.15">
      <c r="A18" s="35" t="s">
        <v>293</v>
      </c>
      <c r="B18" s="36" t="s">
        <v>541</v>
      </c>
      <c r="C18" s="4">
        <v>0</v>
      </c>
      <c r="D18" s="4">
        <v>-128000</v>
      </c>
      <c r="E18" s="4">
        <v>128</v>
      </c>
      <c r="F18" s="4">
        <v>127</v>
      </c>
      <c r="G18" s="4">
        <v>-3</v>
      </c>
      <c r="H18" s="6"/>
      <c r="I18" s="6" t="s">
        <v>32</v>
      </c>
      <c r="J18" s="6" t="b">
        <v>1</v>
      </c>
      <c r="K18" s="6" t="e">
        <f>#VALUE!</f>
        <v>#VALUE!</v>
      </c>
      <c r="L18" s="6" t="e">
        <v>#N/A</v>
      </c>
      <c r="M18" s="7" t="e">
        <v>#DIV/0!</v>
      </c>
      <c r="N18" s="7" t="e">
        <v>#NAME?</v>
      </c>
      <c r="O18" s="7" t="e">
        <v>#NULL!</v>
      </c>
      <c r="P18" s="7" t="e">
        <v>#NUM!</v>
      </c>
      <c r="Q18" s="7" t="e">
        <v>#REF!</v>
      </c>
      <c r="R18" s="4" t="str">
        <f>FIXED("123456789076754345682.2121234567832131341",C18)</f>
        <v>123,456,789,076,754,000,000</v>
      </c>
      <c r="S18" s="4" t="str">
        <f>FIXED("123456789076754345682.2121234567832131341",D18)</f>
        <v>0</v>
      </c>
      <c r="T18" s="4" t="e">
        <f t="shared" ref="T18:AF18" si="13">FIXED("123456789076754345682.2121234567832131341",E18)</f>
        <v>#VALUE!</v>
      </c>
      <c r="U18" s="4" t="str">
        <f t="shared" si="13"/>
        <v>123,456,789,076,754,000,000.0000000000000000000000000000000000000000000000000000000000000000000000000000000000000000000000000000000000000000000000000000000</v>
      </c>
      <c r="V18" s="4" t="str">
        <f>FIXED("123456789076754345682.2121234567832131341",G18)</f>
        <v>123,456,789,076,754,000,000</v>
      </c>
      <c r="W18" s="4" t="str">
        <f>FIXED("123456789076754345682.2121234567832131341",H18)</f>
        <v>123,456,789,076,754,000,000</v>
      </c>
      <c r="X18" s="4" t="e" vm="118">
        <f t="shared" si="13"/>
        <v>#VALUE!</v>
      </c>
      <c r="Y18" s="4" t="e" vm="119">
        <f>FIXED("123456789076754345682.2121234567832131341",J18, "1")</f>
        <v>#VALUE!</v>
      </c>
      <c r="Z18" s="4" t="e">
        <f t="shared" si="13"/>
        <v>#VALUE!</v>
      </c>
      <c r="AA18" s="4" t="e">
        <f t="shared" si="13"/>
        <v>#N/A</v>
      </c>
      <c r="AB18" s="4" t="e">
        <f t="shared" si="13"/>
        <v>#DIV/0!</v>
      </c>
      <c r="AC18" s="4" t="e">
        <f t="shared" si="13"/>
        <v>#NAME?</v>
      </c>
      <c r="AD18" s="4" t="e">
        <f t="shared" si="13"/>
        <v>#NULL!</v>
      </c>
      <c r="AE18" s="4" t="e">
        <f t="shared" si="13"/>
        <v>#NUM!</v>
      </c>
      <c r="AF18" s="4" t="e">
        <f t="shared" si="13"/>
        <v>#REF!</v>
      </c>
      <c r="AG18" s="4" t="str">
        <f t="array" ref="AG18">FIXED(C18:Q18)</f>
        <v>0.00</v>
      </c>
      <c r="AH18" s="4" t="str">
        <f t="array" ref="AH18:AW18">FIXED(C18:Q18)</f>
        <v>0.00</v>
      </c>
      <c r="AI18" s="4" t="str">
        <v>-128,000.00</v>
      </c>
      <c r="AJ18" s="4" t="str">
        <v>128.00</v>
      </c>
      <c r="AK18" s="4" t="str">
        <v>127.00</v>
      </c>
      <c r="AL18" s="4" t="str">
        <v>-3.00</v>
      </c>
      <c r="AM18" s="4" t="str">
        <v>0.00</v>
      </c>
      <c r="AN18" s="4" t="e" vm="118">
        <v>#VALUE!</v>
      </c>
      <c r="AO18" s="4" t="str">
        <v>1.00</v>
      </c>
      <c r="AP18" s="4" t="e">
        <v>#VALUE!</v>
      </c>
      <c r="AQ18" s="4" t="e">
        <v>#N/A</v>
      </c>
      <c r="AR18" s="4" t="e">
        <v>#DIV/0!</v>
      </c>
      <c r="AS18" s="4" t="e">
        <v>#NAME?</v>
      </c>
      <c r="AT18" s="4" t="e">
        <v>#NULL!</v>
      </c>
      <c r="AU18" s="4" t="e">
        <v>#NUM!</v>
      </c>
      <c r="AV18" s="4" t="e">
        <v>#REF!</v>
      </c>
      <c r="AW18" s="4" t="e">
        <v>#N/A</v>
      </c>
    </row>
    <row r="19" spans="1:49" x14ac:dyDescent="0.15">
      <c r="A19" s="40" t="s">
        <v>594</v>
      </c>
    </row>
    <row r="20" spans="1:49" x14ac:dyDescent="0.15">
      <c r="A20" s="35" t="s">
        <v>294</v>
      </c>
      <c r="B20" s="36" t="s">
        <v>541</v>
      </c>
      <c r="C20" s="4">
        <v>0</v>
      </c>
      <c r="D20" s="4">
        <v>1.9</v>
      </c>
      <c r="E20" s="4">
        <v>2.2999999999999998</v>
      </c>
      <c r="F20" s="4">
        <v>10</v>
      </c>
      <c r="G20" s="4">
        <v>-1</v>
      </c>
      <c r="H20" s="6"/>
      <c r="I20" s="6" t="s">
        <v>32</v>
      </c>
      <c r="J20" s="6" t="b">
        <v>1</v>
      </c>
      <c r="K20" s="6" t="e">
        <f>#VALUE!</f>
        <v>#VALUE!</v>
      </c>
      <c r="L20" s="6" t="e">
        <v>#N/A</v>
      </c>
      <c r="M20" s="7" t="e">
        <v>#DIV/0!</v>
      </c>
      <c r="N20" s="7" t="e">
        <v>#NAME?</v>
      </c>
      <c r="O20" s="7" t="e">
        <v>#NULL!</v>
      </c>
      <c r="P20" s="7" t="e">
        <v>#NUM!</v>
      </c>
      <c r="Q20" s="7" t="e">
        <v>#REF!</v>
      </c>
      <c r="R20" s="4" t="str">
        <f>LEFT("ciao",C20)</f>
        <v/>
      </c>
      <c r="S20" s="4" t="str">
        <f>LEFT("ciao",D20)</f>
        <v>c</v>
      </c>
      <c r="T20" s="4" t="str">
        <f>LEFT(E20,2)</f>
        <v>2.</v>
      </c>
      <c r="U20" s="4" t="str">
        <f>LEFT("ciao",F20)</f>
        <v>ciao</v>
      </c>
      <c r="V20" s="4" t="e">
        <f>LEFT("ciao",G20)</f>
        <v>#VALUE!</v>
      </c>
      <c r="W20" s="4" t="str">
        <f>LEFT("ciao",H20)</f>
        <v/>
      </c>
      <c r="X20" s="4" t="e" vm="120">
        <f>LEFT("ciao",I20)</f>
        <v>#VALUE!</v>
      </c>
      <c r="Y20" s="4" t="str">
        <f>LEFT("ciao",J20)</f>
        <v>c</v>
      </c>
      <c r="Z20" s="4" t="e">
        <f t="shared" ref="Z20:AF20" si="14">LEFT("ciao",K20)</f>
        <v>#VALUE!</v>
      </c>
      <c r="AA20" s="4" t="e">
        <f t="shared" si="14"/>
        <v>#N/A</v>
      </c>
      <c r="AB20" s="4" t="e">
        <f t="shared" si="14"/>
        <v>#DIV/0!</v>
      </c>
      <c r="AC20" s="4" t="e">
        <f t="shared" si="14"/>
        <v>#NAME?</v>
      </c>
      <c r="AD20" s="4" t="e">
        <f t="shared" si="14"/>
        <v>#NULL!</v>
      </c>
      <c r="AE20" s="4" t="e">
        <f t="shared" si="14"/>
        <v>#NUM!</v>
      </c>
      <c r="AF20" s="4" t="e">
        <f t="shared" si="14"/>
        <v>#REF!</v>
      </c>
      <c r="AG20" s="4" t="str">
        <f t="array" ref="AG20">LEFT({TRUE,"bau"},3)</f>
        <v>TRU</v>
      </c>
      <c r="AH20" s="4" t="str">
        <f t="array" ref="AH20:AJ20">LEFT({"ciao","bau"},C20:D20)</f>
        <v/>
      </c>
      <c r="AI20" s="4" t="str">
        <v>b</v>
      </c>
      <c r="AJ20" s="4" t="e">
        <v>#N/A</v>
      </c>
      <c r="AK20" s="4" t="str">
        <f t="array" ref="AK20:AW20">LEFT("ciao",C20:Q20)</f>
        <v/>
      </c>
      <c r="AL20" s="4" t="str">
        <v>c</v>
      </c>
      <c r="AM20" s="4" t="str">
        <v>ci</v>
      </c>
      <c r="AN20" s="4" t="str">
        <v>ciao</v>
      </c>
      <c r="AO20" s="4" t="e">
        <v>#VALUE!</v>
      </c>
      <c r="AP20" s="4" t="str">
        <v/>
      </c>
      <c r="AQ20" s="4" t="e" vm="120">
        <v>#VALUE!</v>
      </c>
      <c r="AR20" s="4" t="str">
        <v>c</v>
      </c>
      <c r="AS20" s="4" t="e">
        <v>#VALUE!</v>
      </c>
      <c r="AT20" s="4" t="e">
        <v>#N/A</v>
      </c>
      <c r="AU20" s="4" t="e">
        <v>#DIV/0!</v>
      </c>
      <c r="AV20" s="4" t="e">
        <v>#NAME?</v>
      </c>
      <c r="AW20" s="4" t="e">
        <v>#NULL!</v>
      </c>
    </row>
    <row r="21" spans="1:49" x14ac:dyDescent="0.15">
      <c r="A21" s="35" t="s">
        <v>295</v>
      </c>
      <c r="B21" s="36" t="s">
        <v>541</v>
      </c>
      <c r="C21" s="4">
        <v>0</v>
      </c>
      <c r="D21" s="4">
        <v>1.9</v>
      </c>
      <c r="E21" s="4">
        <v>2.2999999999999998</v>
      </c>
      <c r="F21" s="4">
        <v>10</v>
      </c>
      <c r="G21" s="4">
        <v>-1</v>
      </c>
      <c r="H21" s="6"/>
      <c r="I21" s="6" t="s">
        <v>32</v>
      </c>
      <c r="J21" s="6" t="b">
        <v>1</v>
      </c>
      <c r="K21" s="6" t="e">
        <f>#VALUE!</f>
        <v>#VALUE!</v>
      </c>
      <c r="L21" s="6" t="e">
        <v>#N/A</v>
      </c>
      <c r="M21" s="7" t="e">
        <v>#DIV/0!</v>
      </c>
      <c r="N21" s="7" t="e">
        <v>#NAME?</v>
      </c>
      <c r="O21" s="7" t="e">
        <v>#NULL!</v>
      </c>
      <c r="P21" s="7" t="e">
        <v>#NUM!</v>
      </c>
      <c r="Q21" s="7" t="e">
        <v>#REF!</v>
      </c>
      <c r="R21" s="4" t="str">
        <f>LEFTB("ciao",C21)</f>
        <v/>
      </c>
      <c r="S21" s="4" t="str">
        <f>LEFTB("ciao",D21)</f>
        <v>c</v>
      </c>
      <c r="T21" s="4" t="str">
        <f>LEFTB(E21,2)</f>
        <v>2.</v>
      </c>
      <c r="U21" s="4" t="str">
        <f t="shared" ref="U21:AA21" si="15">LEFTB("ciao",F21)</f>
        <v>ciao</v>
      </c>
      <c r="V21" s="4" t="e">
        <f t="shared" si="15"/>
        <v>#VALUE!</v>
      </c>
      <c r="W21" s="4" t="str">
        <f t="shared" si="15"/>
        <v/>
      </c>
      <c r="X21" s="4" t="e" vm="121">
        <f t="shared" si="15"/>
        <v>#VALUE!</v>
      </c>
      <c r="Y21" s="4" t="str">
        <f t="shared" si="15"/>
        <v>c</v>
      </c>
      <c r="Z21" s="4" t="e">
        <f t="shared" si="15"/>
        <v>#VALUE!</v>
      </c>
      <c r="AA21" s="4" t="e">
        <f t="shared" si="15"/>
        <v>#N/A</v>
      </c>
      <c r="AB21" s="4" t="e">
        <f>LEFTB("ciao",M21)</f>
        <v>#DIV/0!</v>
      </c>
      <c r="AC21" s="4" t="e">
        <f>LEFTB("ciao",N21)</f>
        <v>#NAME?</v>
      </c>
      <c r="AD21" s="4" t="e">
        <f>LEFTB("ciao",O21)</f>
        <v>#NULL!</v>
      </c>
      <c r="AE21" s="4" t="e">
        <f>LEFTB("ciao",P21)</f>
        <v>#NUM!</v>
      </c>
      <c r="AF21" s="4" t="e">
        <f>LEFTB("ciao",Q21)</f>
        <v>#REF!</v>
      </c>
      <c r="AG21" s="4" t="str">
        <f t="array" ref="AG21">LEFTB({TRUE,"bau"},3)</f>
        <v>TRU</v>
      </c>
      <c r="AH21" s="4" t="str">
        <f t="array" ref="AH21:AJ21">LEFTB({"ciao","bau"},C21:D21)</f>
        <v/>
      </c>
      <c r="AI21" s="4" t="str">
        <v>b</v>
      </c>
      <c r="AJ21" s="4" t="e">
        <v>#N/A</v>
      </c>
      <c r="AK21" s="4" t="str">
        <f t="array" ref="AK21:AW21">LEFTB("ciao",C21:Q21)</f>
        <v/>
      </c>
      <c r="AL21" s="4" t="str">
        <v>c</v>
      </c>
      <c r="AM21" s="4" t="str">
        <v>ci</v>
      </c>
      <c r="AN21" s="4" t="str">
        <v>ciao</v>
      </c>
      <c r="AO21" s="4" t="e">
        <v>#VALUE!</v>
      </c>
      <c r="AP21" s="4" t="str">
        <v/>
      </c>
      <c r="AQ21" s="4" t="e" vm="121">
        <v>#VALUE!</v>
      </c>
      <c r="AR21" s="4" t="str">
        <v>c</v>
      </c>
      <c r="AS21" s="4" t="e">
        <v>#VALUE!</v>
      </c>
      <c r="AT21" s="4" t="e">
        <v>#N/A</v>
      </c>
      <c r="AU21" s="4" t="e">
        <v>#DIV/0!</v>
      </c>
      <c r="AV21" s="4" t="e">
        <v>#NAME?</v>
      </c>
      <c r="AW21" s="4" t="e">
        <v>#NULL!</v>
      </c>
    </row>
    <row r="22" spans="1:49" x14ac:dyDescent="0.15">
      <c r="A22" s="35" t="s">
        <v>296</v>
      </c>
      <c r="B22" s="36" t="s">
        <v>541</v>
      </c>
      <c r="C22" s="4">
        <v>0</v>
      </c>
      <c r="D22" s="4">
        <v>1.9</v>
      </c>
      <c r="E22" s="4">
        <v>2.2999999999999998</v>
      </c>
      <c r="F22" s="4">
        <v>10</v>
      </c>
      <c r="G22" s="4">
        <v>-1</v>
      </c>
      <c r="H22" s="6"/>
      <c r="I22" s="6" t="s">
        <v>779</v>
      </c>
      <c r="J22" s="6" t="b">
        <v>1</v>
      </c>
      <c r="K22" s="6" t="e">
        <f>#VALUE!</f>
        <v>#VALUE!</v>
      </c>
      <c r="L22" s="6" t="e">
        <v>#N/A</v>
      </c>
      <c r="M22" s="7" t="e">
        <v>#DIV/0!</v>
      </c>
      <c r="N22" s="7" t="e">
        <v>#NAME?</v>
      </c>
      <c r="O22" s="7" t="e">
        <v>#NULL!</v>
      </c>
      <c r="P22" s="7" t="e">
        <v>#NUM!</v>
      </c>
      <c r="Q22" s="7" t="e">
        <v>#REF!</v>
      </c>
      <c r="R22" s="4">
        <f>LEN(C22)</f>
        <v>1</v>
      </c>
      <c r="S22" s="4">
        <f t="shared" ref="S22:AF22" si="16">LEN(D22)</f>
        <v>3</v>
      </c>
      <c r="T22" s="4">
        <f>LEN(E22)</f>
        <v>3</v>
      </c>
      <c r="U22" s="4">
        <f t="shared" si="16"/>
        <v>2</v>
      </c>
      <c r="V22" s="4">
        <f t="shared" si="16"/>
        <v>2</v>
      </c>
      <c r="W22" s="4">
        <f t="shared" si="16"/>
        <v>0</v>
      </c>
      <c r="X22" s="4">
        <f t="shared" si="16"/>
        <v>8</v>
      </c>
      <c r="Y22" s="4">
        <f t="shared" si="16"/>
        <v>4</v>
      </c>
      <c r="Z22" s="4" t="e">
        <f t="shared" si="16"/>
        <v>#VALUE!</v>
      </c>
      <c r="AA22" s="4" t="e">
        <f t="shared" si="16"/>
        <v>#N/A</v>
      </c>
      <c r="AB22" s="4" t="e">
        <f t="shared" si="16"/>
        <v>#DIV/0!</v>
      </c>
      <c r="AC22" s="4" t="e">
        <f t="shared" si="16"/>
        <v>#NAME?</v>
      </c>
      <c r="AD22" s="4" t="e">
        <f t="shared" si="16"/>
        <v>#NULL!</v>
      </c>
      <c r="AE22" s="4" t="e">
        <f t="shared" si="16"/>
        <v>#NUM!</v>
      </c>
      <c r="AF22" s="4" t="e">
        <f t="shared" si="16"/>
        <v>#REF!</v>
      </c>
      <c r="AG22" s="4">
        <f t="array" ref="AG22">LEN(C22:D22)</f>
        <v>1</v>
      </c>
      <c r="AH22" s="4">
        <f t="array" ref="AH22:AW22">LEN(C22:Q22)</f>
        <v>1</v>
      </c>
      <c r="AI22" s="4">
        <v>3</v>
      </c>
      <c r="AJ22" s="4">
        <v>3</v>
      </c>
      <c r="AK22" s="4">
        <v>2</v>
      </c>
      <c r="AL22" s="4">
        <v>2</v>
      </c>
      <c r="AM22" s="4">
        <v>0</v>
      </c>
      <c r="AN22" s="4">
        <v>8</v>
      </c>
      <c r="AO22" s="4">
        <v>4</v>
      </c>
      <c r="AP22" s="4" t="e">
        <v>#VALUE!</v>
      </c>
      <c r="AQ22" s="4" t="e">
        <v>#N/A</v>
      </c>
      <c r="AR22" s="4" t="e">
        <v>#DIV/0!</v>
      </c>
      <c r="AS22" s="4" t="e">
        <v>#NAME?</v>
      </c>
      <c r="AT22" s="4" t="e">
        <v>#NULL!</v>
      </c>
      <c r="AU22" s="4" t="e">
        <v>#NUM!</v>
      </c>
      <c r="AV22" s="4" t="e">
        <v>#REF!</v>
      </c>
      <c r="AW22" s="4" t="e">
        <v>#N/A</v>
      </c>
    </row>
    <row r="23" spans="1:49" x14ac:dyDescent="0.15">
      <c r="A23" s="35" t="s">
        <v>297</v>
      </c>
      <c r="B23" s="36" t="s">
        <v>541</v>
      </c>
      <c r="C23" s="4">
        <v>0</v>
      </c>
      <c r="D23" s="4">
        <v>1.9</v>
      </c>
      <c r="E23" s="4">
        <v>2.2999999999999998</v>
      </c>
      <c r="F23" s="4">
        <v>10</v>
      </c>
      <c r="G23" s="4">
        <v>-1</v>
      </c>
      <c r="H23" s="6"/>
      <c r="I23" s="6" t="s">
        <v>779</v>
      </c>
      <c r="J23" s="6" t="b">
        <v>1</v>
      </c>
      <c r="K23" s="6" t="e">
        <f>#VALUE!</f>
        <v>#VALUE!</v>
      </c>
      <c r="L23" s="6" t="e">
        <v>#N/A</v>
      </c>
      <c r="M23" s="7" t="e">
        <v>#DIV/0!</v>
      </c>
      <c r="N23" s="7" t="e">
        <v>#NAME?</v>
      </c>
      <c r="O23" s="7" t="e">
        <v>#NULL!</v>
      </c>
      <c r="P23" s="7" t="e">
        <v>#NUM!</v>
      </c>
      <c r="Q23" s="7" t="e">
        <v>#REF!</v>
      </c>
      <c r="R23" s="4">
        <f>LENB(C23)</f>
        <v>1</v>
      </c>
      <c r="S23" s="4">
        <f t="shared" ref="S23:AF23" si="17">LENB(D23)</f>
        <v>3</v>
      </c>
      <c r="T23" s="4">
        <f t="shared" si="17"/>
        <v>3</v>
      </c>
      <c r="U23" s="4">
        <f t="shared" si="17"/>
        <v>2</v>
      </c>
      <c r="V23" s="4">
        <f t="shared" si="17"/>
        <v>2</v>
      </c>
      <c r="W23" s="4">
        <f t="shared" si="17"/>
        <v>0</v>
      </c>
      <c r="X23" s="4">
        <f t="shared" si="17"/>
        <v>8</v>
      </c>
      <c r="Y23" s="4">
        <f t="shared" si="17"/>
        <v>4</v>
      </c>
      <c r="Z23" s="4" t="e">
        <f t="shared" si="17"/>
        <v>#VALUE!</v>
      </c>
      <c r="AA23" s="4" t="e">
        <f t="shared" si="17"/>
        <v>#N/A</v>
      </c>
      <c r="AB23" s="4" t="e">
        <f t="shared" si="17"/>
        <v>#DIV/0!</v>
      </c>
      <c r="AC23" s="4" t="e">
        <f t="shared" si="17"/>
        <v>#NAME?</v>
      </c>
      <c r="AD23" s="4" t="e">
        <f t="shared" si="17"/>
        <v>#NULL!</v>
      </c>
      <c r="AE23" s="4" t="e">
        <f t="shared" si="17"/>
        <v>#NUM!</v>
      </c>
      <c r="AF23" s="4" t="e">
        <f t="shared" si="17"/>
        <v>#REF!</v>
      </c>
      <c r="AG23" s="4">
        <f t="array" ref="AG23">LENB(C23:D23)</f>
        <v>1</v>
      </c>
      <c r="AH23" s="4">
        <f t="array" ref="AH23:AW23">LENB(C23:Q23)</f>
        <v>1</v>
      </c>
      <c r="AI23" s="4">
        <v>3</v>
      </c>
      <c r="AJ23" s="4">
        <v>3</v>
      </c>
      <c r="AK23" s="4">
        <v>2</v>
      </c>
      <c r="AL23" s="4">
        <v>2</v>
      </c>
      <c r="AM23" s="4">
        <v>0</v>
      </c>
      <c r="AN23" s="4">
        <v>8</v>
      </c>
      <c r="AO23" s="4">
        <v>4</v>
      </c>
      <c r="AP23" s="4" t="e">
        <v>#VALUE!</v>
      </c>
      <c r="AQ23" s="4" t="e">
        <v>#N/A</v>
      </c>
      <c r="AR23" s="4" t="e">
        <v>#DIV/0!</v>
      </c>
      <c r="AS23" s="4" t="e">
        <v>#NAME?</v>
      </c>
      <c r="AT23" s="4" t="e">
        <v>#NULL!</v>
      </c>
      <c r="AU23" s="4" t="e">
        <v>#NUM!</v>
      </c>
      <c r="AV23" s="4" t="e">
        <v>#REF!</v>
      </c>
      <c r="AW23" s="4" t="e">
        <v>#N/A</v>
      </c>
    </row>
    <row r="24" spans="1:49" x14ac:dyDescent="0.15">
      <c r="A24" s="35" t="s">
        <v>298</v>
      </c>
      <c r="B24" s="36" t="s">
        <v>541</v>
      </c>
      <c r="C24" s="4">
        <v>0</v>
      </c>
      <c r="D24" s="4">
        <v>1.9</v>
      </c>
      <c r="E24" s="4">
        <v>2.2999999999999998</v>
      </c>
      <c r="F24" s="4">
        <v>10</v>
      </c>
      <c r="G24" s="4">
        <v>-1</v>
      </c>
      <c r="H24" s="6"/>
      <c r="I24" s="6" t="s">
        <v>32</v>
      </c>
      <c r="J24" s="6" t="b">
        <v>1</v>
      </c>
      <c r="K24" s="6" t="e">
        <f>#VALUE!</f>
        <v>#VALUE!</v>
      </c>
      <c r="L24" s="6" t="e">
        <v>#N/A</v>
      </c>
      <c r="M24" s="7" t="e">
        <v>#DIV/0!</v>
      </c>
      <c r="N24" s="7" t="e">
        <v>#NAME?</v>
      </c>
      <c r="O24" s="7" t="e">
        <v>#NULL!</v>
      </c>
      <c r="P24" s="7" t="e">
        <v>#NUM!</v>
      </c>
      <c r="Q24" s="7" t="e">
        <v>#REF!</v>
      </c>
      <c r="R24" s="4" t="str">
        <f>LOWER(C24)</f>
        <v>0</v>
      </c>
      <c r="S24" s="4" t="str">
        <f t="shared" ref="S24:AF24" si="18">LOWER(D24)</f>
        <v>1.9</v>
      </c>
      <c r="T24" s="4" t="str">
        <f t="shared" si="18"/>
        <v>2.3</v>
      </c>
      <c r="U24" s="4" t="str">
        <f t="shared" si="18"/>
        <v>10</v>
      </c>
      <c r="V24" s="4" t="str">
        <f t="shared" si="18"/>
        <v>-1</v>
      </c>
      <c r="W24" s="4" t="str">
        <f t="shared" si="18"/>
        <v/>
      </c>
      <c r="X24" s="4" t="str">
        <f t="shared" si="18"/>
        <v>ciao</v>
      </c>
      <c r="Y24" s="4" t="str">
        <f t="shared" si="18"/>
        <v>true</v>
      </c>
      <c r="Z24" s="4" t="e">
        <f t="shared" si="18"/>
        <v>#VALUE!</v>
      </c>
      <c r="AA24" s="4" t="e">
        <f t="shared" si="18"/>
        <v>#N/A</v>
      </c>
      <c r="AB24" s="4" t="e">
        <f t="shared" si="18"/>
        <v>#DIV/0!</v>
      </c>
      <c r="AC24" s="4" t="e">
        <f t="shared" si="18"/>
        <v>#NAME?</v>
      </c>
      <c r="AD24" s="4" t="e">
        <f t="shared" si="18"/>
        <v>#NULL!</v>
      </c>
      <c r="AE24" s="4" t="e">
        <f t="shared" si="18"/>
        <v>#NUM!</v>
      </c>
      <c r="AF24" s="4" t="e">
        <f t="shared" si="18"/>
        <v>#REF!</v>
      </c>
      <c r="AG24" s="4" t="str">
        <f t="array" ref="AG24">LOWER(C24:D24)</f>
        <v>0</v>
      </c>
      <c r="AH24" s="4" t="str">
        <f t="array" ref="AH24:AW24">LOWER(C24:Q24)</f>
        <v>0</v>
      </c>
      <c r="AI24" s="4" t="str">
        <v>1.9</v>
      </c>
      <c r="AJ24" s="4" t="str">
        <v>2.3</v>
      </c>
      <c r="AK24" s="4" t="str">
        <v>10</v>
      </c>
      <c r="AL24" s="4" t="str">
        <v>-1</v>
      </c>
      <c r="AM24" s="4" t="str">
        <v/>
      </c>
      <c r="AN24" s="4" t="str">
        <v>ciao</v>
      </c>
      <c r="AO24" s="4" t="str">
        <v>true</v>
      </c>
      <c r="AP24" s="4" t="e">
        <v>#VALUE!</v>
      </c>
      <c r="AQ24" s="4" t="e">
        <v>#N/A</v>
      </c>
      <c r="AR24" s="4" t="e">
        <v>#DIV/0!</v>
      </c>
      <c r="AS24" s="4" t="e">
        <v>#NAME?</v>
      </c>
      <c r="AT24" s="4" t="e">
        <v>#NULL!</v>
      </c>
      <c r="AU24" s="4" t="e">
        <v>#NUM!</v>
      </c>
      <c r="AV24" s="4" t="e">
        <v>#REF!</v>
      </c>
      <c r="AW24" s="4" t="e">
        <v>#N/A</v>
      </c>
    </row>
    <row r="25" spans="1:49" x14ac:dyDescent="0.15">
      <c r="A25" s="35" t="s">
        <v>299</v>
      </c>
      <c r="B25" s="36" t="s">
        <v>541</v>
      </c>
      <c r="C25" s="4">
        <v>0</v>
      </c>
      <c r="D25" s="4">
        <v>1.9</v>
      </c>
      <c r="E25" s="4">
        <v>2.2999999999999998</v>
      </c>
      <c r="F25" s="4">
        <v>10</v>
      </c>
      <c r="G25" s="4">
        <v>-1</v>
      </c>
      <c r="H25" s="6"/>
      <c r="I25" s="6" t="s">
        <v>32</v>
      </c>
      <c r="J25" s="6" t="b">
        <v>1</v>
      </c>
      <c r="K25" s="6" t="e">
        <f>#VALUE!</f>
        <v>#VALUE!</v>
      </c>
      <c r="L25" s="6" t="e">
        <v>#N/A</v>
      </c>
      <c r="M25" s="7" t="e">
        <v>#DIV/0!</v>
      </c>
      <c r="N25" s="7" t="e">
        <v>#NAME?</v>
      </c>
      <c r="O25" s="7" t="e">
        <v>#NULL!</v>
      </c>
      <c r="P25" s="7" t="e">
        <v>#NUM!</v>
      </c>
      <c r="Q25" s="7" t="e">
        <v>#REF!</v>
      </c>
      <c r="R25" s="4" t="str">
        <f>MID("ciao",2,C25)</f>
        <v/>
      </c>
      <c r="S25" s="4" t="str">
        <f>MID("ciao",D25,2)</f>
        <v>ci</v>
      </c>
      <c r="T25" s="4" t="str">
        <f>MID(E25,1,2)</f>
        <v>2.</v>
      </c>
      <c r="U25" s="4" t="str">
        <f>MID("ciao",F25,2)</f>
        <v/>
      </c>
      <c r="V25" s="4" t="e">
        <f>MID("ciao",2,G25)</f>
        <v>#VALUE!</v>
      </c>
      <c r="W25" s="4" t="e">
        <f>MID("ciao",H25,2)</f>
        <v>#VALUE!</v>
      </c>
      <c r="X25" s="4" t="e" vm="122">
        <f>MID("ciao",I25,E25)</f>
        <v>#VALUE!</v>
      </c>
      <c r="Y25" s="4" t="str">
        <f>MID("ciao",J25,H25)</f>
        <v/>
      </c>
      <c r="Z25" s="4" t="e">
        <f>MID("ciao",K25,2)</f>
        <v>#VALUE!</v>
      </c>
      <c r="AA25" s="4" t="e">
        <f t="shared" ref="AA25:AF25" si="19">MID("ciao",L25,2)</f>
        <v>#N/A</v>
      </c>
      <c r="AB25" s="4" t="e">
        <f t="shared" si="19"/>
        <v>#DIV/0!</v>
      </c>
      <c r="AC25" s="4" t="e">
        <f t="shared" si="19"/>
        <v>#NAME?</v>
      </c>
      <c r="AD25" s="4" t="e">
        <f t="shared" si="19"/>
        <v>#NULL!</v>
      </c>
      <c r="AE25" s="4" t="e">
        <f t="shared" si="19"/>
        <v>#NUM!</v>
      </c>
      <c r="AF25" s="4" t="e">
        <f t="shared" si="19"/>
        <v>#REF!</v>
      </c>
      <c r="AG25" s="4" t="str">
        <f t="array" ref="AG25">MID({"ciao","bau"},3,2)</f>
        <v>ao</v>
      </c>
      <c r="AH25" s="4" t="e">
        <f t="array" ref="AH25:AJ25">MID({"ciao","bau"},C25:D25,D25:E25)</f>
        <v>#VALUE!</v>
      </c>
      <c r="AI25" s="4" t="str">
        <v>ba</v>
      </c>
      <c r="AJ25" s="4" t="e">
        <v>#N/A</v>
      </c>
      <c r="AK25" s="4" t="str">
        <f t="array" ref="AK25:AW25">MID("ciao",1,C25:Q25)</f>
        <v/>
      </c>
      <c r="AL25" s="4" t="str">
        <v>c</v>
      </c>
      <c r="AM25" s="4" t="str">
        <v>ci</v>
      </c>
      <c r="AN25" s="4" t="str">
        <v>ciao</v>
      </c>
      <c r="AO25" s="4" t="e">
        <v>#VALUE!</v>
      </c>
      <c r="AP25" s="4" t="str">
        <v/>
      </c>
      <c r="AQ25" s="4" t="e" vm="122">
        <v>#VALUE!</v>
      </c>
      <c r="AR25" s="4" t="str">
        <v>c</v>
      </c>
      <c r="AS25" s="4" t="e">
        <v>#VALUE!</v>
      </c>
      <c r="AT25" s="4" t="e">
        <v>#N/A</v>
      </c>
      <c r="AU25" s="4" t="e">
        <v>#DIV/0!</v>
      </c>
      <c r="AV25" s="4" t="e">
        <v>#NAME?</v>
      </c>
      <c r="AW25" s="4" t="e">
        <v>#NULL!</v>
      </c>
    </row>
    <row r="26" spans="1:49" x14ac:dyDescent="0.15">
      <c r="A26" s="35" t="s">
        <v>300</v>
      </c>
      <c r="B26" s="36" t="s">
        <v>541</v>
      </c>
      <c r="C26" s="4">
        <v>0</v>
      </c>
      <c r="D26" s="4">
        <v>1.9</v>
      </c>
      <c r="E26" s="4">
        <v>2.2999999999999998</v>
      </c>
      <c r="F26" s="4">
        <v>10</v>
      </c>
      <c r="G26" s="4">
        <v>-1</v>
      </c>
      <c r="H26" s="6"/>
      <c r="I26" s="6" t="s">
        <v>32</v>
      </c>
      <c r="J26" s="6" t="b">
        <v>1</v>
      </c>
      <c r="K26" s="6" t="e">
        <f>#VALUE!</f>
        <v>#VALUE!</v>
      </c>
      <c r="L26" s="6" t="e">
        <v>#N/A</v>
      </c>
      <c r="M26" s="7" t="e">
        <v>#DIV/0!</v>
      </c>
      <c r="N26" s="7" t="e">
        <v>#NAME?</v>
      </c>
      <c r="O26" s="7" t="e">
        <v>#NULL!</v>
      </c>
      <c r="P26" s="7" t="e">
        <v>#NUM!</v>
      </c>
      <c r="Q26" s="7" t="e">
        <v>#REF!</v>
      </c>
      <c r="R26" s="4" t="str">
        <f>MIDB("ciao",2,C26)</f>
        <v/>
      </c>
      <c r="S26" s="4" t="str">
        <f>MIDB("ciao",D26,2)</f>
        <v>ci</v>
      </c>
      <c r="T26" s="4" t="str">
        <f>MIDB(E26,1,2)</f>
        <v>2.</v>
      </c>
      <c r="U26" s="4" t="str">
        <f>MIDB("ciao",F26,2)</f>
        <v/>
      </c>
      <c r="V26" s="4" t="e">
        <f>MIDB("ciao",2,G26)</f>
        <v>#VALUE!</v>
      </c>
      <c r="W26" s="4" t="e">
        <f>MIDB("ciao",H26,2)</f>
        <v>#VALUE!</v>
      </c>
      <c r="X26" s="4" t="e" vm="123">
        <f>MIDB("ciao",I26,E26)</f>
        <v>#VALUE!</v>
      </c>
      <c r="Y26" s="4" t="str">
        <f>MIDB("ciao",J26,H26)</f>
        <v/>
      </c>
      <c r="Z26" s="4" t="e">
        <f>MIDB("ciao",K26,2)</f>
        <v>#VALUE!</v>
      </c>
      <c r="AA26" s="4" t="e">
        <f t="shared" ref="AA26:AF26" si="20">MIDB("ciao",L26,2)</f>
        <v>#N/A</v>
      </c>
      <c r="AB26" s="4" t="e">
        <f t="shared" si="20"/>
        <v>#DIV/0!</v>
      </c>
      <c r="AC26" s="4" t="e">
        <f t="shared" si="20"/>
        <v>#NAME?</v>
      </c>
      <c r="AD26" s="4" t="e">
        <f t="shared" si="20"/>
        <v>#NULL!</v>
      </c>
      <c r="AE26" s="4" t="e">
        <f t="shared" si="20"/>
        <v>#NUM!</v>
      </c>
      <c r="AF26" s="4" t="e">
        <f t="shared" si="20"/>
        <v>#REF!</v>
      </c>
      <c r="AG26" s="4" t="str">
        <f t="array" ref="AG26">MIDB({"ciao","bau"},3,2)</f>
        <v>ao</v>
      </c>
      <c r="AH26" s="4" t="e">
        <f t="array" ref="AH26:AJ26">MIDB({"ciao","bau"},C26:D26,D26:E26)</f>
        <v>#VALUE!</v>
      </c>
      <c r="AI26" s="4" t="str">
        <v>ba</v>
      </c>
      <c r="AJ26" s="4" t="e">
        <v>#N/A</v>
      </c>
      <c r="AK26" s="4" t="str">
        <f t="array" ref="AK26:AW26">MIDB("ciao",1,C26:Q26)</f>
        <v/>
      </c>
      <c r="AL26" s="4" t="str">
        <v>c</v>
      </c>
      <c r="AM26" s="4" t="str">
        <v>ci</v>
      </c>
      <c r="AN26" s="4" t="str">
        <v>ciao</v>
      </c>
      <c r="AO26" s="4" t="e">
        <v>#VALUE!</v>
      </c>
      <c r="AP26" s="4" t="str">
        <v/>
      </c>
      <c r="AQ26" s="4" t="e" vm="123">
        <v>#VALUE!</v>
      </c>
      <c r="AR26" s="4" t="str">
        <v>c</v>
      </c>
      <c r="AS26" s="4" t="e">
        <v>#VALUE!</v>
      </c>
      <c r="AT26" s="4" t="e">
        <v>#N/A</v>
      </c>
      <c r="AU26" s="4" t="e">
        <v>#DIV/0!</v>
      </c>
      <c r="AV26" s="4" t="e">
        <v>#NAME?</v>
      </c>
      <c r="AW26" s="4" t="e">
        <v>#NULL!</v>
      </c>
    </row>
    <row r="27" spans="1:49" x14ac:dyDescent="0.15">
      <c r="A27" s="104" t="s">
        <v>301</v>
      </c>
      <c r="B27" s="100" t="s">
        <v>541</v>
      </c>
      <c r="C27" s="4">
        <v>5.9</v>
      </c>
      <c r="D27" s="4">
        <v>1.9</v>
      </c>
      <c r="E27" s="4">
        <v>2.2999999999999998</v>
      </c>
      <c r="F27" s="4">
        <v>10</v>
      </c>
      <c r="G27" s="4">
        <v>-1</v>
      </c>
      <c r="H27" s="6"/>
      <c r="I27" s="6" t="s">
        <v>32</v>
      </c>
      <c r="J27" s="6" t="b">
        <v>1</v>
      </c>
      <c r="K27" s="6" t="e">
        <f>#VALUE!</f>
        <v>#VALUE!</v>
      </c>
      <c r="L27" s="6" t="e">
        <v>#N/A</v>
      </c>
      <c r="M27" s="7" t="e">
        <v>#DIV/0!</v>
      </c>
      <c r="N27" s="7" t="e">
        <v>#NAME?</v>
      </c>
      <c r="O27" s="7" t="e">
        <v>#NULL!</v>
      </c>
      <c r="P27" s="7" t="e">
        <v>#NUM!</v>
      </c>
      <c r="Q27" s="7" t="e">
        <v>#REF!</v>
      </c>
      <c r="R27" s="4">
        <f>_xlfn.NUMBERVALUE("(2.500,27)",",",".")</f>
        <v>-2500.27</v>
      </c>
      <c r="S27" s="4" t="e">
        <f>_xlfn.NUMBERVALUE("(2,500.27)",",",".")</f>
        <v>#VALUE!</v>
      </c>
      <c r="T27" s="4" t="e">
        <f>_xlfn.NUMBERVALUE("(2500.27)",".",".,")</f>
        <v>#VALUE!</v>
      </c>
      <c r="U27" s="4">
        <f>_xlfn.NUMBERVALUE("(2,500.27%)%",".",",.,")</f>
        <v>-0.250027</v>
      </c>
      <c r="V27" s="4">
        <f>_xlfn.NUMBERVALUE("(,25,,0,0.27E + 6%)%",".",",.,")</f>
        <v>-250027</v>
      </c>
      <c r="W27" s="4">
        <f>_xlfn.NUMBERVALUE(H27,".",",.,")</f>
        <v>0</v>
      </c>
      <c r="X27" s="4">
        <f>_xlfn.NUMBERVALUE(E27)</f>
        <v>2.2999999999999998</v>
      </c>
      <c r="Y27" s="4">
        <f t="shared" ref="Y27:AE27" si="21">_xlfn.NUMBERVALUE(F27)</f>
        <v>10</v>
      </c>
      <c r="Z27" s="4">
        <f t="shared" si="21"/>
        <v>-1</v>
      </c>
      <c r="AA27" s="4">
        <f t="shared" si="21"/>
        <v>0</v>
      </c>
      <c r="AB27" s="4" t="e">
        <f t="shared" si="21"/>
        <v>#VALUE!</v>
      </c>
      <c r="AC27" s="4" t="e">
        <f t="shared" si="21"/>
        <v>#VALUE!</v>
      </c>
      <c r="AD27" s="4" t="e">
        <f t="shared" si="21"/>
        <v>#VALUE!</v>
      </c>
      <c r="AE27" s="4" t="e">
        <f t="shared" si="21"/>
        <v>#N/A</v>
      </c>
      <c r="AF27" s="4" t="e">
        <f>_xlfn.NUMBERVALUE(M27)</f>
        <v>#DIV/0!</v>
      </c>
      <c r="AG27" s="4">
        <f t="array" ref="AG27">_xlfn.NUMBERVALUE(C27:Q27, ".",",")</f>
        <v>5.9</v>
      </c>
      <c r="AH27" s="4">
        <f t="array" ref="AH27:AW28">_xlfn.NUMBERVALUE(C27:Q27, ".",",")</f>
        <v>5.9</v>
      </c>
      <c r="AI27" s="4">
        <v>1.9</v>
      </c>
      <c r="AJ27" s="4">
        <v>2.2999999999999998</v>
      </c>
      <c r="AK27" s="4">
        <v>10</v>
      </c>
      <c r="AL27" s="4">
        <v>-1</v>
      </c>
      <c r="AM27" s="4">
        <v>0</v>
      </c>
      <c r="AN27" s="4" t="e">
        <v>#VALUE!</v>
      </c>
      <c r="AO27" s="4" t="e">
        <v>#VALUE!</v>
      </c>
      <c r="AP27" s="4" t="e">
        <v>#VALUE!</v>
      </c>
      <c r="AQ27" s="4" t="e">
        <v>#N/A</v>
      </c>
      <c r="AR27" s="4" t="e">
        <v>#DIV/0!</v>
      </c>
      <c r="AS27" s="4" t="e">
        <v>#NAME?</v>
      </c>
      <c r="AT27" s="4" t="e">
        <v>#NULL!</v>
      </c>
      <c r="AU27" s="4" t="e">
        <v>#NUM!</v>
      </c>
      <c r="AV27" s="4" t="e">
        <v>#REF!</v>
      </c>
      <c r="AW27" s="4" t="e">
        <v>#N/A</v>
      </c>
    </row>
    <row r="28" spans="1:49" x14ac:dyDescent="0.15">
      <c r="A28" s="104"/>
      <c r="B28" s="100"/>
      <c r="C28" s="4">
        <v>0</v>
      </c>
      <c r="D28" s="4">
        <v>1.9</v>
      </c>
      <c r="E28" s="4">
        <v>2.2999999999999998</v>
      </c>
      <c r="F28" s="4">
        <v>10</v>
      </c>
      <c r="G28" s="4">
        <v>-1</v>
      </c>
      <c r="H28" s="6"/>
      <c r="I28" s="6" t="s">
        <v>32</v>
      </c>
      <c r="J28" s="6" t="b">
        <v>1</v>
      </c>
      <c r="K28" s="6" t="e">
        <f>#VALUE!</f>
        <v>#VALUE!</v>
      </c>
      <c r="L28" s="6" t="e">
        <v>#N/A</v>
      </c>
      <c r="M28" s="7" t="e">
        <v>#DIV/0!</v>
      </c>
      <c r="N28" s="7" t="e">
        <v>#NAME?</v>
      </c>
      <c r="O28" s="7" t="e">
        <v>#NULL!</v>
      </c>
      <c r="P28" s="7" t="e">
        <v>#NUM!</v>
      </c>
      <c r="Q28" s="7" t="e">
        <v>#REF!</v>
      </c>
      <c r="R28" s="4" t="e">
        <f>_xlfn.NUMBERVALUE("(-2500.27E+2%)%",".",",.,")</f>
        <v>#VALUE!</v>
      </c>
      <c r="S28" s="4" t="e">
        <f>_xlfn.NUMBERVALUE("- 2500.27%E+2%%",".",",.,")</f>
        <v>#VALUE!</v>
      </c>
      <c r="T28" s="4" t="e">
        <f>_xlfn.NUMBERVALUE("- -2500.27E+2%%",".",",.,")</f>
        <v>#VALUE!</v>
      </c>
      <c r="U28" s="4">
        <f>_xlfn.NUMBERVALUE("250)027",")")</f>
        <v>250.02699999999999</v>
      </c>
      <c r="V28" s="4" t="e">
        <f>_xlfn.NUMBERVALUE("(2,500.27%)%",",")</f>
        <v>#VALUE!</v>
      </c>
      <c r="W28" s="4">
        <f>_xlfn.NUMBERVALUE("(2500,27E+6%)%",",")</f>
        <v>-250027</v>
      </c>
      <c r="X28" s="4" t="e">
        <f>_xlfn.NUMBERVALUE(I28)</f>
        <v>#VALUE!</v>
      </c>
      <c r="Y28" s="4" t="e">
        <f>_xlfn.NUMBERVALUE(J28)</f>
        <v>#VALUE!</v>
      </c>
      <c r="Z28" s="4" t="e">
        <f t="shared" ref="Z28:AF28" si="22">_xlfn.NUMBERVALUE(K28)</f>
        <v>#VALUE!</v>
      </c>
      <c r="AA28" s="4" t="e">
        <f t="shared" si="22"/>
        <v>#N/A</v>
      </c>
      <c r="AB28" s="4" t="e">
        <f>_xlfn.NUMBERVALUE("1",H27)</f>
        <v>#VALUE!</v>
      </c>
      <c r="AC28" s="4" t="e">
        <f>_xlfn.NUMBERVALUE("1","2",H27)</f>
        <v>#VALUE!</v>
      </c>
      <c r="AD28" s="4" t="e">
        <f t="shared" si="22"/>
        <v>#NULL!</v>
      </c>
      <c r="AE28" s="4" t="e">
        <f t="shared" si="22"/>
        <v>#NUM!</v>
      </c>
      <c r="AF28" s="4" t="e">
        <f t="shared" si="22"/>
        <v>#REF!</v>
      </c>
      <c r="AG28" s="4">
        <f t="array" ref="AG28">_xlfn.NUMBERVALUE(C28:Q28, ".",",")</f>
        <v>0</v>
      </c>
      <c r="AH28" s="4">
        <v>5.9</v>
      </c>
      <c r="AI28" s="4">
        <v>1.9</v>
      </c>
      <c r="AJ28" s="4">
        <v>2.2999999999999998</v>
      </c>
      <c r="AK28" s="4">
        <v>10</v>
      </c>
      <c r="AL28" s="4">
        <v>-1</v>
      </c>
      <c r="AM28" s="4">
        <v>0</v>
      </c>
      <c r="AN28" s="4" t="e">
        <v>#VALUE!</v>
      </c>
      <c r="AO28" s="4" t="e">
        <v>#VALUE!</v>
      </c>
      <c r="AP28" s="4" t="e">
        <v>#VALUE!</v>
      </c>
      <c r="AQ28" s="4" t="e">
        <v>#N/A</v>
      </c>
      <c r="AR28" s="4" t="e">
        <v>#DIV/0!</v>
      </c>
      <c r="AS28" s="4" t="e">
        <v>#NAME?</v>
      </c>
      <c r="AT28" s="4" t="e">
        <v>#NULL!</v>
      </c>
      <c r="AU28" s="4" t="e">
        <v>#NUM!</v>
      </c>
      <c r="AV28" s="4" t="e">
        <v>#REF!</v>
      </c>
      <c r="AW28" s="4" t="e">
        <v>#N/A</v>
      </c>
    </row>
    <row r="29" spans="1:49" x14ac:dyDescent="0.15">
      <c r="A29" s="40" t="s">
        <v>302</v>
      </c>
    </row>
    <row r="30" spans="1:49" x14ac:dyDescent="0.15">
      <c r="A30" s="35" t="s">
        <v>303</v>
      </c>
      <c r="B30" s="36" t="s">
        <v>541</v>
      </c>
      <c r="C30" s="4">
        <v>0</v>
      </c>
      <c r="D30" s="4">
        <v>1.9</v>
      </c>
      <c r="E30" s="4">
        <v>2.2999999999999998</v>
      </c>
      <c r="F30" s="4">
        <v>10</v>
      </c>
      <c r="G30" s="4">
        <v>-1</v>
      </c>
      <c r="H30" s="6"/>
      <c r="I30" s="6" t="s">
        <v>32</v>
      </c>
      <c r="J30" s="6" t="b">
        <v>1</v>
      </c>
      <c r="K30" s="6" t="e">
        <f>#VALUE!</f>
        <v>#VALUE!</v>
      </c>
      <c r="L30" s="6" t="e">
        <v>#N/A</v>
      </c>
      <c r="M30" s="7" t="e">
        <v>#DIV/0!</v>
      </c>
      <c r="N30" s="7" t="e">
        <v>#NAME?</v>
      </c>
      <c r="O30" s="7" t="e">
        <v>#NULL!</v>
      </c>
      <c r="P30" s="7" t="e">
        <v>#NUM!</v>
      </c>
      <c r="Q30" s="7" t="e">
        <v>#REF!</v>
      </c>
      <c r="R30" s="4" t="str">
        <f>PROPER(C30)</f>
        <v>0</v>
      </c>
      <c r="S30" s="4" t="str">
        <f t="shared" ref="S30:AF30" si="23">PROPER(D30)</f>
        <v>1.9</v>
      </c>
      <c r="T30" s="4" t="str">
        <f t="shared" si="23"/>
        <v>2.3</v>
      </c>
      <c r="U30" s="4" t="str">
        <f t="shared" si="23"/>
        <v>10</v>
      </c>
      <c r="V30" s="4" t="str">
        <f t="shared" si="23"/>
        <v>-1</v>
      </c>
      <c r="W30" s="4" t="str">
        <f t="shared" si="23"/>
        <v/>
      </c>
      <c r="X30" s="4" t="str">
        <f t="shared" si="23"/>
        <v>Ciao</v>
      </c>
      <c r="Y30" s="4" t="str">
        <f t="shared" si="23"/>
        <v>True</v>
      </c>
      <c r="Z30" s="4" t="e">
        <f t="shared" si="23"/>
        <v>#VALUE!</v>
      </c>
      <c r="AA30" s="4" t="e">
        <f t="shared" si="23"/>
        <v>#N/A</v>
      </c>
      <c r="AB30" s="4" t="e">
        <f t="shared" si="23"/>
        <v>#DIV/0!</v>
      </c>
      <c r="AC30" s="4" t="e">
        <f t="shared" si="23"/>
        <v>#NAME?</v>
      </c>
      <c r="AD30" s="4" t="e">
        <f t="shared" si="23"/>
        <v>#NULL!</v>
      </c>
      <c r="AE30" s="4" t="e">
        <f t="shared" si="23"/>
        <v>#NUM!</v>
      </c>
      <c r="AF30" s="4" t="e">
        <f t="shared" si="23"/>
        <v>#REF!</v>
      </c>
      <c r="AG30" s="4" t="str">
        <f t="array" ref="AG30">PROPER(C30:Q30)</f>
        <v>0</v>
      </c>
      <c r="AH30" s="4" t="str">
        <f t="array" ref="AH30:AW30">PROPER(C30:Q30)</f>
        <v>0</v>
      </c>
      <c r="AI30" s="4" t="str">
        <v>1.9</v>
      </c>
      <c r="AJ30" s="4" t="str">
        <v>2.3</v>
      </c>
      <c r="AK30" s="4" t="str">
        <v>10</v>
      </c>
      <c r="AL30" s="4" t="str">
        <v>-1</v>
      </c>
      <c r="AM30" s="4" t="str">
        <v/>
      </c>
      <c r="AN30" s="4" t="str">
        <v>Ciao</v>
      </c>
      <c r="AO30" s="4" t="str">
        <v>True</v>
      </c>
      <c r="AP30" s="4" t="e">
        <v>#VALUE!</v>
      </c>
      <c r="AQ30" s="4" t="e">
        <v>#N/A</v>
      </c>
      <c r="AR30" s="4" t="e">
        <v>#DIV/0!</v>
      </c>
      <c r="AS30" s="4" t="e">
        <v>#NAME?</v>
      </c>
      <c r="AT30" s="4" t="e">
        <v>#NULL!</v>
      </c>
      <c r="AU30" s="4" t="e">
        <v>#NUM!</v>
      </c>
      <c r="AV30" s="4" t="e">
        <v>#REF!</v>
      </c>
      <c r="AW30" s="4" t="e">
        <v>#N/A</v>
      </c>
    </row>
    <row r="31" spans="1:49" ht="13" customHeight="1" x14ac:dyDescent="0.15">
      <c r="A31" s="35" t="s">
        <v>560</v>
      </c>
      <c r="B31" s="36" t="s">
        <v>541</v>
      </c>
      <c r="C31" s="4">
        <v>0</v>
      </c>
      <c r="D31" s="4">
        <v>1.9</v>
      </c>
      <c r="E31" s="4">
        <v>2.2999999999999998</v>
      </c>
      <c r="F31" s="4">
        <v>10</v>
      </c>
      <c r="G31" s="4">
        <v>-1</v>
      </c>
      <c r="H31" s="6"/>
      <c r="I31" s="6" t="s">
        <v>32</v>
      </c>
      <c r="J31" s="6" t="b">
        <v>1</v>
      </c>
      <c r="K31" s="6" t="e">
        <f>#VALUE!</f>
        <v>#VALUE!</v>
      </c>
      <c r="L31" s="6" t="e">
        <v>#N/A</v>
      </c>
      <c r="M31" s="7" t="e">
        <v>#DIV/0!</v>
      </c>
      <c r="N31" s="7" t="e">
        <v>#NAME?</v>
      </c>
      <c r="O31" s="7" t="e">
        <v>#NULL!</v>
      </c>
      <c r="P31" s="7" t="e">
        <v>#NUM!</v>
      </c>
      <c r="Q31" s="7" t="e">
        <v>#REF!</v>
      </c>
      <c r="R31" s="4" t="str" cm="1">
        <f t="array" ref="R31">_xlfn.REGEXEXTRACT(C31,"^\d+$")</f>
        <v>0</v>
      </c>
      <c r="S31" s="4" t="e" cm="1" vm="124">
        <f t="array" ref="S31">_xlfn.REGEXEXTRACT(D31,"^\d+$")</f>
        <v>#N/A</v>
      </c>
      <c r="T31" s="4" t="e" cm="1" vm="124">
        <f t="array" ref="T31">_xlfn.REGEXEXTRACT(E31,"^\d+$")</f>
        <v>#N/A</v>
      </c>
      <c r="U31" s="4" t="str" cm="1">
        <f t="array" ref="U31">_xlfn.REGEXEXTRACT(F31,"^\d+$")</f>
        <v>10</v>
      </c>
      <c r="V31" s="4" t="e" cm="1" vm="124">
        <f t="array" ref="V31">_xlfn.REGEXEXTRACT(G31,"^\d+$")</f>
        <v>#N/A</v>
      </c>
      <c r="W31" s="4" t="e" cm="1" vm="124">
        <f t="array" ref="W31">_xlfn.REGEXEXTRACT(H31,"^\d+$")</f>
        <v>#N/A</v>
      </c>
      <c r="X31" s="4" t="e" cm="1" vm="124">
        <f t="array" ref="X31">_xlfn.REGEXEXTRACT(I31,"^\d+$")</f>
        <v>#N/A</v>
      </c>
      <c r="Y31" s="4" t="e" cm="1" vm="124">
        <f t="array" ref="Y31">_xlfn.REGEXEXTRACT(J31,"^\d+$")</f>
        <v>#N/A</v>
      </c>
      <c r="Z31" s="4" t="e" cm="1">
        <f t="array" ref="Z31">_xlfn.REGEXEXTRACT(K31,"^\d+$")</f>
        <v>#VALUE!</v>
      </c>
      <c r="AA31" s="4" t="e" cm="1">
        <f t="array" ref="AA31">_xlfn.REGEXEXTRACT(L31,"^\d+$")</f>
        <v>#N/A</v>
      </c>
      <c r="AB31" s="4" t="e" cm="1">
        <f t="array" ref="AB31">_xlfn.REGEXEXTRACT(M31,"^\d+$")</f>
        <v>#DIV/0!</v>
      </c>
      <c r="AC31" s="4" t="e" cm="1">
        <f t="array" ref="AC31">_xlfn.REGEXEXTRACT(N31,"^\d+$")</f>
        <v>#NAME?</v>
      </c>
      <c r="AD31" s="4" t="e" cm="1">
        <f t="array" ref="AD31">_xlfn.REGEXEXTRACT(O31,"^\d+$")</f>
        <v>#NULL!</v>
      </c>
      <c r="AE31" s="4" t="e" cm="1">
        <f t="array" ref="AE31">_xlfn.REGEXEXTRACT(P31,"^\d+$")</f>
        <v>#NUM!</v>
      </c>
      <c r="AF31" s="4" t="e" cm="1">
        <f t="array" ref="AF31">_xlfn.REGEXEXTRACT(Q31,"^\d+$")</f>
        <v>#REF!</v>
      </c>
      <c r="AG31" s="4" t="str">
        <f t="array" ref="AG31">_xlfn.REGEXEXTRACT(C31:Q31,"^\d+$")</f>
        <v>0</v>
      </c>
      <c r="AH31" s="4" t="str">
        <f t="array" ref="AH31:AW31">_xlfn.REGEXEXTRACT(C31:Q31,"^\d+$")</f>
        <v>0</v>
      </c>
      <c r="AI31" s="4" t="e" vm="124">
        <v>#N/A</v>
      </c>
      <c r="AJ31" s="4" t="e" vm="124">
        <v>#N/A</v>
      </c>
      <c r="AK31" s="4" t="str">
        <v>10</v>
      </c>
      <c r="AL31" s="4" t="e" vm="124">
        <v>#N/A</v>
      </c>
      <c r="AM31" s="4" t="e" vm="124">
        <v>#N/A</v>
      </c>
      <c r="AN31" s="4" t="e" vm="124">
        <v>#N/A</v>
      </c>
      <c r="AO31" s="4" t="e" vm="124">
        <v>#N/A</v>
      </c>
      <c r="AP31" s="4" t="e">
        <v>#VALUE!</v>
      </c>
      <c r="AQ31" s="4" t="e">
        <v>#N/A</v>
      </c>
      <c r="AR31" s="4" t="e">
        <v>#DIV/0!</v>
      </c>
      <c r="AS31" s="4" t="e">
        <v>#NAME?</v>
      </c>
      <c r="AT31" s="4" t="e">
        <v>#NULL!</v>
      </c>
      <c r="AU31" s="4" t="e">
        <v>#NUM!</v>
      </c>
      <c r="AV31" s="4" t="e">
        <v>#REF!</v>
      </c>
      <c r="AW31" s="4" t="e">
        <v>#N/A</v>
      </c>
    </row>
    <row r="32" spans="1:49" x14ac:dyDescent="0.15">
      <c r="A32" s="35" t="s">
        <v>561</v>
      </c>
      <c r="B32" s="36" t="s">
        <v>541</v>
      </c>
      <c r="C32" s="4">
        <v>0</v>
      </c>
      <c r="D32" s="4">
        <v>1.9</v>
      </c>
      <c r="E32" s="4">
        <v>2.2999999999999998</v>
      </c>
      <c r="F32" s="4">
        <v>10</v>
      </c>
      <c r="G32" s="4">
        <v>-1</v>
      </c>
      <c r="H32" s="6"/>
      <c r="I32" s="6" t="s">
        <v>32</v>
      </c>
      <c r="J32" s="6" t="b">
        <v>1</v>
      </c>
      <c r="K32" s="6" t="e">
        <f>#VALUE!</f>
        <v>#VALUE!</v>
      </c>
      <c r="L32" s="6" t="e">
        <v>#N/A</v>
      </c>
      <c r="M32" s="7" t="e">
        <v>#DIV/0!</v>
      </c>
      <c r="N32" s="7" t="e">
        <v>#NAME?</v>
      </c>
      <c r="O32" s="7" t="e">
        <v>#NULL!</v>
      </c>
      <c r="P32" s="7" t="e">
        <v>#NUM!</v>
      </c>
      <c r="Q32" s="7" t="e">
        <v>#REF!</v>
      </c>
      <c r="R32" s="4" t="str">
        <f>_xlfn.REGEXREPLACE(C32,"^\d+$", "pi")</f>
        <v>pi</v>
      </c>
      <c r="S32" s="4" t="str">
        <f t="shared" ref="S32:AF32" si="24">_xlfn.REGEXREPLACE(D32,"^\d+$", "pi")</f>
        <v>1.9</v>
      </c>
      <c r="T32" s="4" t="str">
        <f t="shared" si="24"/>
        <v>2.3</v>
      </c>
      <c r="U32" s="4" t="str">
        <f>_xlfn.REGEXREPLACE(F32,"^\d+$", TRUE)</f>
        <v>TRUE</v>
      </c>
      <c r="V32" s="4" t="str">
        <f t="shared" si="24"/>
        <v>-1</v>
      </c>
      <c r="W32" s="4" t="str">
        <f t="shared" si="24"/>
        <v/>
      </c>
      <c r="X32" s="4" t="str">
        <f t="shared" si="24"/>
        <v>ciao</v>
      </c>
      <c r="Y32" s="4" t="str">
        <f t="shared" si="24"/>
        <v>TRUE</v>
      </c>
      <c r="Z32" s="4" t="e">
        <f t="shared" si="24"/>
        <v>#VALUE!</v>
      </c>
      <c r="AA32" s="4" t="e">
        <f t="shared" si="24"/>
        <v>#N/A</v>
      </c>
      <c r="AB32" s="4" t="e">
        <f t="shared" si="24"/>
        <v>#DIV/0!</v>
      </c>
      <c r="AC32" s="4" t="e">
        <f t="shared" si="24"/>
        <v>#NAME?</v>
      </c>
      <c r="AD32" s="4" t="e">
        <f t="shared" si="24"/>
        <v>#NULL!</v>
      </c>
      <c r="AE32" s="4" t="e">
        <f t="shared" si="24"/>
        <v>#NUM!</v>
      </c>
      <c r="AF32" s="4" t="e">
        <f t="shared" si="24"/>
        <v>#REF!</v>
      </c>
      <c r="AG32" s="4" t="str">
        <f t="array" ref="AG32">_xlfn.REGEXREPLACE(C32:Q32,"^\d+$", "pi")</f>
        <v>pi</v>
      </c>
      <c r="AH32" s="4" t="str">
        <f t="array" ref="AH32:AW32">_xlfn.REGEXREPLACE(C32:Q32,"^\d+$", "pi")</f>
        <v>pi</v>
      </c>
      <c r="AI32" s="4" t="str">
        <v>1.9</v>
      </c>
      <c r="AJ32" s="4" t="str">
        <v>2.3</v>
      </c>
      <c r="AK32" s="4" t="str">
        <v>pi</v>
      </c>
      <c r="AL32" s="4" t="str">
        <v>-1</v>
      </c>
      <c r="AM32" s="4" t="str">
        <v/>
      </c>
      <c r="AN32" s="4" t="str">
        <v>ciao</v>
      </c>
      <c r="AO32" s="4" t="str">
        <v>TRUE</v>
      </c>
      <c r="AP32" s="4" t="e">
        <v>#VALUE!</v>
      </c>
      <c r="AQ32" s="4" t="e">
        <v>#N/A</v>
      </c>
      <c r="AR32" s="4" t="e">
        <v>#DIV/0!</v>
      </c>
      <c r="AS32" s="4" t="e">
        <v>#NAME?</v>
      </c>
      <c r="AT32" s="4" t="e">
        <v>#NULL!</v>
      </c>
      <c r="AU32" s="4" t="e">
        <v>#NUM!</v>
      </c>
      <c r="AV32" s="4" t="e">
        <v>#REF!</v>
      </c>
      <c r="AW32" s="4" t="e">
        <v>#N/A</v>
      </c>
    </row>
    <row r="33" spans="1:49" x14ac:dyDescent="0.15">
      <c r="A33" s="35" t="s">
        <v>562</v>
      </c>
      <c r="B33" s="36" t="s">
        <v>541</v>
      </c>
      <c r="C33" s="4">
        <v>0</v>
      </c>
      <c r="D33" s="4">
        <v>1.9</v>
      </c>
      <c r="E33" s="4">
        <v>2.2999999999999998</v>
      </c>
      <c r="F33" s="4">
        <v>10</v>
      </c>
      <c r="G33" s="4">
        <v>-1</v>
      </c>
      <c r="H33" s="6"/>
      <c r="I33" s="6" t="s">
        <v>32</v>
      </c>
      <c r="J33" s="6" t="b">
        <v>1</v>
      </c>
      <c r="K33" s="6" t="e">
        <f>#VALUE!</f>
        <v>#VALUE!</v>
      </c>
      <c r="L33" s="6" t="e">
        <v>#N/A</v>
      </c>
      <c r="M33" s="7" t="e">
        <v>#DIV/0!</v>
      </c>
      <c r="N33" s="7" t="e">
        <v>#NAME?</v>
      </c>
      <c r="O33" s="7" t="e">
        <v>#NULL!</v>
      </c>
      <c r="P33" s="7" t="e">
        <v>#NUM!</v>
      </c>
      <c r="Q33" s="7" t="e">
        <v>#REF!</v>
      </c>
      <c r="R33" s="4" t="b">
        <f>_xlfn.REGEXTEST(C33,"^\d+$")</f>
        <v>1</v>
      </c>
      <c r="S33" s="4" t="b">
        <f>_xlfn.REGEXTEST(D33,1.9)</f>
        <v>1</v>
      </c>
      <c r="T33" s="4" t="e" vm="125">
        <f>_xlfn.REGEXTEST(E33,"^\d+$", 2)</f>
        <v>#VALUE!</v>
      </c>
      <c r="U33" s="4" t="b">
        <f>_xlfn.REGEXTEST(F33,"^\d+$",1.9)</f>
        <v>1</v>
      </c>
      <c r="V33" s="4" t="b">
        <f t="shared" ref="V33:AF33" si="25">_xlfn.REGEXTEST(G33,"^\d+$")</f>
        <v>0</v>
      </c>
      <c r="W33" s="4" t="b">
        <f>_xlfn.REGEXTEST(H33,"^\d+$")</f>
        <v>0</v>
      </c>
      <c r="X33" s="4" t="b">
        <f>_xlfn.REGEXTEST(I33,"^ciaO$", 1)</f>
        <v>1</v>
      </c>
      <c r="Y33" s="4" t="b">
        <f t="shared" si="25"/>
        <v>0</v>
      </c>
      <c r="Z33" s="4" t="e">
        <f t="shared" si="25"/>
        <v>#VALUE!</v>
      </c>
      <c r="AA33" s="4" t="e">
        <f t="shared" si="25"/>
        <v>#N/A</v>
      </c>
      <c r="AB33" s="4" t="e">
        <f t="shared" si="25"/>
        <v>#DIV/0!</v>
      </c>
      <c r="AC33" s="4" t="e">
        <f t="shared" si="25"/>
        <v>#NAME?</v>
      </c>
      <c r="AD33" s="4" t="e">
        <f t="shared" si="25"/>
        <v>#NULL!</v>
      </c>
      <c r="AE33" s="4" t="e">
        <f t="shared" si="25"/>
        <v>#NUM!</v>
      </c>
      <c r="AF33" s="4" t="e">
        <f t="shared" si="25"/>
        <v>#REF!</v>
      </c>
      <c r="AG33" s="4" t="b">
        <f t="array" ref="AG33">_xlfn.REGEXTEST(C33:Q33,"^\d+$")</f>
        <v>1</v>
      </c>
      <c r="AH33" s="4" t="b">
        <f t="array" ref="AH33:AW33">_xlfn.REGEXTEST(C33:Q33,"^\d+$")</f>
        <v>1</v>
      </c>
      <c r="AI33" s="4" t="b">
        <v>0</v>
      </c>
      <c r="AJ33" s="4" t="b">
        <v>0</v>
      </c>
      <c r="AK33" s="4" t="b">
        <v>1</v>
      </c>
      <c r="AL33" s="4" t="b">
        <v>0</v>
      </c>
      <c r="AM33" s="4" t="b">
        <v>0</v>
      </c>
      <c r="AN33" s="4" t="b">
        <v>0</v>
      </c>
      <c r="AO33" s="4" t="b">
        <v>0</v>
      </c>
      <c r="AP33" s="4" t="e">
        <v>#VALUE!</v>
      </c>
      <c r="AQ33" s="4" t="e">
        <v>#N/A</v>
      </c>
      <c r="AR33" s="4" t="e">
        <v>#DIV/0!</v>
      </c>
      <c r="AS33" s="4" t="e">
        <v>#NAME?</v>
      </c>
      <c r="AT33" s="4" t="e">
        <v>#NULL!</v>
      </c>
      <c r="AU33" s="4" t="e">
        <v>#NUM!</v>
      </c>
      <c r="AV33" s="4" t="e">
        <v>#REF!</v>
      </c>
      <c r="AW33" s="4" t="e">
        <v>#N/A</v>
      </c>
    </row>
    <row r="34" spans="1:49" x14ac:dyDescent="0.15">
      <c r="A34" s="35" t="s">
        <v>304</v>
      </c>
      <c r="B34" s="36" t="s">
        <v>541</v>
      </c>
      <c r="C34" s="4">
        <v>0</v>
      </c>
      <c r="D34" s="4">
        <v>1.9</v>
      </c>
      <c r="E34" s="4">
        <v>2.2999999999999998</v>
      </c>
      <c r="F34" s="4">
        <v>10</v>
      </c>
      <c r="G34" s="4">
        <v>-1</v>
      </c>
      <c r="H34" s="6"/>
      <c r="I34" s="6" t="s">
        <v>32</v>
      </c>
      <c r="J34" s="6" t="b">
        <v>1</v>
      </c>
      <c r="K34" s="6" t="e">
        <f>#VALUE!</f>
        <v>#VALUE!</v>
      </c>
      <c r="L34" s="6" t="e">
        <v>#N/A</v>
      </c>
      <c r="M34" s="7" t="e">
        <v>#DIV/0!</v>
      </c>
      <c r="N34" s="7" t="e">
        <v>#NAME?</v>
      </c>
      <c r="O34" s="7" t="e">
        <v>#NULL!</v>
      </c>
      <c r="P34" s="7" t="e">
        <v>#NUM!</v>
      </c>
      <c r="Q34" s="7" t="e">
        <v>#REF!</v>
      </c>
      <c r="R34" s="4" t="str">
        <f>REPLACE("ciao",2,C34,"vvv")</f>
        <v>cvvviao</v>
      </c>
      <c r="S34" s="4" t="str">
        <f>REPLACE("ciao",D34,2,"cc")</f>
        <v>ccao</v>
      </c>
      <c r="T34" s="4" t="str">
        <f>REPLACE(E34,1,2,"c")</f>
        <v>c3</v>
      </c>
      <c r="U34" s="4" t="str">
        <f>REPLACE("ciao",F34,2,3)</f>
        <v>ciao3</v>
      </c>
      <c r="V34" s="4" t="e">
        <f>REPLACE("ciao",2,G34,TRUE)</f>
        <v>#VALUE!</v>
      </c>
      <c r="W34" s="4" t="e">
        <f>REPLACE("ciao",H34,2,2)</f>
        <v>#VALUE!</v>
      </c>
      <c r="X34" s="4" t="e" vm="126">
        <f>REPLACE("ciao",I34,E34,2)</f>
        <v>#VALUE!</v>
      </c>
      <c r="Y34" s="4" t="str">
        <f>REPLACE("ciao",J34,H34,"a")</f>
        <v>aciao</v>
      </c>
      <c r="Z34" s="4" t="e">
        <f>REPLACE("ciao",K34,2,"vv")</f>
        <v>#VALUE!</v>
      </c>
      <c r="AA34" s="4" t="e">
        <f t="shared" ref="AA34:AF34" si="26">REPLACE("ciao",L34,2,"vv")</f>
        <v>#N/A</v>
      </c>
      <c r="AB34" s="4" t="e">
        <f t="shared" si="26"/>
        <v>#DIV/0!</v>
      </c>
      <c r="AC34" s="4" t="e">
        <f t="shared" si="26"/>
        <v>#NAME?</v>
      </c>
      <c r="AD34" s="4" t="e">
        <f t="shared" si="26"/>
        <v>#NULL!</v>
      </c>
      <c r="AE34" s="4" t="e">
        <f t="shared" si="26"/>
        <v>#NUM!</v>
      </c>
      <c r="AF34" s="4" t="e">
        <f t="shared" si="26"/>
        <v>#REF!</v>
      </c>
      <c r="AG34" s="4" t="str">
        <f t="array" ref="AG34">REPLACE({"ciao","bau"},3,2,{"ss","ee"})</f>
        <v>ciss</v>
      </c>
      <c r="AH34" s="4" t="str">
        <f t="array" ref="AH34:AJ34">REPLACE({"ciao","bau"},2,D34:E34, {"ss","ee"})</f>
        <v>cssao</v>
      </c>
      <c r="AI34" s="4" t="str">
        <v>bee</v>
      </c>
      <c r="AJ34" s="4" t="e">
        <v>#N/A</v>
      </c>
      <c r="AK34" s="4" t="str">
        <f t="array" ref="AK34:AW34">REPLACE("ciao",1,C34:Q34,"cc")</f>
        <v>ccciao</v>
      </c>
      <c r="AL34" s="4" t="str">
        <v>cciao</v>
      </c>
      <c r="AM34" s="4" t="str">
        <v>ccao</v>
      </c>
      <c r="AN34" s="4" t="str">
        <v>cc</v>
      </c>
      <c r="AO34" s="4" t="e">
        <v>#VALUE!</v>
      </c>
      <c r="AP34" s="4" t="str">
        <v>ccciao</v>
      </c>
      <c r="AQ34" s="4" t="e" vm="126">
        <v>#VALUE!</v>
      </c>
      <c r="AR34" s="4" t="str">
        <v>cciao</v>
      </c>
      <c r="AS34" s="4" t="e">
        <v>#VALUE!</v>
      </c>
      <c r="AT34" s="4" t="e">
        <v>#N/A</v>
      </c>
      <c r="AU34" s="4" t="e">
        <v>#DIV/0!</v>
      </c>
      <c r="AV34" s="4" t="e">
        <v>#NAME?</v>
      </c>
      <c r="AW34" s="4" t="e">
        <v>#NULL!</v>
      </c>
    </row>
    <row r="35" spans="1:49" x14ac:dyDescent="0.15">
      <c r="A35" s="35" t="s">
        <v>305</v>
      </c>
      <c r="B35" s="36" t="s">
        <v>541</v>
      </c>
      <c r="C35" s="4">
        <v>0</v>
      </c>
      <c r="D35" s="4">
        <v>1.9</v>
      </c>
      <c r="E35" s="4">
        <v>2.2999999999999998</v>
      </c>
      <c r="F35" s="4">
        <v>10</v>
      </c>
      <c r="G35" s="4">
        <v>-1</v>
      </c>
      <c r="H35" s="6"/>
      <c r="I35" s="6" t="s">
        <v>32</v>
      </c>
      <c r="J35" s="6" t="b">
        <v>1</v>
      </c>
      <c r="K35" s="6" t="e">
        <f>#VALUE!</f>
        <v>#VALUE!</v>
      </c>
      <c r="L35" s="6" t="e">
        <v>#N/A</v>
      </c>
      <c r="M35" s="7" t="e">
        <v>#DIV/0!</v>
      </c>
      <c r="N35" s="7" t="e">
        <v>#NAME?</v>
      </c>
      <c r="O35" s="7" t="e">
        <v>#NULL!</v>
      </c>
      <c r="P35" s="7" t="e">
        <v>#NUM!</v>
      </c>
      <c r="Q35" s="7" t="e">
        <v>#REF!</v>
      </c>
      <c r="R35" s="4" t="str">
        <f>REPLACEB("ciao",2,C35,"vvv")</f>
        <v>cvvviao</v>
      </c>
      <c r="S35" s="4" t="str">
        <f>REPLACEB("ciao",D35,2,"cc")</f>
        <v>ccao</v>
      </c>
      <c r="T35" s="4" t="str">
        <f>REPLACEB(E35,1,2,"c")</f>
        <v>c3</v>
      </c>
      <c r="U35" s="4" t="str">
        <f>REPLACEB("ciao",F35,2,3)</f>
        <v>ciao3</v>
      </c>
      <c r="V35" s="4" t="e">
        <f>REPLACEB("ciao",2,G35,TRUE)</f>
        <v>#VALUE!</v>
      </c>
      <c r="W35" s="4" t="e">
        <f>REPLACEB("ciao",H35,2,2)</f>
        <v>#VALUE!</v>
      </c>
      <c r="X35" s="4" t="e" vm="127">
        <f>REPLACEB("ciao",I35,E35,2)</f>
        <v>#VALUE!</v>
      </c>
      <c r="Y35" s="4" t="str">
        <f>REPLACEB("ciao",J35,H35,"a")</f>
        <v>aciao</v>
      </c>
      <c r="Z35" s="4" t="e">
        <f t="shared" ref="Z35:AF35" si="27">REPLACEB("ciao",K35,2,"vv")</f>
        <v>#VALUE!</v>
      </c>
      <c r="AA35" s="4" t="e">
        <f t="shared" si="27"/>
        <v>#N/A</v>
      </c>
      <c r="AB35" s="4" t="e">
        <f t="shared" si="27"/>
        <v>#DIV/0!</v>
      </c>
      <c r="AC35" s="4" t="e">
        <f t="shared" si="27"/>
        <v>#NAME?</v>
      </c>
      <c r="AD35" s="4" t="e">
        <f t="shared" si="27"/>
        <v>#NULL!</v>
      </c>
      <c r="AE35" s="4" t="e">
        <f t="shared" si="27"/>
        <v>#NUM!</v>
      </c>
      <c r="AF35" s="4" t="e">
        <f t="shared" si="27"/>
        <v>#REF!</v>
      </c>
      <c r="AG35" s="4" t="str">
        <f t="array" ref="AG35">REPLACEB({"ciao","bau"},3,2,{"ss","ee"})</f>
        <v>ciss</v>
      </c>
      <c r="AH35" s="4" t="str">
        <f t="array" ref="AH35:AJ35">REPLACEB({"ciao","bau"},2,D35:E35, {"ss","ee"})</f>
        <v>cssao</v>
      </c>
      <c r="AI35" s="4" t="str">
        <v>bee</v>
      </c>
      <c r="AJ35" s="4" t="e">
        <v>#N/A</v>
      </c>
      <c r="AK35" s="4" t="str">
        <f t="array" ref="AK35:AW35">REPLACEB("ciao",1,C35:Q35,"cc")</f>
        <v>ccciao</v>
      </c>
      <c r="AL35" s="4" t="str">
        <v>cciao</v>
      </c>
      <c r="AM35" s="4" t="str">
        <v>ccao</v>
      </c>
      <c r="AN35" s="4" t="str">
        <v>cc</v>
      </c>
      <c r="AO35" s="4" t="e">
        <v>#VALUE!</v>
      </c>
      <c r="AP35" s="4" t="str">
        <v>ccciao</v>
      </c>
      <c r="AQ35" s="4" t="e" vm="127">
        <v>#VALUE!</v>
      </c>
      <c r="AR35" s="4" t="str">
        <v>cciao</v>
      </c>
      <c r="AS35" s="4" t="e">
        <v>#VALUE!</v>
      </c>
      <c r="AT35" s="4" t="e">
        <v>#N/A</v>
      </c>
      <c r="AU35" s="4" t="e">
        <v>#DIV/0!</v>
      </c>
      <c r="AV35" s="4" t="e">
        <v>#NAME?</v>
      </c>
      <c r="AW35" s="4" t="e">
        <v>#NULL!</v>
      </c>
    </row>
    <row r="36" spans="1:49" x14ac:dyDescent="0.15">
      <c r="A36" s="35" t="s">
        <v>306</v>
      </c>
      <c r="B36" s="36" t="s">
        <v>541</v>
      </c>
      <c r="C36" s="4">
        <v>0</v>
      </c>
      <c r="D36" s="4">
        <v>1.9</v>
      </c>
      <c r="E36" s="4">
        <v>2.2999999999999998</v>
      </c>
      <c r="F36" s="4">
        <v>10</v>
      </c>
      <c r="G36" s="4">
        <v>-1</v>
      </c>
      <c r="H36" s="6"/>
      <c r="I36" s="6" t="s">
        <v>32</v>
      </c>
      <c r="J36" s="6" t="b">
        <v>1</v>
      </c>
      <c r="K36" s="6" t="e">
        <f>#VALUE!</f>
        <v>#VALUE!</v>
      </c>
      <c r="L36" s="6" t="e">
        <v>#N/A</v>
      </c>
      <c r="M36" s="7" t="e">
        <v>#DIV/0!</v>
      </c>
      <c r="N36" s="7" t="e">
        <v>#NAME?</v>
      </c>
      <c r="O36" s="7" t="e">
        <v>#NULL!</v>
      </c>
      <c r="P36" s="7" t="e">
        <v>#NUM!</v>
      </c>
      <c r="Q36" s="7" t="e">
        <v>#REF!</v>
      </c>
      <c r="R36" s="4" t="str">
        <f>REPT(C36,3)</f>
        <v>000</v>
      </c>
      <c r="S36" s="4" t="str">
        <f t="shared" ref="S36:AF36" si="28">REPT(D36,3)</f>
        <v>1.91.91.9</v>
      </c>
      <c r="T36" s="4" t="str">
        <f t="shared" si="28"/>
        <v>2.32.32.3</v>
      </c>
      <c r="U36" s="4" t="str">
        <f t="shared" si="28"/>
        <v>101010</v>
      </c>
      <c r="V36" s="4" t="str">
        <f t="shared" si="28"/>
        <v>-1-1-1</v>
      </c>
      <c r="W36" s="4" t="str">
        <f t="shared" si="28"/>
        <v/>
      </c>
      <c r="X36" s="4" t="str">
        <f t="shared" si="28"/>
        <v>ciaociaociao</v>
      </c>
      <c r="Y36" s="4" t="str">
        <f t="shared" si="28"/>
        <v>TRUETRUETRUE</v>
      </c>
      <c r="Z36" s="4" t="e">
        <f t="shared" si="28"/>
        <v>#VALUE!</v>
      </c>
      <c r="AA36" s="4" t="e">
        <f t="shared" si="28"/>
        <v>#N/A</v>
      </c>
      <c r="AB36" s="4" t="e">
        <f t="shared" si="28"/>
        <v>#DIV/0!</v>
      </c>
      <c r="AC36" s="4" t="e">
        <f t="shared" si="28"/>
        <v>#NAME?</v>
      </c>
      <c r="AD36" s="4" t="e">
        <f t="shared" si="28"/>
        <v>#NULL!</v>
      </c>
      <c r="AE36" s="4" t="e">
        <f t="shared" si="28"/>
        <v>#NUM!</v>
      </c>
      <c r="AF36" s="4" t="e">
        <f t="shared" si="28"/>
        <v>#REF!</v>
      </c>
      <c r="AG36" s="4" t="str">
        <f t="array" ref="AG36">REPT(C36:Q36,3)</f>
        <v>000</v>
      </c>
      <c r="AH36" s="4" t="str">
        <f t="array" ref="AH36:AW36">REPT(C36:Q36,3)</f>
        <v>000</v>
      </c>
      <c r="AI36" s="4" t="str">
        <v>1.91.91.9</v>
      </c>
      <c r="AJ36" s="4" t="str">
        <v>2.32.32.3</v>
      </c>
      <c r="AK36" s="4" t="str">
        <v>101010</v>
      </c>
      <c r="AL36" s="4" t="str">
        <v>-1-1-1</v>
      </c>
      <c r="AM36" s="4" t="str">
        <v/>
      </c>
      <c r="AN36" s="4" t="str">
        <v>ciaociaociao</v>
      </c>
      <c r="AO36" s="4" t="str">
        <v>TRUETRUETRUE</v>
      </c>
      <c r="AP36" s="4" t="e">
        <v>#VALUE!</v>
      </c>
      <c r="AQ36" s="4" t="e">
        <v>#N/A</v>
      </c>
      <c r="AR36" s="4" t="e">
        <v>#DIV/0!</v>
      </c>
      <c r="AS36" s="4" t="e">
        <v>#NAME?</v>
      </c>
      <c r="AT36" s="4" t="e">
        <v>#NULL!</v>
      </c>
      <c r="AU36" s="4" t="e">
        <v>#NUM!</v>
      </c>
      <c r="AV36" s="4" t="e">
        <v>#REF!</v>
      </c>
      <c r="AW36" s="4" t="e">
        <v>#N/A</v>
      </c>
    </row>
    <row r="37" spans="1:49" x14ac:dyDescent="0.15">
      <c r="A37" s="35" t="s">
        <v>307</v>
      </c>
      <c r="B37" s="36" t="s">
        <v>541</v>
      </c>
      <c r="C37" s="4">
        <v>0</v>
      </c>
      <c r="D37" s="4">
        <v>1.9</v>
      </c>
      <c r="E37" s="4">
        <v>2.2999999999999998</v>
      </c>
      <c r="F37" s="4">
        <v>10</v>
      </c>
      <c r="G37" s="4">
        <v>-1</v>
      </c>
      <c r="H37" s="6"/>
      <c r="I37" s="6" t="s">
        <v>32</v>
      </c>
      <c r="J37" s="6" t="b">
        <v>1</v>
      </c>
      <c r="K37" s="6" t="e">
        <f>#VALUE!</f>
        <v>#VALUE!</v>
      </c>
      <c r="L37" s="6" t="e">
        <v>#N/A</v>
      </c>
      <c r="M37" s="7" t="e">
        <v>#DIV/0!</v>
      </c>
      <c r="N37" s="7" t="e">
        <v>#NAME?</v>
      </c>
      <c r="O37" s="7" t="e">
        <v>#NULL!</v>
      </c>
      <c r="P37" s="7" t="e">
        <v>#NUM!</v>
      </c>
      <c r="Q37" s="7" t="e">
        <v>#REF!</v>
      </c>
      <c r="R37" s="4" t="str">
        <f>RIGHT("ciao",C37)</f>
        <v/>
      </c>
      <c r="S37" s="4" t="str">
        <f>RIGHT("ciao",D37)</f>
        <v>o</v>
      </c>
      <c r="T37" s="4" t="str">
        <f>RIGHT(E37,1)</f>
        <v>3</v>
      </c>
      <c r="U37" s="4" t="str">
        <f t="shared" ref="U37:AF37" si="29">RIGHT("ciao",F37)</f>
        <v>ciao</v>
      </c>
      <c r="V37" s="4" t="e">
        <f t="shared" si="29"/>
        <v>#VALUE!</v>
      </c>
      <c r="W37" s="4" t="str">
        <f t="shared" si="29"/>
        <v/>
      </c>
      <c r="X37" s="4" t="e" vm="128">
        <f t="shared" si="29"/>
        <v>#VALUE!</v>
      </c>
      <c r="Y37" s="4" t="str">
        <f t="shared" si="29"/>
        <v>o</v>
      </c>
      <c r="Z37" s="4" t="e">
        <f t="shared" si="29"/>
        <v>#VALUE!</v>
      </c>
      <c r="AA37" s="4" t="e">
        <f t="shared" si="29"/>
        <v>#N/A</v>
      </c>
      <c r="AB37" s="4" t="e">
        <f t="shared" si="29"/>
        <v>#DIV/0!</v>
      </c>
      <c r="AC37" s="4" t="e">
        <f t="shared" si="29"/>
        <v>#NAME?</v>
      </c>
      <c r="AD37" s="4" t="e">
        <f t="shared" si="29"/>
        <v>#NULL!</v>
      </c>
      <c r="AE37" s="4" t="e">
        <f t="shared" si="29"/>
        <v>#NUM!</v>
      </c>
      <c r="AF37" s="4" t="e">
        <f t="shared" si="29"/>
        <v>#REF!</v>
      </c>
      <c r="AG37" s="4" t="str">
        <f t="array" ref="AG37">RIGHT({"ciao","bau"},3)</f>
        <v>iao</v>
      </c>
      <c r="AH37" s="4" t="str">
        <f t="array" ref="AH37:AJ37">RIGHT({"ciao","bau"},C37:D37)</f>
        <v/>
      </c>
      <c r="AI37" s="4" t="str">
        <v>u</v>
      </c>
      <c r="AJ37" s="4" t="e">
        <v>#N/A</v>
      </c>
      <c r="AK37" s="4" t="str">
        <f t="array" ref="AK37:AW37">RIGHT("ciao",C37:Q37)</f>
        <v/>
      </c>
      <c r="AL37" s="4" t="str">
        <v>o</v>
      </c>
      <c r="AM37" s="4" t="str">
        <v>ao</v>
      </c>
      <c r="AN37" s="4" t="str">
        <v>ciao</v>
      </c>
      <c r="AO37" s="4" t="e">
        <v>#VALUE!</v>
      </c>
      <c r="AP37" s="4" t="str">
        <v/>
      </c>
      <c r="AQ37" s="4" t="e" vm="128">
        <v>#VALUE!</v>
      </c>
      <c r="AR37" s="4" t="str">
        <v>o</v>
      </c>
      <c r="AS37" s="4" t="e">
        <v>#VALUE!</v>
      </c>
      <c r="AT37" s="4" t="e">
        <v>#N/A</v>
      </c>
      <c r="AU37" s="4" t="e">
        <v>#DIV/0!</v>
      </c>
      <c r="AV37" s="4" t="e">
        <v>#NAME?</v>
      </c>
      <c r="AW37" s="4" t="e">
        <v>#NULL!</v>
      </c>
    </row>
    <row r="38" spans="1:49" x14ac:dyDescent="0.15">
      <c r="A38" s="35" t="s">
        <v>308</v>
      </c>
      <c r="B38" s="36" t="s">
        <v>541</v>
      </c>
      <c r="C38" s="4">
        <v>0</v>
      </c>
      <c r="D38" s="4">
        <v>1.9</v>
      </c>
      <c r="E38" s="4">
        <v>2.2999999999999998</v>
      </c>
      <c r="F38" s="4">
        <v>10</v>
      </c>
      <c r="G38" s="4">
        <v>-1</v>
      </c>
      <c r="H38" s="6"/>
      <c r="I38" s="6" t="s">
        <v>32</v>
      </c>
      <c r="J38" s="6" t="b">
        <v>1</v>
      </c>
      <c r="K38" s="6" t="e">
        <f>#VALUE!</f>
        <v>#VALUE!</v>
      </c>
      <c r="L38" s="6" t="e">
        <v>#N/A</v>
      </c>
      <c r="M38" s="7" t="e">
        <v>#DIV/0!</v>
      </c>
      <c r="N38" s="7" t="e">
        <v>#NAME?</v>
      </c>
      <c r="O38" s="7" t="e">
        <v>#NULL!</v>
      </c>
      <c r="P38" s="7" t="e">
        <v>#NUM!</v>
      </c>
      <c r="Q38" s="7" t="e">
        <v>#REF!</v>
      </c>
      <c r="R38" s="4" t="str">
        <f>RIGHTB("ciao",C38)</f>
        <v/>
      </c>
      <c r="S38" s="4" t="str">
        <f>RIGHTB("ciao",D38)</f>
        <v>o</v>
      </c>
      <c r="T38" s="4" t="str">
        <f>RIGHTB(E38,1)</f>
        <v>3</v>
      </c>
      <c r="U38" s="4" t="str">
        <f t="shared" ref="U38:Z38" si="30">RIGHTB("ciao",F38)</f>
        <v>ciao</v>
      </c>
      <c r="V38" s="4" t="e">
        <f t="shared" si="30"/>
        <v>#VALUE!</v>
      </c>
      <c r="W38" s="4" t="str">
        <f t="shared" si="30"/>
        <v/>
      </c>
      <c r="X38" s="4" t="e" vm="129">
        <f t="shared" si="30"/>
        <v>#VALUE!</v>
      </c>
      <c r="Y38" s="4" t="str">
        <f t="shared" si="30"/>
        <v>o</v>
      </c>
      <c r="Z38" s="4" t="e">
        <f t="shared" si="30"/>
        <v>#VALUE!</v>
      </c>
      <c r="AA38" s="4" t="e">
        <f t="shared" ref="AA38:AF38" si="31">RIGHTB("ciao",L38)</f>
        <v>#N/A</v>
      </c>
      <c r="AB38" s="4" t="e">
        <f t="shared" si="31"/>
        <v>#DIV/0!</v>
      </c>
      <c r="AC38" s="4" t="e">
        <f t="shared" si="31"/>
        <v>#NAME?</v>
      </c>
      <c r="AD38" s="4" t="e">
        <f t="shared" si="31"/>
        <v>#NULL!</v>
      </c>
      <c r="AE38" s="4" t="e">
        <f t="shared" si="31"/>
        <v>#NUM!</v>
      </c>
      <c r="AF38" s="4" t="e">
        <f t="shared" si="31"/>
        <v>#REF!</v>
      </c>
      <c r="AG38" s="4" t="str">
        <f t="array" ref="AG38">RIGHTB({"ciao","bau"},3)</f>
        <v>iao</v>
      </c>
      <c r="AH38" s="4" t="str">
        <f t="array" ref="AH38:AJ38">RIGHTB({"ciao","bau"},C38:D38)</f>
        <v/>
      </c>
      <c r="AI38" s="4" t="str">
        <v>u</v>
      </c>
      <c r="AJ38" s="4" t="e">
        <v>#N/A</v>
      </c>
      <c r="AK38" s="4" t="str">
        <f t="array" ref="AK38:AW38">RIGHTB("ciao",C38:Q38)</f>
        <v/>
      </c>
      <c r="AL38" s="4" t="str">
        <v>o</v>
      </c>
      <c r="AM38" s="4" t="str">
        <v>ao</v>
      </c>
      <c r="AN38" s="4" t="str">
        <v>ciao</v>
      </c>
      <c r="AO38" s="4" t="e">
        <v>#VALUE!</v>
      </c>
      <c r="AP38" s="4" t="str">
        <v/>
      </c>
      <c r="AQ38" s="4" t="e" vm="129">
        <v>#VALUE!</v>
      </c>
      <c r="AR38" s="4" t="str">
        <v>o</v>
      </c>
      <c r="AS38" s="4" t="e">
        <v>#VALUE!</v>
      </c>
      <c r="AT38" s="4" t="e">
        <v>#N/A</v>
      </c>
      <c r="AU38" s="4" t="e">
        <v>#DIV/0!</v>
      </c>
      <c r="AV38" s="4" t="e">
        <v>#NAME?</v>
      </c>
      <c r="AW38" s="4" t="e">
        <v>#NULL!</v>
      </c>
    </row>
    <row r="39" spans="1:49" x14ac:dyDescent="0.15">
      <c r="A39" s="35" t="s">
        <v>309</v>
      </c>
      <c r="B39" s="36" t="s">
        <v>541</v>
      </c>
      <c r="C39" s="4">
        <v>0</v>
      </c>
      <c r="D39" s="4">
        <v>1.9</v>
      </c>
      <c r="E39" s="4">
        <v>2.2999999999999998</v>
      </c>
      <c r="F39" s="4">
        <v>10</v>
      </c>
      <c r="G39" s="4">
        <v>-1</v>
      </c>
      <c r="H39" s="6"/>
      <c r="I39" s="6" t="s">
        <v>32</v>
      </c>
      <c r="J39" s="6" t="b">
        <v>1</v>
      </c>
      <c r="K39" s="6" t="e">
        <f>#VALUE!</f>
        <v>#VALUE!</v>
      </c>
      <c r="L39" s="6" t="e">
        <v>#N/A</v>
      </c>
      <c r="M39" s="7" t="e">
        <v>#DIV/0!</v>
      </c>
      <c r="N39" s="7" t="e">
        <v>#NAME?</v>
      </c>
      <c r="O39" s="7" t="e">
        <v>#NULL!</v>
      </c>
      <c r="P39" s="7" t="e">
        <v>#NUM!</v>
      </c>
      <c r="Q39" s="7" t="e">
        <v>#REF!</v>
      </c>
      <c r="R39" s="4" t="e">
        <f>SEARCH("BASE","database",C39)</f>
        <v>#VALUE!</v>
      </c>
      <c r="S39" s="4">
        <f t="shared" ref="S39:AA39" si="32">SEARCH("BASE","database",D39)</f>
        <v>5</v>
      </c>
      <c r="T39" s="4">
        <f t="shared" si="32"/>
        <v>5</v>
      </c>
      <c r="U39" s="4" t="e">
        <f>SEARCH("BASE","database",F39)</f>
        <v>#VALUE!</v>
      </c>
      <c r="V39" s="4" t="e">
        <f>SEARCH("BASE","database",G39)</f>
        <v>#VALUE!</v>
      </c>
      <c r="W39" s="4" t="e">
        <f>SEARCH("BASE","database",H39)</f>
        <v>#VALUE!</v>
      </c>
      <c r="X39" s="4" t="e" vm="130">
        <f>SEARCH("BASE","database",I39)</f>
        <v>#VALUE!</v>
      </c>
      <c r="Y39" s="4">
        <f t="shared" si="32"/>
        <v>5</v>
      </c>
      <c r="Z39" s="4" t="e">
        <f t="shared" si="32"/>
        <v>#VALUE!</v>
      </c>
      <c r="AA39" s="4" t="e">
        <f t="shared" si="32"/>
        <v>#N/A</v>
      </c>
      <c r="AB39" s="4" t="e">
        <f>SEARCH("BASE","database",M39)</f>
        <v>#DIV/0!</v>
      </c>
      <c r="AC39" s="4" t="e">
        <f>SEARCH("BASE","database",N39)</f>
        <v>#NAME?</v>
      </c>
      <c r="AD39" s="4" t="e">
        <f>SEARCH("BASE","database",O39)</f>
        <v>#NULL!</v>
      </c>
      <c r="AE39" s="4" t="e">
        <f>SEARCH("BASE","database",P39)</f>
        <v>#NUM!</v>
      </c>
      <c r="AF39" s="4" t="e">
        <f>SEARCH("BASE","database",Q39)</f>
        <v>#REF!</v>
      </c>
      <c r="AG39" s="4">
        <f t="array" ref="AG39">SEARCH({"BASE","bau"},"database")</f>
        <v>5</v>
      </c>
      <c r="AH39" s="4">
        <f t="array" ref="AH39:AJ39">SEARCH({"BASE","bau"},"database")</f>
        <v>5</v>
      </c>
      <c r="AI39" s="4" t="e">
        <v>#VALUE!</v>
      </c>
      <c r="AJ39" s="4" t="e">
        <v>#N/A</v>
      </c>
      <c r="AK39" s="4" t="e">
        <f t="array" ref="AK39:AM39">SEARCH({"bau","BASE"},"database",C39:D39)</f>
        <v>#VALUE!</v>
      </c>
      <c r="AL39" s="4">
        <v>5</v>
      </c>
      <c r="AM39" s="4" t="e">
        <v>#N/A</v>
      </c>
      <c r="AN39" s="4" t="e">
        <f t="array" ref="AN39:AW39">SEARCH({"bau","BASE",3},"database",C39:E39)</f>
        <v>#VALUE!</v>
      </c>
      <c r="AO39" s="4">
        <v>5</v>
      </c>
      <c r="AP39" s="4" t="e">
        <v>#VALUE!</v>
      </c>
      <c r="AQ39" s="4" t="e">
        <v>#N/A</v>
      </c>
      <c r="AR39" s="4" t="e">
        <v>#N/A</v>
      </c>
      <c r="AS39" s="4" t="e">
        <v>#N/A</v>
      </c>
      <c r="AT39" s="4" t="e">
        <v>#N/A</v>
      </c>
      <c r="AU39" s="4" t="e">
        <v>#N/A</v>
      </c>
      <c r="AV39" s="4" t="e">
        <v>#N/A</v>
      </c>
      <c r="AW39" s="4" t="e">
        <v>#N/A</v>
      </c>
    </row>
    <row r="40" spans="1:49" x14ac:dyDescent="0.15">
      <c r="A40" s="35" t="s">
        <v>310</v>
      </c>
      <c r="B40" s="36" t="s">
        <v>541</v>
      </c>
      <c r="C40" s="4">
        <v>0</v>
      </c>
      <c r="D40" s="4">
        <v>1.9</v>
      </c>
      <c r="E40" s="4">
        <v>2.2999999999999998</v>
      </c>
      <c r="F40" s="4">
        <v>10</v>
      </c>
      <c r="G40" s="4">
        <v>-1</v>
      </c>
      <c r="H40" s="6"/>
      <c r="I40" s="6" t="s">
        <v>32</v>
      </c>
      <c r="J40" s="6" t="b">
        <v>1</v>
      </c>
      <c r="K40" s="6" t="e">
        <f>#VALUE!</f>
        <v>#VALUE!</v>
      </c>
      <c r="L40" s="6" t="e">
        <v>#N/A</v>
      </c>
      <c r="M40" s="7" t="e">
        <v>#DIV/0!</v>
      </c>
      <c r="N40" s="7" t="e">
        <v>#NAME?</v>
      </c>
      <c r="O40" s="7" t="e">
        <v>#NULL!</v>
      </c>
      <c r="P40" s="7" t="e">
        <v>#NUM!</v>
      </c>
      <c r="Q40" s="7" t="e">
        <v>#REF!</v>
      </c>
      <c r="R40" s="4" t="e">
        <f t="shared" ref="R40:Z40" si="33">SEARCHB("BASE","database",C40)</f>
        <v>#VALUE!</v>
      </c>
      <c r="S40" s="4">
        <f t="shared" si="33"/>
        <v>5</v>
      </c>
      <c r="T40" s="4">
        <f t="shared" si="33"/>
        <v>5</v>
      </c>
      <c r="U40" s="4" t="e">
        <f t="shared" si="33"/>
        <v>#VALUE!</v>
      </c>
      <c r="V40" s="4" t="e">
        <f t="shared" si="33"/>
        <v>#VALUE!</v>
      </c>
      <c r="W40" s="4" t="e">
        <f t="shared" si="33"/>
        <v>#VALUE!</v>
      </c>
      <c r="X40" s="4" t="e" vm="131">
        <f t="shared" si="33"/>
        <v>#VALUE!</v>
      </c>
      <c r="Y40" s="4">
        <f t="shared" si="33"/>
        <v>5</v>
      </c>
      <c r="Z40" s="4" t="e">
        <f t="shared" si="33"/>
        <v>#VALUE!</v>
      </c>
      <c r="AA40" s="4" t="e">
        <f t="shared" ref="AA40:AF40" si="34">SEARCHB("BASE","database",L40)</f>
        <v>#N/A</v>
      </c>
      <c r="AB40" s="4" t="e">
        <f t="shared" si="34"/>
        <v>#DIV/0!</v>
      </c>
      <c r="AC40" s="4" t="e">
        <f t="shared" si="34"/>
        <v>#NAME?</v>
      </c>
      <c r="AD40" s="4" t="e">
        <f t="shared" si="34"/>
        <v>#NULL!</v>
      </c>
      <c r="AE40" s="4" t="e">
        <f t="shared" si="34"/>
        <v>#NUM!</v>
      </c>
      <c r="AF40" s="4" t="e">
        <f t="shared" si="34"/>
        <v>#REF!</v>
      </c>
      <c r="AG40" s="4">
        <f t="array" ref="AG40">SEARCHB({"BASE","bau"},"database")</f>
        <v>5</v>
      </c>
      <c r="AH40" s="4">
        <f t="array" ref="AH40:AJ40">SEARCHB({"BASE","bau"},"database")</f>
        <v>5</v>
      </c>
      <c r="AI40" s="4" t="e">
        <v>#VALUE!</v>
      </c>
      <c r="AJ40" s="4" t="e">
        <v>#N/A</v>
      </c>
      <c r="AK40" s="4" t="e">
        <f t="array" ref="AK40:AM40">SEARCHB({"bau","BASE"},"database",C40:D40)</f>
        <v>#VALUE!</v>
      </c>
      <c r="AL40" s="4">
        <v>5</v>
      </c>
      <c r="AM40" s="4" t="e">
        <v>#N/A</v>
      </c>
      <c r="AN40" s="4" t="e">
        <f t="array" ref="AN40:AW40">SEARCHB({"bau","BASE",3},"database",C40:E40)</f>
        <v>#VALUE!</v>
      </c>
      <c r="AO40" s="4">
        <v>5</v>
      </c>
      <c r="AP40" s="4" t="e">
        <v>#VALUE!</v>
      </c>
      <c r="AQ40" s="4" t="e">
        <v>#N/A</v>
      </c>
      <c r="AR40" s="4" t="e">
        <v>#N/A</v>
      </c>
      <c r="AS40" s="4" t="e">
        <v>#N/A</v>
      </c>
      <c r="AT40" s="4" t="e">
        <v>#N/A</v>
      </c>
      <c r="AU40" s="4" t="e">
        <v>#N/A</v>
      </c>
      <c r="AV40" s="4" t="e">
        <v>#N/A</v>
      </c>
      <c r="AW40" s="4" t="e">
        <v>#N/A</v>
      </c>
    </row>
    <row r="41" spans="1:49" x14ac:dyDescent="0.15">
      <c r="A41" s="35" t="s">
        <v>311</v>
      </c>
      <c r="B41" s="36" t="s">
        <v>541</v>
      </c>
      <c r="C41" s="4">
        <v>0</v>
      </c>
      <c r="D41" s="4">
        <v>1.9</v>
      </c>
      <c r="E41" s="4">
        <v>2.2999999999999998</v>
      </c>
      <c r="F41" s="4">
        <v>10</v>
      </c>
      <c r="G41" s="4">
        <v>-1</v>
      </c>
      <c r="H41" s="6"/>
      <c r="I41" s="6" t="s">
        <v>32</v>
      </c>
      <c r="J41" s="6" t="b">
        <v>1</v>
      </c>
      <c r="K41" s="6" t="e">
        <f>#VALUE!</f>
        <v>#VALUE!</v>
      </c>
      <c r="L41" s="6" t="e">
        <v>#N/A</v>
      </c>
      <c r="M41" s="7" t="e">
        <v>#DIV/0!</v>
      </c>
      <c r="N41" s="7" t="e">
        <v>#NAME?</v>
      </c>
      <c r="O41" s="7" t="e">
        <v>#NULL!</v>
      </c>
      <c r="P41" s="7" t="e">
        <v>#NUM!</v>
      </c>
      <c r="Q41" s="7" t="e">
        <v>#REF!</v>
      </c>
      <c r="R41" s="4" t="str">
        <f>SUBSTITUTE("0, 1.9,2.3,10,-1,ciao, TRUE",C41,"")</f>
        <v>, 1.9,2.3,1,-1,ciao, TRUE</v>
      </c>
      <c r="S41" s="4" t="str">
        <f t="shared" ref="S41:AF41" si="35">SUBSTITUTE("0, 1.9,2.3,10,-1,ciao, TRUE",D41,"")</f>
        <v>0, ,2.3,10,-1,ciao, TRUE</v>
      </c>
      <c r="T41" s="4" t="str">
        <f t="shared" si="35"/>
        <v>0, 1.9,,10,-1,ciao, TRUE</v>
      </c>
      <c r="U41" s="4" t="str">
        <f t="shared" si="35"/>
        <v>0, 1.9,2.3,,-1,ciao, TRUE</v>
      </c>
      <c r="V41" s="4" t="str">
        <f t="shared" si="35"/>
        <v>0, 1.9,2.3,10,,ciao, TRUE</v>
      </c>
      <c r="W41" s="4" t="str">
        <f>SUBSTITUTE("0, 1.9,2.3,10,-1,ciao, TRUE",H41,"")</f>
        <v>0, 1.9,2.3,10,-1,ciao, TRUE</v>
      </c>
      <c r="X41" s="4" t="str">
        <f t="shared" si="35"/>
        <v>0, 1.9,2.3,10,-1,, TRUE</v>
      </c>
      <c r="Y41" s="4" t="str">
        <f t="shared" si="35"/>
        <v xml:space="preserve">0, 1.9,2.3,10,-1,ciao, </v>
      </c>
      <c r="Z41" s="4" t="e">
        <f t="shared" si="35"/>
        <v>#VALUE!</v>
      </c>
      <c r="AA41" s="4" t="e">
        <f t="shared" si="35"/>
        <v>#N/A</v>
      </c>
      <c r="AB41" s="4" t="e">
        <f t="shared" si="35"/>
        <v>#DIV/0!</v>
      </c>
      <c r="AC41" s="4" t="e">
        <f t="shared" si="35"/>
        <v>#NAME?</v>
      </c>
      <c r="AD41" s="4" t="e">
        <f t="shared" si="35"/>
        <v>#NULL!</v>
      </c>
      <c r="AE41" s="4" t="e">
        <f t="shared" si="35"/>
        <v>#NUM!</v>
      </c>
      <c r="AF41" s="4" t="e">
        <f t="shared" si="35"/>
        <v>#REF!</v>
      </c>
      <c r="AG41" s="4" t="str">
        <f t="array" ref="AG41">SUBSTITUTE("0, 1.9,2.3,10,-1,ciao, TRUE",C41:J41,"")</f>
        <v>, 1.9,2.3,1,-1,ciao, TRUE</v>
      </c>
      <c r="AH41" s="4" t="str">
        <f t="array" ref="AH41:AW41">SUBSTITUTE("0, 1.9,2.3,10,-1,ciao, TRUE",C41:Q41,"")</f>
        <v>, 1.9,2.3,1,-1,ciao, TRUE</v>
      </c>
      <c r="AI41" s="4" t="str">
        <v>0, ,2.3,10,-1,ciao, TRUE</v>
      </c>
      <c r="AJ41" s="4" t="str">
        <v>0, 1.9,,10,-1,ciao, TRUE</v>
      </c>
      <c r="AK41" s="4" t="str">
        <v>0, 1.9,2.3,,-1,ciao, TRUE</v>
      </c>
      <c r="AL41" s="4" t="str">
        <v>0, 1.9,2.3,10,,ciao, TRUE</v>
      </c>
      <c r="AM41" s="4" t="str">
        <v>0, 1.9,2.3,10,-1,ciao, TRUE</v>
      </c>
      <c r="AN41" s="4" t="str">
        <v>0, 1.9,2.3,10,-1,, TRUE</v>
      </c>
      <c r="AO41" s="4" t="str">
        <v xml:space="preserve">0, 1.9,2.3,10,-1,ciao, </v>
      </c>
      <c r="AP41" s="4" t="e">
        <v>#VALUE!</v>
      </c>
      <c r="AQ41" s="4" t="e">
        <v>#N/A</v>
      </c>
      <c r="AR41" s="4" t="e">
        <v>#DIV/0!</v>
      </c>
      <c r="AS41" s="4" t="e">
        <v>#NAME?</v>
      </c>
      <c r="AT41" s="4" t="e">
        <v>#NULL!</v>
      </c>
      <c r="AU41" s="4" t="e">
        <v>#NUM!</v>
      </c>
      <c r="AV41" s="4" t="e">
        <v>#REF!</v>
      </c>
      <c r="AW41" s="4" t="e">
        <v>#N/A</v>
      </c>
    </row>
    <row r="42" spans="1:49" x14ac:dyDescent="0.15">
      <c r="A42" s="35" t="s">
        <v>312</v>
      </c>
      <c r="B42" s="36" t="s">
        <v>541</v>
      </c>
      <c r="C42" s="4">
        <v>0</v>
      </c>
      <c r="D42" s="4">
        <v>1.9</v>
      </c>
      <c r="E42" s="4">
        <v>2.2999999999999998</v>
      </c>
      <c r="F42" s="4">
        <v>10</v>
      </c>
      <c r="G42" s="4">
        <v>-1</v>
      </c>
      <c r="H42" s="6"/>
      <c r="I42" s="16" t="s">
        <v>490</v>
      </c>
      <c r="J42" s="6" t="b">
        <v>1</v>
      </c>
      <c r="K42" s="6" t="e">
        <f>#VALUE!</f>
        <v>#VALUE!</v>
      </c>
      <c r="L42" s="6" t="e">
        <v>#N/A</v>
      </c>
      <c r="M42" s="7" t="e">
        <v>#DIV/0!</v>
      </c>
      <c r="N42" s="7" t="e">
        <v>#NAME?</v>
      </c>
      <c r="O42" s="7" t="e">
        <v>#NULL!</v>
      </c>
      <c r="P42" s="7" t="e">
        <v>#NUM!</v>
      </c>
      <c r="Q42" s="7" t="e">
        <v>#REF!</v>
      </c>
      <c r="R42" s="4" t="b">
        <f>ISBLANK(T(C42))</f>
        <v>0</v>
      </c>
      <c r="S42" s="4" t="b">
        <f>ISTEXT(T(D42))</f>
        <v>1</v>
      </c>
      <c r="T42" s="4" t="str">
        <f t="shared" ref="T42:AF42" si="36">T(E42)</f>
        <v/>
      </c>
      <c r="U42" s="4" t="str">
        <f t="shared" si="36"/>
        <v/>
      </c>
      <c r="V42" s="4" t="str">
        <f t="shared" si="36"/>
        <v/>
      </c>
      <c r="W42" s="4" t="str">
        <f t="shared" si="36"/>
        <v/>
      </c>
      <c r="X42" s="4" t="str">
        <f t="shared" si="36"/>
        <v>26/08/1987</v>
      </c>
      <c r="Y42" s="4" t="str">
        <f t="shared" si="36"/>
        <v/>
      </c>
      <c r="Z42" s="4" t="e">
        <f t="shared" si="36"/>
        <v>#VALUE!</v>
      </c>
      <c r="AA42" s="4" t="e">
        <f t="shared" si="36"/>
        <v>#N/A</v>
      </c>
      <c r="AB42" s="4" t="e">
        <f t="shared" si="36"/>
        <v>#DIV/0!</v>
      </c>
      <c r="AC42" s="4" t="e">
        <f t="shared" si="36"/>
        <v>#NAME?</v>
      </c>
      <c r="AD42" s="4" t="e">
        <f t="shared" si="36"/>
        <v>#NULL!</v>
      </c>
      <c r="AE42" s="4" t="e">
        <f t="shared" si="36"/>
        <v>#NUM!</v>
      </c>
      <c r="AF42" s="4" t="e">
        <f t="shared" si="36"/>
        <v>#REF!</v>
      </c>
      <c r="AG42" s="4" t="str">
        <f t="array" ref="AG42">T(C42:Q42)</f>
        <v/>
      </c>
      <c r="AH42" s="4" t="str">
        <f t="array" ref="AH42:AK42">T(I42:Q42)</f>
        <v>26/08/1987</v>
      </c>
      <c r="AI42" s="4" t="str">
        <v>26/08/1987</v>
      </c>
      <c r="AJ42" s="4" t="str">
        <v>26/08/1987</v>
      </c>
      <c r="AK42" s="4" t="str">
        <v>26/08/1987</v>
      </c>
      <c r="AL42" s="4" t="e">
        <f t="array" ref="AL42:AN42">T(K42:Q42)</f>
        <v>#VALUE!</v>
      </c>
      <c r="AM42" s="4" t="e">
        <v>#VALUE!</v>
      </c>
      <c r="AN42" s="4" t="e">
        <v>#VALUE!</v>
      </c>
      <c r="AO42" s="4" t="str">
        <f t="array" ref="AO42:AW42">T(H42:P42)</f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  <c r="AU42" s="4" t="str">
        <v/>
      </c>
      <c r="AV42" s="4" t="str">
        <v/>
      </c>
      <c r="AW42" s="4" t="str">
        <v/>
      </c>
    </row>
    <row r="43" spans="1:49" x14ac:dyDescent="0.15">
      <c r="A43" s="35" t="s">
        <v>313</v>
      </c>
      <c r="B43" s="36" t="s">
        <v>541</v>
      </c>
      <c r="C43" s="4">
        <v>0</v>
      </c>
      <c r="D43" s="4">
        <v>1.9</v>
      </c>
      <c r="E43" s="4">
        <v>2.2999999999999998</v>
      </c>
      <c r="F43" s="4">
        <v>10</v>
      </c>
      <c r="G43" s="4">
        <v>-1</v>
      </c>
      <c r="H43" s="6"/>
      <c r="I43" s="16" t="s">
        <v>537</v>
      </c>
      <c r="J43" s="6" t="b">
        <v>1</v>
      </c>
      <c r="K43" s="6" t="e">
        <f>#VALUE!</f>
        <v>#VALUE!</v>
      </c>
      <c r="L43" s="6" t="e">
        <v>#N/A</v>
      </c>
      <c r="M43" s="7" t="e">
        <v>#DIV/0!</v>
      </c>
      <c r="N43" s="7" t="e">
        <v>#NAME?</v>
      </c>
      <c r="O43" s="7" t="e">
        <v>#NULL!</v>
      </c>
      <c r="P43" s="7" t="e">
        <v>#NUM!</v>
      </c>
      <c r="Q43" s="7" t="e">
        <v>#REF!</v>
      </c>
      <c r="R43" s="4" t="str">
        <f t="shared" ref="R43:W43" si="37">TEXT(C43,"#.00")</f>
        <v>.00</v>
      </c>
      <c r="S43" s="4" t="str">
        <f t="shared" si="37"/>
        <v>1.90</v>
      </c>
      <c r="T43" s="4" t="str">
        <f t="shared" si="37"/>
        <v>2.30</v>
      </c>
      <c r="U43" s="4" t="str">
        <f t="shared" si="37"/>
        <v>10.00</v>
      </c>
      <c r="V43" s="4" t="str">
        <f t="shared" si="37"/>
        <v>-1.00</v>
      </c>
      <c r="W43" s="4" t="str">
        <f t="shared" si="37"/>
        <v>.00</v>
      </c>
      <c r="X43" s="4" t="str">
        <f t="shared" ref="X43:AF43" si="38">TEXT(I43,"#.00")</f>
        <v>32015.00</v>
      </c>
      <c r="Y43" s="4" t="str">
        <f t="shared" si="38"/>
        <v>TRUE</v>
      </c>
      <c r="Z43" s="4" t="e">
        <f t="shared" si="38"/>
        <v>#VALUE!</v>
      </c>
      <c r="AA43" s="4" t="e">
        <f t="shared" si="38"/>
        <v>#N/A</v>
      </c>
      <c r="AB43" s="4" t="e">
        <f t="shared" si="38"/>
        <v>#DIV/0!</v>
      </c>
      <c r="AC43" s="4" t="e">
        <f t="shared" si="38"/>
        <v>#NAME?</v>
      </c>
      <c r="AD43" s="4" t="e">
        <f t="shared" si="38"/>
        <v>#NULL!</v>
      </c>
      <c r="AE43" s="4" t="e">
        <f t="shared" si="38"/>
        <v>#NUM!</v>
      </c>
      <c r="AF43" s="4" t="e">
        <f t="shared" si="38"/>
        <v>#REF!</v>
      </c>
      <c r="AG43" s="4" t="str">
        <f t="array" ref="AG43">TEXT(C43:D43,"#.00")</f>
        <v>.00</v>
      </c>
      <c r="AH43" s="4" t="str">
        <f t="array" ref="AH43:AW43">TEXT(C43:Q43,"#.00")</f>
        <v>.00</v>
      </c>
      <c r="AI43" s="4" t="str">
        <v>1.90</v>
      </c>
      <c r="AJ43" s="4" t="str">
        <v>2.30</v>
      </c>
      <c r="AK43" s="4" t="str">
        <v>10.00</v>
      </c>
      <c r="AL43" s="4" t="str">
        <v>-1.00</v>
      </c>
      <c r="AM43" s="4" t="str">
        <v>.00</v>
      </c>
      <c r="AN43" s="4" t="str">
        <v>32015.00</v>
      </c>
      <c r="AO43" s="4" t="str">
        <v>TRUE</v>
      </c>
      <c r="AP43" s="4" t="e">
        <v>#VALUE!</v>
      </c>
      <c r="AQ43" s="4" t="e">
        <v>#N/A</v>
      </c>
      <c r="AR43" s="4" t="e">
        <v>#DIV/0!</v>
      </c>
      <c r="AS43" s="4" t="e">
        <v>#NAME?</v>
      </c>
      <c r="AT43" s="4" t="e">
        <v>#NULL!</v>
      </c>
      <c r="AU43" s="4" t="e">
        <v>#NUM!</v>
      </c>
      <c r="AV43" s="4" t="e">
        <v>#REF!</v>
      </c>
      <c r="AW43" s="4" t="e">
        <v>#N/A</v>
      </c>
    </row>
    <row r="44" spans="1:49" x14ac:dyDescent="0.15">
      <c r="A44" s="35" t="s">
        <v>529</v>
      </c>
      <c r="B44" s="36" t="s">
        <v>541</v>
      </c>
      <c r="C44" s="4">
        <v>0</v>
      </c>
      <c r="D44" s="4">
        <v>1.9</v>
      </c>
      <c r="E44" s="4">
        <v>2.2999999999999998</v>
      </c>
      <c r="F44" s="4">
        <v>10</v>
      </c>
      <c r="G44" s="4">
        <v>-1</v>
      </c>
      <c r="H44" s="6"/>
      <c r="I44" s="16" t="s">
        <v>537</v>
      </c>
      <c r="J44" s="6" t="b">
        <v>1</v>
      </c>
      <c r="K44" s="6" t="e">
        <f>#VALUE!</f>
        <v>#VALUE!</v>
      </c>
      <c r="L44" s="6" t="e">
        <v>#N/A</v>
      </c>
      <c r="M44" s="7" t="e">
        <v>#DIV/0!</v>
      </c>
      <c r="N44" s="7" t="e">
        <v>#NAME?</v>
      </c>
      <c r="O44" s="7" t="e">
        <v>#NULL!</v>
      </c>
      <c r="P44" s="7" t="e">
        <v>#NUM!</v>
      </c>
      <c r="Q44" s="7" t="e">
        <v>#REF!</v>
      </c>
      <c r="R44" s="4" t="e">
        <f>_xlfn.TEXTAFTER("1,2,3,4,5,6,7,8",{"3","4"},C44)</f>
        <v>#VALUE!</v>
      </c>
      <c r="S44" s="4" t="str">
        <f>_xlfn.TEXTAFTER("1,2,3,4,5,6,7,8",{"3","4"},D44)</f>
        <v>,4,5,6,7,8</v>
      </c>
      <c r="T44" s="4" t="e">
        <f>_xlfn.TEXTAFTER("1,2,3,4,5,6,7,8",{"3","4"},E44,F44)</f>
        <v>#VALUE!</v>
      </c>
      <c r="U44" s="4" t="e">
        <f>_xlfn.TEXTAFTER("1,2,3,4,5,6,7,8",{"3","4"},F44,H44)</f>
        <v>#N/A</v>
      </c>
      <c r="V44" s="4" t="e">
        <f>_xlfn.TEXTAFTER("1,2,3,4,5,6,7,8",{"3","4"},G44,I44)</f>
        <v>#VALUE!</v>
      </c>
      <c r="W44" s="4" t="e">
        <f>_xlfn.TEXTAFTER("1,2,3,4,5,6,7,8",{"3","4"},H44,J44)</f>
        <v>#VALUE!</v>
      </c>
      <c r="X44" s="4" t="e">
        <f>_xlfn.TEXTAFTER("1,2,3,4,5,6,7,8",{"3","4"},I44)</f>
        <v>#VALUE!</v>
      </c>
      <c r="Y44" s="4" t="str">
        <f>_xlfn.TEXTAFTER("1,2,3,4,5,6,7,8",{"3","4"},J44)</f>
        <v>,4,5,6,7,8</v>
      </c>
      <c r="Z44" s="4" t="e">
        <f>_xlfn.TEXTAFTER("1,2,3,4,5,6,7,8",{"3","4"},K44)</f>
        <v>#VALUE!</v>
      </c>
      <c r="AA44" s="4" t="e">
        <f>_xlfn.TEXTAFTER("1,2,3,4,5,6,7,8",{"3","4"},L44)</f>
        <v>#N/A</v>
      </c>
      <c r="AB44" s="4" t="e">
        <f>_xlfn.TEXTAFTER("1,2,3,4,5,6,7,8",{"3","4"},M44)</f>
        <v>#DIV/0!</v>
      </c>
      <c r="AC44" s="4" t="e">
        <f>_xlfn.TEXTAFTER("1,2,3,4,5,6,7,8",{"3","4"},N44)</f>
        <v>#NAME?</v>
      </c>
      <c r="AD44" s="4" t="e">
        <f>_xlfn.TEXTAFTER("1,2,3,4,5,6,7,8",{"3","4"},O44)</f>
        <v>#NULL!</v>
      </c>
      <c r="AE44" s="4" t="e">
        <f>_xlfn.TEXTAFTER("1,2,3,4,5,6,7,8",{"3","4"},P44)</f>
        <v>#NUM!</v>
      </c>
      <c r="AF44" s="4" t="e">
        <f>_xlfn.TEXTAFTER("1,2,3,4,5,6,7,8",{"3","4"},Q44)</f>
        <v>#REF!</v>
      </c>
      <c r="AG44" s="4" t="e">
        <f t="array" ref="AG44">_xlfn.TEXTAFTER("1,2,3,4,5,6,7,8",{"3","4"},C44:Q44)</f>
        <v>#VALUE!</v>
      </c>
      <c r="AH44" s="4" t="e">
        <f t="array" ref="AH44:AW44">_xlfn.TEXTAFTER("1,2,3,4,5,6,7,8",{"3","4"},C44:Q44)</f>
        <v>#VALUE!</v>
      </c>
      <c r="AI44" s="4" t="str">
        <v>,4,5,6,7,8</v>
      </c>
      <c r="AJ44" s="4" t="str">
        <v>,5,6,7,8</v>
      </c>
      <c r="AK44" s="4" t="e">
        <v>#N/A</v>
      </c>
      <c r="AL44" s="4" t="str">
        <v>,5,6,7,8</v>
      </c>
      <c r="AM44" s="4" t="e">
        <v>#VALUE!</v>
      </c>
      <c r="AN44" s="4" t="e">
        <v>#VALUE!</v>
      </c>
      <c r="AO44" s="4" t="str">
        <v>,4,5,6,7,8</v>
      </c>
      <c r="AP44" s="4" t="e">
        <v>#VALUE!</v>
      </c>
      <c r="AQ44" s="4" t="e">
        <v>#N/A</v>
      </c>
      <c r="AR44" s="4" t="e">
        <v>#DIV/0!</v>
      </c>
      <c r="AS44" s="4" t="e">
        <v>#NAME?</v>
      </c>
      <c r="AT44" s="4" t="e">
        <v>#NULL!</v>
      </c>
      <c r="AU44" s="4" t="e">
        <v>#NUM!</v>
      </c>
      <c r="AV44" s="4" t="e">
        <v>#REF!</v>
      </c>
      <c r="AW44" s="4" t="e">
        <v>#N/A</v>
      </c>
    </row>
    <row r="45" spans="1:49" x14ac:dyDescent="0.15">
      <c r="A45" s="35" t="s">
        <v>530</v>
      </c>
      <c r="B45" s="36" t="s">
        <v>541</v>
      </c>
      <c r="C45" s="4">
        <v>0</v>
      </c>
      <c r="D45" s="4">
        <v>1.9</v>
      </c>
      <c r="E45" s="4">
        <v>2.2999999999999998</v>
      </c>
      <c r="F45" s="4">
        <v>10</v>
      </c>
      <c r="G45" s="4">
        <v>-1</v>
      </c>
      <c r="H45" s="6"/>
      <c r="I45" s="16" t="s">
        <v>784</v>
      </c>
      <c r="J45" s="6" t="b">
        <v>1</v>
      </c>
      <c r="K45" s="6" t="e">
        <f>#VALUE!</f>
        <v>#VALUE!</v>
      </c>
      <c r="L45" s="6" t="e">
        <v>#N/A</v>
      </c>
      <c r="M45" s="7" t="e">
        <v>#DIV/0!</v>
      </c>
      <c r="N45" s="7" t="e">
        <v>#NAME?</v>
      </c>
      <c r="O45" s="7" t="e">
        <v>#NULL!</v>
      </c>
      <c r="P45" s="7" t="e">
        <v>#NUM!</v>
      </c>
      <c r="Q45" s="7" t="e">
        <v>#REF!</v>
      </c>
      <c r="R45" s="4" t="e">
        <f>_xlfn.TEXTBEFORE("1,2,3,4,5,6,7,8",{"3","4"},C45)</f>
        <v>#VALUE!</v>
      </c>
      <c r="S45" s="4" t="str">
        <f>_xlfn.TEXTBEFORE("1,2,3,4,5,6,7,8",{"3","4"},D45)</f>
        <v>1,2,</v>
      </c>
      <c r="T45" s="4" t="str">
        <f>_xlfn.TEXTBEFORE("1,2,3,4,5,6,7,8",{"3","4"},E45)</f>
        <v>1,2,3,</v>
      </c>
      <c r="U45" s="4" t="e">
        <f>_xlfn.TEXTBEFORE("1,2,3,4,5,6,7,8",{"3","4"},F45)</f>
        <v>#N/A</v>
      </c>
      <c r="V45" s="4" t="str">
        <f>_xlfn.TEXTBEFORE("1,2,3,4,5,6,7,8",{"3","4"},G45)</f>
        <v>1,2,3,</v>
      </c>
      <c r="W45" s="4" t="e">
        <f>_xlfn.TEXTBEFORE("1,2,3,4,5,6,7,8",{"3","4"},H45)</f>
        <v>#VALUE!</v>
      </c>
      <c r="X45" s="4" t="e">
        <f>_xlfn.TEXTBEFORE("1,2,3,4,5,6,7,8",{"3","4"},I45)</f>
        <v>#VALUE!</v>
      </c>
      <c r="Y45" s="4" t="str">
        <f>_xlfn.TEXTBEFORE("1,2,3,4,5,6,7,8",{"3","4"},J45)</f>
        <v>1,2,</v>
      </c>
      <c r="Z45" s="4" t="e">
        <f>_xlfn.TEXTBEFORE("1,2,3,4,5,6,7,8",{"3","4"},K45)</f>
        <v>#VALUE!</v>
      </c>
      <c r="AA45" s="4" t="e">
        <f>_xlfn.TEXTBEFORE("1,2,3,4,5,6,7,8",{"3","4"},L45)</f>
        <v>#N/A</v>
      </c>
      <c r="AB45" s="4" t="e">
        <f>_xlfn.TEXTBEFORE("1,2,3,4,5,6,7,8",{"3","4"},M45)</f>
        <v>#DIV/0!</v>
      </c>
      <c r="AC45" s="4" t="e">
        <f>_xlfn.TEXTBEFORE("1,2,3,4,5,6,7,8",{"3","4"},N45)</f>
        <v>#NAME?</v>
      </c>
      <c r="AD45" s="4" t="e">
        <f>_xlfn.TEXTBEFORE("1,2,3,4,5,6,7,8",{"3","4"},O45)</f>
        <v>#NULL!</v>
      </c>
      <c r="AE45" s="4" t="e">
        <f>_xlfn.TEXTBEFORE("1,2,3,4,5,6,7,8",{"3","4"},P45)</f>
        <v>#NUM!</v>
      </c>
      <c r="AF45" s="4" t="e">
        <f>_xlfn.TEXTBEFORE("1,2,3,4,5,6,7,8",{"3","4"},Q45)</f>
        <v>#REF!</v>
      </c>
      <c r="AG45" s="4" t="e">
        <f t="array" ref="AG45">_xlfn.TEXTBEFORE(C45:Q45,{1,1.9,"3","4"},C45:Q45)</f>
        <v>#VALUE!</v>
      </c>
      <c r="AH45" s="4" t="e">
        <f t="array" ref="AH45:AW45">_xlfn.TEXTBEFORE(C45:Q45,{1,1.9,"3","4"},C45:Q45)</f>
        <v>#VALUE!</v>
      </c>
      <c r="AI45" s="4" t="str">
        <v/>
      </c>
      <c r="AJ45" s="4" t="e">
        <v>#N/A</v>
      </c>
      <c r="AK45" s="4" t="e">
        <v>#VALUE!</v>
      </c>
      <c r="AL45" s="4" t="str">
        <v>-</v>
      </c>
      <c r="AM45" s="4" t="e">
        <v>#VALUE!</v>
      </c>
      <c r="AN45" s="4" t="e">
        <v>#VALUE!</v>
      </c>
      <c r="AO45" s="4" t="e">
        <v>#N/A</v>
      </c>
      <c r="AP45" s="4" t="e">
        <v>#VALUE!</v>
      </c>
      <c r="AQ45" s="4" t="e">
        <v>#N/A</v>
      </c>
      <c r="AR45" s="4" t="e">
        <v>#DIV/0!</v>
      </c>
      <c r="AS45" s="4" t="e">
        <v>#NAME?</v>
      </c>
      <c r="AT45" s="4" t="e">
        <v>#NULL!</v>
      </c>
      <c r="AU45" s="4" t="e">
        <v>#NUM!</v>
      </c>
      <c r="AV45" s="4" t="e">
        <v>#REF!</v>
      </c>
      <c r="AW45" s="4" t="e">
        <v>#N/A</v>
      </c>
    </row>
    <row r="46" spans="1:49" x14ac:dyDescent="0.15">
      <c r="A46" s="35" t="s">
        <v>314</v>
      </c>
      <c r="B46" s="36" t="s">
        <v>541</v>
      </c>
      <c r="C46" s="4">
        <v>0</v>
      </c>
      <c r="D46" s="4">
        <v>1.9</v>
      </c>
      <c r="E46" s="4">
        <v>2.2999999999999998</v>
      </c>
      <c r="F46" s="4">
        <v>10</v>
      </c>
      <c r="G46" s="4">
        <v>-1</v>
      </c>
      <c r="H46" s="6"/>
      <c r="I46" s="16" t="s">
        <v>490</v>
      </c>
      <c r="J46" s="6" t="b">
        <v>1</v>
      </c>
      <c r="K46" s="6" t="e">
        <f>#VALUE!</f>
        <v>#VALUE!</v>
      </c>
      <c r="L46" s="6" t="e">
        <v>#N/A</v>
      </c>
      <c r="M46" s="7" t="e">
        <v>#DIV/0!</v>
      </c>
      <c r="N46" s="7" t="e">
        <v>#NAME?</v>
      </c>
      <c r="O46" s="7" t="e">
        <v>#NULL!</v>
      </c>
      <c r="P46" s="7" t="e">
        <v>#NUM!</v>
      </c>
      <c r="Q46" s="7" t="e">
        <v>#REF!</v>
      </c>
      <c r="R46" s="4" t="str">
        <f>_xlfn.TEXTJOIN(",",FALSE,C46:I46)</f>
        <v>0,1.9,2.3,10,-1,,26/08/1987</v>
      </c>
      <c r="S46" s="4" t="str">
        <f>_xlfn.TEXTJOIN(",",TRUE,D46:J46)</f>
        <v>1.9,2.3,10,-1,26/08/1987,TRUE</v>
      </c>
      <c r="T46" s="4" t="str">
        <f>_xlfn.TEXTJOIN(",",TRUE,E46:F46)</f>
        <v>2.3,10</v>
      </c>
      <c r="U46" s="4" t="str">
        <f t="shared" ref="U46:AF46" si="39">_xlfn.TEXTJOIN(",",TRUE,F46:G46)</f>
        <v>10,-1</v>
      </c>
      <c r="V46" s="4" t="str">
        <f t="shared" si="39"/>
        <v>-1</v>
      </c>
      <c r="W46" s="4" t="str">
        <f t="shared" si="39"/>
        <v>26/08/1987</v>
      </c>
      <c r="X46" s="4" t="str">
        <f t="shared" si="39"/>
        <v>26/08/1987,TRUE</v>
      </c>
      <c r="Y46" s="4" t="e">
        <f t="shared" si="39"/>
        <v>#VALUE!</v>
      </c>
      <c r="Z46" s="4" t="e">
        <f t="shared" si="39"/>
        <v>#VALUE!</v>
      </c>
      <c r="AA46" s="4" t="e">
        <f t="shared" si="39"/>
        <v>#N/A</v>
      </c>
      <c r="AB46" s="4" t="e">
        <f t="shared" si="39"/>
        <v>#DIV/0!</v>
      </c>
      <c r="AC46" s="4" t="e">
        <f t="shared" si="39"/>
        <v>#NAME?</v>
      </c>
      <c r="AD46" s="4" t="e">
        <f t="shared" si="39"/>
        <v>#NULL!</v>
      </c>
      <c r="AE46" s="4" t="e">
        <f t="shared" si="39"/>
        <v>#NUM!</v>
      </c>
      <c r="AF46" s="4" t="e">
        <f t="shared" si="39"/>
        <v>#REF!</v>
      </c>
      <c r="AG46" s="4" t="str">
        <f>_xlfn.TEXTJOIN(",",TRUE,C46:J46)</f>
        <v>0,1.9,2.3,10,-1,26/08/1987,TRUE</v>
      </c>
      <c r="AH46" s="4" t="str">
        <f>_xlfn.TEXTJOIN({",",";"},TRUE,C46:D46)</f>
        <v>0,1.9</v>
      </c>
      <c r="AI46" s="4" t="str">
        <f t="array" ref="AI46:AW46">_xlfn.TEXTJOIN(",",FALSE, G49:I49)</f>
        <v>-1,,ciao</v>
      </c>
      <c r="AJ46" s="4" t="str">
        <v>-1,,ciao</v>
      </c>
      <c r="AK46" s="4" t="str">
        <v>-1,,ciao</v>
      </c>
      <c r="AL46" s="4" t="str">
        <v>-1,,ciao</v>
      </c>
      <c r="AM46" s="4" t="str">
        <v>-1,,ciao</v>
      </c>
      <c r="AN46" s="4" t="str">
        <v>-1,,ciao</v>
      </c>
      <c r="AO46" s="4" t="str">
        <v>-1,,ciao</v>
      </c>
      <c r="AP46" s="4" t="str">
        <v>-1,,ciao</v>
      </c>
      <c r="AQ46" s="4" t="str">
        <v>-1,,ciao</v>
      </c>
      <c r="AR46" s="4" t="str">
        <v>-1,,ciao</v>
      </c>
      <c r="AS46" s="4" t="str">
        <v>-1,,ciao</v>
      </c>
      <c r="AT46" s="4" t="str">
        <v>-1,,ciao</v>
      </c>
      <c r="AU46" s="4" t="str">
        <v>-1,,ciao</v>
      </c>
      <c r="AV46" s="4" t="str">
        <v>-1,,ciao</v>
      </c>
      <c r="AW46" s="4" t="str">
        <v>-1,,ciao</v>
      </c>
    </row>
    <row r="47" spans="1:49" x14ac:dyDescent="0.15">
      <c r="A47" s="35" t="s">
        <v>531</v>
      </c>
      <c r="B47" s="36" t="s">
        <v>541</v>
      </c>
      <c r="C47" s="4">
        <v>0</v>
      </c>
      <c r="D47" s="4">
        <v>1.9</v>
      </c>
      <c r="E47" s="4">
        <v>2.2999999999999998</v>
      </c>
      <c r="F47" s="4">
        <v>10</v>
      </c>
      <c r="G47" s="4">
        <v>-1</v>
      </c>
      <c r="H47" s="6"/>
      <c r="I47" s="16" t="s">
        <v>490</v>
      </c>
      <c r="J47" s="6" t="b">
        <v>1</v>
      </c>
      <c r="K47" s="6" t="e">
        <f>#VALUE!</f>
        <v>#VALUE!</v>
      </c>
      <c r="L47" s="6" t="e">
        <v>#N/A</v>
      </c>
      <c r="M47" s="7" t="e">
        <v>#DIV/0!</v>
      </c>
      <c r="N47" s="7" t="e">
        <v>#NAME?</v>
      </c>
      <c r="O47" s="7" t="e">
        <v>#NULL!</v>
      </c>
      <c r="P47" s="7" t="e">
        <v>#NUM!</v>
      </c>
      <c r="Q47" s="7" t="e">
        <v>#REF!</v>
      </c>
      <c r="R47" s="4" t="str" cm="1">
        <f t="array" ref="R47">_xlfn.TEXTSPLIT("123434,43r23123-1,2.3",C47)</f>
        <v>123434,43r23123-1,2.3</v>
      </c>
      <c r="S47" s="4" t="str" cm="1">
        <f t="array" ref="S47">_xlfn.TEXTSPLIT("123434,43r23123-1,2.3",D47)</f>
        <v>123434,43r23123-1,2.3</v>
      </c>
      <c r="T47" s="4" t="str">
        <f t="array" ref="T47">_xlfn.TEXTSPLIT("123434,43r23123-1,2.3",E47)</f>
        <v>123434,43r23123-1,</v>
      </c>
      <c r="U47" s="4" t="str" cm="1">
        <f t="array" ref="U47">_xlfn.TEXTSPLIT("123434,43r23123-1,2.3",F47)</f>
        <v>123434,43r23123-1,2.3</v>
      </c>
      <c r="V47" s="4" t="e" cm="1">
        <f t="array" ref="V47">_xlfn.TEXTSPLIT("123434,43r23123-1,2.3","")</f>
        <v>#VALUE!</v>
      </c>
      <c r="W47" s="4" t="e" cm="1">
        <f t="array" ref="W47">_xlfn.TEXTSPLIT("123434,43r23123-1,2.3",H47)</f>
        <v>#VALUE!</v>
      </c>
      <c r="X47" s="4" t="str" cm="1">
        <f t="array" ref="X47">_xlfn.TEXTSPLIT("123434,43r23123-1,2.3",I47)</f>
        <v>123434,43r23123-1,2.3</v>
      </c>
      <c r="Y47" s="4" t="str" cm="1">
        <f t="array" ref="Y47">_xlfn.TEXTSPLIT("123434,43r23123-1,2.3",J47)</f>
        <v>123434,43r23123-1,2.3</v>
      </c>
      <c r="Z47" s="4" t="e" cm="1">
        <f t="array" ref="Z47">_xlfn.TEXTSPLIT("123434,43r23123-1,2.3",K47)</f>
        <v>#VALUE!</v>
      </c>
      <c r="AA47" s="4" t="e" cm="1">
        <f t="array" ref="AA47">_xlfn.TEXTSPLIT("123434,43r23123-1,2.3",L47)</f>
        <v>#N/A</v>
      </c>
      <c r="AB47" s="4" t="e" cm="1">
        <f t="array" ref="AB47">_xlfn.TEXTSPLIT("123434,43r23123-1,2.3",M47)</f>
        <v>#DIV/0!</v>
      </c>
      <c r="AC47" s="4" t="e" cm="1">
        <f t="array" ref="AC47">_xlfn.TEXTSPLIT("123434,43r23123-1,2.3",N47)</f>
        <v>#NAME?</v>
      </c>
      <c r="AD47" s="4" t="e" cm="1">
        <f t="array" ref="AD47">_xlfn.TEXTSPLIT("123434,43r23123-1,2.3",O47)</f>
        <v>#NULL!</v>
      </c>
      <c r="AE47" s="4" t="e" cm="1">
        <f t="array" ref="AE47">_xlfn.TEXTSPLIT("123434,43r23123-1,2.3",P47)</f>
        <v>#NUM!</v>
      </c>
      <c r="AF47" s="4" t="e" cm="1">
        <f t="array" ref="AF47">_xlfn.TEXTSPLIT("123434,43r23123-1,2.3",Q47)</f>
        <v>#REF!</v>
      </c>
      <c r="AG47" s="4" t="str">
        <f t="array" ref="AG47">_xlfn.TEXTSPLIT(C47:Q47,1)</f>
        <v>0</v>
      </c>
      <c r="AH47" s="4" t="str">
        <f t="array" ref="AH47:AW47">_xlfn.TEXTSPLIT(C47:Q47,1)</f>
        <v>0</v>
      </c>
      <c r="AI47" s="4" t="str">
        <v/>
      </c>
      <c r="AJ47" s="4" t="str">
        <v>2.3</v>
      </c>
      <c r="AK47" s="4" t="str">
        <v/>
      </c>
      <c r="AL47" s="4" t="str">
        <v>-</v>
      </c>
      <c r="AM47" s="4" t="e">
        <v>#VALUE!</v>
      </c>
      <c r="AN47" s="4" t="str">
        <v>26/08/</v>
      </c>
      <c r="AO47" s="4" t="str">
        <v>TRUE</v>
      </c>
      <c r="AP47" s="4" t="e">
        <v>#VALUE!</v>
      </c>
      <c r="AQ47" s="4" t="e">
        <v>#N/A</v>
      </c>
      <c r="AR47" s="4" t="e">
        <v>#DIV/0!</v>
      </c>
      <c r="AS47" s="4" t="e">
        <v>#NAME?</v>
      </c>
      <c r="AT47" s="4" t="e">
        <v>#NULL!</v>
      </c>
      <c r="AU47" s="4" t="e">
        <v>#NUM!</v>
      </c>
      <c r="AV47" s="4" t="e">
        <v>#REF!</v>
      </c>
      <c r="AW47" s="4" t="e">
        <v>#N/A</v>
      </c>
    </row>
    <row r="48" spans="1:49" x14ac:dyDescent="0.15">
      <c r="A48" s="40" t="s">
        <v>564</v>
      </c>
      <c r="H48" s="6"/>
      <c r="I48" s="16"/>
      <c r="J48" s="6"/>
      <c r="K48" s="6"/>
      <c r="L48" s="6"/>
      <c r="M48" s="7"/>
      <c r="N48" s="7"/>
      <c r="O48" s="7"/>
      <c r="P48" s="7"/>
      <c r="Q48" s="7"/>
    </row>
    <row r="49" spans="1:49" x14ac:dyDescent="0.15">
      <c r="A49" s="35" t="s">
        <v>315</v>
      </c>
      <c r="B49" s="36" t="s">
        <v>541</v>
      </c>
      <c r="C49" s="4">
        <v>0</v>
      </c>
      <c r="D49" s="4">
        <v>1.9</v>
      </c>
      <c r="E49" s="4">
        <v>2.2999999999999998</v>
      </c>
      <c r="F49" s="4">
        <v>10</v>
      </c>
      <c r="G49" s="4">
        <v>-1</v>
      </c>
      <c r="H49" s="6"/>
      <c r="I49" s="6" t="s">
        <v>32</v>
      </c>
      <c r="J49" s="6" t="b">
        <v>1</v>
      </c>
      <c r="K49" s="6" t="e">
        <f>#VALUE!</f>
        <v>#VALUE!</v>
      </c>
      <c r="L49" s="6" t="e">
        <v>#N/A</v>
      </c>
      <c r="M49" s="7" t="e">
        <v>#DIV/0!</v>
      </c>
      <c r="N49" s="7" t="e">
        <v>#NAME?</v>
      </c>
      <c r="O49" s="7" t="e">
        <v>#NULL!</v>
      </c>
      <c r="P49" s="7" t="e">
        <v>#NUM!</v>
      </c>
      <c r="Q49" s="7" t="e">
        <v>#REF!</v>
      </c>
      <c r="R49" s="4" t="str">
        <f>TRIM(C49)</f>
        <v>0</v>
      </c>
      <c r="S49" s="4" t="str">
        <f t="shared" ref="S49:AF49" si="40">TRIM(D49)</f>
        <v>1.9</v>
      </c>
      <c r="T49" s="4" t="str">
        <f t="shared" si="40"/>
        <v>2.3</v>
      </c>
      <c r="U49" s="4" t="str">
        <f t="shared" si="40"/>
        <v>10</v>
      </c>
      <c r="V49" s="4" t="str">
        <f t="shared" si="40"/>
        <v>-1</v>
      </c>
      <c r="W49" s="4" t="str">
        <f t="shared" si="40"/>
        <v/>
      </c>
      <c r="X49" s="4" t="str">
        <f t="shared" si="40"/>
        <v>ciao</v>
      </c>
      <c r="Y49" s="4" t="str">
        <f t="shared" si="40"/>
        <v>TRUE</v>
      </c>
      <c r="Z49" s="4" t="e">
        <f t="shared" si="40"/>
        <v>#VALUE!</v>
      </c>
      <c r="AA49" s="4" t="e">
        <f t="shared" si="40"/>
        <v>#N/A</v>
      </c>
      <c r="AB49" s="4" t="e">
        <f t="shared" si="40"/>
        <v>#DIV/0!</v>
      </c>
      <c r="AC49" s="4" t="e">
        <f t="shared" si="40"/>
        <v>#NAME?</v>
      </c>
      <c r="AD49" s="4" t="e">
        <f t="shared" si="40"/>
        <v>#NULL!</v>
      </c>
      <c r="AE49" s="4" t="e">
        <f t="shared" si="40"/>
        <v>#NUM!</v>
      </c>
      <c r="AF49" s="4" t="e">
        <f t="shared" si="40"/>
        <v>#REF!</v>
      </c>
      <c r="AG49" s="4" t="str">
        <f t="array" ref="AG49">TRIM(C49:D49)</f>
        <v>0</v>
      </c>
      <c r="AH49" s="4" t="str">
        <f t="array" ref="AH49:AW49">TRIM(C49:Q49)</f>
        <v>0</v>
      </c>
      <c r="AI49" s="4" t="str">
        <v>1.9</v>
      </c>
      <c r="AJ49" s="4" t="str">
        <v>2.3</v>
      </c>
      <c r="AK49" s="4" t="str">
        <v>10</v>
      </c>
      <c r="AL49" s="4" t="str">
        <v>-1</v>
      </c>
      <c r="AM49" s="4" t="str">
        <v/>
      </c>
      <c r="AN49" s="4" t="str">
        <v>ciao</v>
      </c>
      <c r="AO49" s="4" t="str">
        <v>TRUE</v>
      </c>
      <c r="AP49" s="4" t="e">
        <v>#VALUE!</v>
      </c>
      <c r="AQ49" s="4" t="e">
        <v>#N/A</v>
      </c>
      <c r="AR49" s="4" t="e">
        <v>#DIV/0!</v>
      </c>
      <c r="AS49" s="4" t="e">
        <v>#NAME?</v>
      </c>
      <c r="AT49" s="4" t="e">
        <v>#NULL!</v>
      </c>
      <c r="AU49" s="4" t="e">
        <v>#NUM!</v>
      </c>
      <c r="AV49" s="4" t="e">
        <v>#REF!</v>
      </c>
      <c r="AW49" s="4" t="e">
        <v>#N/A</v>
      </c>
    </row>
    <row r="50" spans="1:49" x14ac:dyDescent="0.15">
      <c r="A50" s="35" t="s">
        <v>316</v>
      </c>
      <c r="B50" s="36" t="s">
        <v>541</v>
      </c>
      <c r="C50" s="4">
        <v>0</v>
      </c>
      <c r="D50" s="4">
        <v>157</v>
      </c>
      <c r="E50" s="4">
        <v>65</v>
      </c>
      <c r="F50" s="4">
        <v>65.8</v>
      </c>
      <c r="G50" s="4">
        <v>-1</v>
      </c>
      <c r="H50" s="16"/>
      <c r="I50" s="6" t="s">
        <v>32</v>
      </c>
      <c r="J50" s="6" t="b">
        <v>1</v>
      </c>
      <c r="K50" s="6" t="e">
        <f>#VALUE!</f>
        <v>#VALUE!</v>
      </c>
      <c r="L50" s="6" t="e">
        <v>#N/A</v>
      </c>
      <c r="M50" s="7" t="e">
        <v>#DIV/0!</v>
      </c>
      <c r="N50" s="7" t="e">
        <v>#NAME?</v>
      </c>
      <c r="O50" s="7" t="e">
        <v>#NULL!</v>
      </c>
      <c r="P50" s="7" t="e">
        <v>#NUM!</v>
      </c>
      <c r="Q50" s="7" t="e">
        <v>#REF!</v>
      </c>
      <c r="R50" s="6" t="e">
        <f t="shared" ref="R50:X50" si="41">_xlfn.UNICHAR(C50)</f>
        <v>#VALUE!</v>
      </c>
      <c r="S50" s="6" t="str">
        <f t="shared" si="41"/>
        <v></v>
      </c>
      <c r="T50" s="6" t="str">
        <f t="shared" si="41"/>
        <v>A</v>
      </c>
      <c r="U50" s="6" t="str">
        <f t="shared" si="41"/>
        <v>A</v>
      </c>
      <c r="V50" s="6" t="e">
        <f t="shared" si="41"/>
        <v>#VALUE!</v>
      </c>
      <c r="W50" s="6" t="e">
        <f t="shared" si="41"/>
        <v>#VALUE!</v>
      </c>
      <c r="X50" s="6" t="e" vm="132">
        <f t="shared" si="41"/>
        <v>#VALUE!</v>
      </c>
      <c r="Y50" s="6" t="str">
        <f t="shared" ref="Y50:AF50" si="42">_xlfn.UNICHAR(J50)</f>
        <v>_x0001_</v>
      </c>
      <c r="Z50" s="6" t="e">
        <f t="shared" si="42"/>
        <v>#VALUE!</v>
      </c>
      <c r="AA50" s="6" t="e">
        <f t="shared" si="42"/>
        <v>#N/A</v>
      </c>
      <c r="AB50" s="6" t="e">
        <f t="shared" si="42"/>
        <v>#DIV/0!</v>
      </c>
      <c r="AC50" s="6" t="e">
        <f t="shared" si="42"/>
        <v>#NAME?</v>
      </c>
      <c r="AD50" s="6" t="e">
        <f t="shared" si="42"/>
        <v>#NULL!</v>
      </c>
      <c r="AE50" s="6" t="e">
        <f t="shared" si="42"/>
        <v>#NUM!</v>
      </c>
      <c r="AF50" s="6" t="e">
        <f t="shared" si="42"/>
        <v>#REF!</v>
      </c>
      <c r="AG50" s="6" t="str">
        <f t="array" ref="AG50">_xlfn.UNICHAR(D50:F50)</f>
        <v></v>
      </c>
      <c r="AH50" s="6" t="e">
        <f t="array" ref="AH50:AW50">_xlfn.UNICHAR(C50:Q50)</f>
        <v>#VALUE!</v>
      </c>
      <c r="AI50" s="6" t="str">
        <v></v>
      </c>
      <c r="AJ50" s="6" t="str">
        <v>A</v>
      </c>
      <c r="AK50" s="6" t="str">
        <v>A</v>
      </c>
      <c r="AL50" s="6" t="e">
        <v>#VALUE!</v>
      </c>
      <c r="AM50" s="6" t="e">
        <v>#VALUE!</v>
      </c>
      <c r="AN50" s="6" t="e" vm="132">
        <v>#VALUE!</v>
      </c>
      <c r="AO50" s="6" t="str">
        <v>_x0001_</v>
      </c>
      <c r="AP50" s="6" t="e">
        <v>#VALUE!</v>
      </c>
      <c r="AQ50" s="6" t="e">
        <v>#N/A</v>
      </c>
      <c r="AR50" s="6" t="e">
        <v>#DIV/0!</v>
      </c>
      <c r="AS50" s="6" t="e">
        <v>#NAME?</v>
      </c>
      <c r="AT50" s="6" t="e">
        <v>#NULL!</v>
      </c>
      <c r="AU50" s="6" t="e">
        <v>#NUM!</v>
      </c>
      <c r="AV50" s="6" t="e">
        <v>#REF!</v>
      </c>
      <c r="AW50" s="4" t="e">
        <v>#N/A</v>
      </c>
    </row>
    <row r="51" spans="1:49" x14ac:dyDescent="0.15">
      <c r="A51" s="35" t="s">
        <v>317</v>
      </c>
      <c r="B51" s="36" t="s">
        <v>541</v>
      </c>
      <c r="C51" s="21">
        <v>0</v>
      </c>
      <c r="D51" s="21">
        <v>1.9</v>
      </c>
      <c r="E51" s="21">
        <v>2.2999999999999998</v>
      </c>
      <c r="F51" s="21">
        <v>10</v>
      </c>
      <c r="G51" s="21">
        <v>-1</v>
      </c>
      <c r="H51" s="6"/>
      <c r="I51" s="6" t="s">
        <v>413</v>
      </c>
      <c r="J51" s="6" t="b">
        <v>1</v>
      </c>
      <c r="K51" s="6" t="e">
        <f>#VALUE!</f>
        <v>#VALUE!</v>
      </c>
      <c r="L51" s="6" t="e">
        <v>#N/A</v>
      </c>
      <c r="M51" s="7" t="e">
        <v>#DIV/0!</v>
      </c>
      <c r="N51" s="7" t="e">
        <v>#NAME?</v>
      </c>
      <c r="O51" s="7" t="e">
        <v>#NULL!</v>
      </c>
      <c r="P51" s="7" t="e">
        <v>#NUM!</v>
      </c>
      <c r="Q51" s="7" t="e">
        <v>#REF!</v>
      </c>
      <c r="R51" s="4">
        <f>_xlfn.UNICODE(C51)</f>
        <v>48</v>
      </c>
      <c r="S51" s="4">
        <f t="shared" ref="S51:AF51" si="43">_xlfn.UNICODE(D51)</f>
        <v>49</v>
      </c>
      <c r="T51" s="4">
        <f t="shared" si="43"/>
        <v>50</v>
      </c>
      <c r="U51" s="4">
        <f t="shared" si="43"/>
        <v>49</v>
      </c>
      <c r="V51" s="4">
        <f>_xlfn.UNICODE(G51)</f>
        <v>45</v>
      </c>
      <c r="W51" s="4" t="e">
        <f>_xlfn.UNICODE(H51)</f>
        <v>#VALUE!</v>
      </c>
      <c r="X51" s="4">
        <f t="shared" si="43"/>
        <v>99</v>
      </c>
      <c r="Y51" s="4">
        <f t="shared" si="43"/>
        <v>84</v>
      </c>
      <c r="Z51" s="4" t="e">
        <f t="shared" si="43"/>
        <v>#VALUE!</v>
      </c>
      <c r="AA51" s="4" t="e">
        <f t="shared" si="43"/>
        <v>#N/A</v>
      </c>
      <c r="AB51" s="4" t="e">
        <f t="shared" si="43"/>
        <v>#DIV/0!</v>
      </c>
      <c r="AC51" s="4" t="e">
        <f t="shared" si="43"/>
        <v>#NAME?</v>
      </c>
      <c r="AD51" s="4" t="e">
        <f t="shared" si="43"/>
        <v>#NULL!</v>
      </c>
      <c r="AE51" s="4" t="e">
        <f t="shared" si="43"/>
        <v>#NUM!</v>
      </c>
      <c r="AF51" s="4" t="e">
        <f t="shared" si="43"/>
        <v>#REF!</v>
      </c>
      <c r="AG51" s="4">
        <f t="array" ref="AG51">_xlfn.UNICODE(C51:G51)</f>
        <v>48</v>
      </c>
      <c r="AH51" s="4">
        <f t="array" ref="AH51:AW51">_xlfn.UNICODE(C51:Q51)</f>
        <v>48</v>
      </c>
      <c r="AI51" s="4">
        <v>49</v>
      </c>
      <c r="AJ51" s="4">
        <v>50</v>
      </c>
      <c r="AK51" s="4">
        <v>49</v>
      </c>
      <c r="AL51" s="4">
        <v>45</v>
      </c>
      <c r="AM51" s="4" t="e">
        <v>#VALUE!</v>
      </c>
      <c r="AN51" s="4">
        <v>99</v>
      </c>
      <c r="AO51" s="4">
        <v>84</v>
      </c>
      <c r="AP51" s="4" t="e">
        <v>#VALUE!</v>
      </c>
      <c r="AQ51" s="4" t="e">
        <v>#N/A</v>
      </c>
      <c r="AR51" s="4" t="e">
        <v>#DIV/0!</v>
      </c>
      <c r="AS51" s="4" t="e">
        <v>#NAME?</v>
      </c>
      <c r="AT51" s="4" t="e">
        <v>#NULL!</v>
      </c>
      <c r="AU51" s="4" t="e">
        <v>#NUM!</v>
      </c>
      <c r="AV51" s="4" t="e">
        <v>#REF!</v>
      </c>
      <c r="AW51" s="4" t="e">
        <v>#N/A</v>
      </c>
    </row>
    <row r="52" spans="1:49" x14ac:dyDescent="0.15">
      <c r="A52" s="35" t="s">
        <v>318</v>
      </c>
      <c r="B52" s="36" t="s">
        <v>541</v>
      </c>
      <c r="C52" s="4">
        <v>0</v>
      </c>
      <c r="D52" s="4">
        <v>1.9</v>
      </c>
      <c r="E52" s="4">
        <v>2.2999999999999998</v>
      </c>
      <c r="F52" s="4">
        <v>10</v>
      </c>
      <c r="G52" s="4">
        <v>-1</v>
      </c>
      <c r="H52" s="6"/>
      <c r="I52" s="6" t="s">
        <v>32</v>
      </c>
      <c r="J52" s="6" t="b">
        <v>1</v>
      </c>
      <c r="K52" s="6" t="e">
        <f>#VALUE!</f>
        <v>#VALUE!</v>
      </c>
      <c r="L52" s="6" t="e">
        <v>#N/A</v>
      </c>
      <c r="M52" s="7" t="e">
        <v>#DIV/0!</v>
      </c>
      <c r="N52" s="7" t="e">
        <v>#NAME?</v>
      </c>
      <c r="O52" s="7" t="e">
        <v>#NULL!</v>
      </c>
      <c r="P52" s="7" t="e">
        <v>#NUM!</v>
      </c>
      <c r="Q52" s="7" t="e">
        <v>#REF!</v>
      </c>
      <c r="R52" s="4" t="str">
        <f>UPPER(C52)</f>
        <v>0</v>
      </c>
      <c r="S52" s="4" t="str">
        <f t="shared" ref="S52:AF52" si="44">UPPER(D52)</f>
        <v>1.9</v>
      </c>
      <c r="T52" s="4" t="str">
        <f t="shared" si="44"/>
        <v>2.3</v>
      </c>
      <c r="U52" s="4" t="str">
        <f t="shared" si="44"/>
        <v>10</v>
      </c>
      <c r="V52" s="4" t="str">
        <f t="shared" si="44"/>
        <v>-1</v>
      </c>
      <c r="W52" s="4" t="str">
        <f t="shared" si="44"/>
        <v/>
      </c>
      <c r="X52" s="4" t="str">
        <f t="shared" si="44"/>
        <v>CIAO</v>
      </c>
      <c r="Y52" s="4" t="str">
        <f t="shared" si="44"/>
        <v>TRUE</v>
      </c>
      <c r="Z52" s="4" t="e">
        <f t="shared" si="44"/>
        <v>#VALUE!</v>
      </c>
      <c r="AA52" s="4" t="e">
        <f t="shared" si="44"/>
        <v>#N/A</v>
      </c>
      <c r="AB52" s="4" t="e">
        <f t="shared" si="44"/>
        <v>#DIV/0!</v>
      </c>
      <c r="AC52" s="4" t="e">
        <f t="shared" si="44"/>
        <v>#NAME?</v>
      </c>
      <c r="AD52" s="4" t="e">
        <f t="shared" si="44"/>
        <v>#NULL!</v>
      </c>
      <c r="AE52" s="4" t="e">
        <f t="shared" si="44"/>
        <v>#NUM!</v>
      </c>
      <c r="AF52" s="4" t="e">
        <f t="shared" si="44"/>
        <v>#REF!</v>
      </c>
      <c r="AG52" s="4" t="str">
        <f t="array" ref="AG52">UPPER(C52:D52)</f>
        <v>0</v>
      </c>
      <c r="AH52" s="4" t="str">
        <f t="array" ref="AH52:AW52">UPPER(C52:Q52)</f>
        <v>0</v>
      </c>
      <c r="AI52" s="4" t="str">
        <v>1.9</v>
      </c>
      <c r="AJ52" s="4" t="str">
        <v>2.3</v>
      </c>
      <c r="AK52" s="4" t="str">
        <v>10</v>
      </c>
      <c r="AL52" s="4" t="str">
        <v>-1</v>
      </c>
      <c r="AM52" s="4" t="str">
        <v/>
      </c>
      <c r="AN52" s="4" t="str">
        <v>CIAO</v>
      </c>
      <c r="AO52" s="4" t="str">
        <v>TRUE</v>
      </c>
      <c r="AP52" s="4" t="e">
        <v>#VALUE!</v>
      </c>
      <c r="AQ52" s="4" t="e">
        <v>#N/A</v>
      </c>
      <c r="AR52" s="4" t="e">
        <v>#DIV/0!</v>
      </c>
      <c r="AS52" s="4" t="e">
        <v>#NAME?</v>
      </c>
      <c r="AT52" s="4" t="e">
        <v>#NULL!</v>
      </c>
      <c r="AU52" s="4" t="e">
        <v>#NUM!</v>
      </c>
      <c r="AV52" s="4" t="e">
        <v>#REF!</v>
      </c>
      <c r="AW52" s="4" t="e">
        <v>#N/A</v>
      </c>
    </row>
    <row r="53" spans="1:49" x14ac:dyDescent="0.15">
      <c r="A53" s="35" t="s">
        <v>319</v>
      </c>
      <c r="B53" s="36" t="s">
        <v>541</v>
      </c>
      <c r="C53" s="4">
        <v>0</v>
      </c>
      <c r="D53" s="4">
        <v>1.9</v>
      </c>
      <c r="E53" s="4">
        <v>2.2999999999999998</v>
      </c>
      <c r="F53" s="4">
        <v>10</v>
      </c>
      <c r="G53" s="4">
        <v>-1</v>
      </c>
      <c r="H53" s="6"/>
      <c r="I53" s="16" t="s">
        <v>537</v>
      </c>
      <c r="J53" s="6" t="b">
        <v>1</v>
      </c>
      <c r="K53" s="6" t="e">
        <f>#VALUE!</f>
        <v>#VALUE!</v>
      </c>
      <c r="L53" s="6" t="e">
        <v>#N/A</v>
      </c>
      <c r="M53" s="7" t="e">
        <v>#DIV/0!</v>
      </c>
      <c r="N53" s="7" t="e">
        <v>#NAME?</v>
      </c>
      <c r="O53" s="7" t="e">
        <v>#NULL!</v>
      </c>
      <c r="P53" s="7" t="e">
        <v>#NUM!</v>
      </c>
      <c r="Q53" s="7" t="e">
        <v>#REF!</v>
      </c>
      <c r="R53" s="4">
        <f t="shared" ref="R53:AF53" si="45">VALUE(C53)</f>
        <v>0</v>
      </c>
      <c r="S53" s="4">
        <f t="shared" si="45"/>
        <v>1.9</v>
      </c>
      <c r="T53" s="4">
        <f t="shared" si="45"/>
        <v>2.2999999999999998</v>
      </c>
      <c r="U53" s="4">
        <f t="shared" si="45"/>
        <v>10</v>
      </c>
      <c r="V53" s="4">
        <f t="shared" si="45"/>
        <v>-1</v>
      </c>
      <c r="W53" s="4">
        <f t="shared" si="45"/>
        <v>0</v>
      </c>
      <c r="X53" s="4">
        <f t="shared" si="45"/>
        <v>32015</v>
      </c>
      <c r="Y53" s="4" t="e">
        <f t="shared" si="45"/>
        <v>#VALUE!</v>
      </c>
      <c r="Z53" s="4" t="e">
        <f t="shared" si="45"/>
        <v>#VALUE!</v>
      </c>
      <c r="AA53" s="4" t="e">
        <f t="shared" si="45"/>
        <v>#N/A</v>
      </c>
      <c r="AB53" s="4" t="e">
        <f t="shared" si="45"/>
        <v>#DIV/0!</v>
      </c>
      <c r="AC53" s="4" t="e">
        <f t="shared" si="45"/>
        <v>#NAME?</v>
      </c>
      <c r="AD53" s="4" t="e">
        <f t="shared" si="45"/>
        <v>#NULL!</v>
      </c>
      <c r="AE53" s="4" t="e">
        <f t="shared" si="45"/>
        <v>#NUM!</v>
      </c>
      <c r="AF53" s="4" t="e">
        <f t="shared" si="45"/>
        <v>#REF!</v>
      </c>
      <c r="AG53" s="4">
        <f t="array" ref="AG53">VALUE(C53:D53)</f>
        <v>0</v>
      </c>
      <c r="AH53" s="4">
        <f t="array" ref="AH53:AW53">VALUE(C53:Q53)</f>
        <v>0</v>
      </c>
      <c r="AI53" s="4">
        <v>1.9</v>
      </c>
      <c r="AJ53" s="4">
        <v>2.2999999999999998</v>
      </c>
      <c r="AK53" s="4">
        <v>10</v>
      </c>
      <c r="AL53" s="4">
        <v>-1</v>
      </c>
      <c r="AM53" s="4">
        <v>0</v>
      </c>
      <c r="AN53" s="4">
        <v>32015</v>
      </c>
      <c r="AO53" s="4" t="e">
        <v>#VALUE!</v>
      </c>
      <c r="AP53" s="4" t="e">
        <v>#VALUE!</v>
      </c>
      <c r="AQ53" s="4" t="e">
        <v>#N/A</v>
      </c>
      <c r="AR53" s="4" t="e">
        <v>#DIV/0!</v>
      </c>
      <c r="AS53" s="4" t="e">
        <v>#NAME?</v>
      </c>
      <c r="AT53" s="4" t="e">
        <v>#NULL!</v>
      </c>
      <c r="AU53" s="4" t="e">
        <v>#NUM!</v>
      </c>
      <c r="AV53" s="4" t="e">
        <v>#REF!</v>
      </c>
      <c r="AW53" s="4" t="e">
        <v>#N/A</v>
      </c>
    </row>
    <row r="54" spans="1:49" x14ac:dyDescent="0.15">
      <c r="A54" s="102" t="s">
        <v>511</v>
      </c>
      <c r="B54" s="100" t="s">
        <v>541</v>
      </c>
      <c r="C54" s="4">
        <v>0</v>
      </c>
      <c r="D54" s="4">
        <v>1.9</v>
      </c>
      <c r="E54" s="4">
        <v>2.2999999999999998</v>
      </c>
      <c r="F54" s="4">
        <v>10</v>
      </c>
      <c r="G54" s="4">
        <v>-1</v>
      </c>
      <c r="H54" s="6"/>
      <c r="I54" s="16" t="s">
        <v>537</v>
      </c>
      <c r="J54" s="6" t="b">
        <v>1</v>
      </c>
      <c r="K54" s="6" t="e">
        <f>#VALUE!</f>
        <v>#VALUE!</v>
      </c>
      <c r="L54" s="6" t="e">
        <v>#N/A</v>
      </c>
      <c r="M54" s="7" t="e">
        <v>#DIV/0!</v>
      </c>
      <c r="N54" s="7" t="e">
        <v>#NAME?</v>
      </c>
      <c r="O54" s="7" t="e">
        <v>#NULL!</v>
      </c>
      <c r="P54" s="7" t="e">
        <v>#NUM!</v>
      </c>
      <c r="Q54" s="7" t="e">
        <v>#REF!</v>
      </c>
      <c r="R54" s="4" t="str">
        <f>_xlfn.VALUETOTEXT(C54,0)</f>
        <v>0</v>
      </c>
      <c r="S54" s="4" t="str">
        <f>_xlfn.VALUETOTEXT(D54,"0")</f>
        <v>1.9</v>
      </c>
      <c r="T54" s="4" t="str">
        <f t="shared" ref="T54:AF54" si="46">_xlfn.VALUETOTEXT(E54,0)</f>
        <v>2.3</v>
      </c>
      <c r="U54" s="4" t="str">
        <f t="shared" si="46"/>
        <v>10</v>
      </c>
      <c r="V54" s="4" t="str">
        <f>_xlfn.VALUETOTEXT(G54,FALSE)</f>
        <v>-1</v>
      </c>
      <c r="W54" s="4" t="str">
        <f>_xlfn.VALUETOTEXT("ciao3",H54)</f>
        <v>ciao3</v>
      </c>
      <c r="X54" s="4" t="str">
        <f>_xlfn.VALUETOTEXT(I54,"0")</f>
        <v>1987-08-26</v>
      </c>
      <c r="Y54" s="4" t="str">
        <f t="shared" si="46"/>
        <v>TRUE</v>
      </c>
      <c r="Z54" s="4" t="b">
        <f>_xlfn.VALUETOTEXT(K54,0)="#VALUE!"</f>
        <v>1</v>
      </c>
      <c r="AA54" s="4" t="str">
        <f t="shared" si="46"/>
        <v>#N/A</v>
      </c>
      <c r="AB54" s="4" t="str">
        <f t="shared" si="46"/>
        <v>#DIV/0!</v>
      </c>
      <c r="AC54" s="4" t="str">
        <f t="shared" si="46"/>
        <v>#NAME?</v>
      </c>
      <c r="AD54" s="4" t="str">
        <f t="shared" si="46"/>
        <v>#NULL!</v>
      </c>
      <c r="AE54" s="4" t="str">
        <f t="shared" si="46"/>
        <v>#NUM!</v>
      </c>
      <c r="AF54" s="4" t="str">
        <f t="shared" si="46"/>
        <v>#REF!</v>
      </c>
      <c r="AG54" s="4" t="str">
        <f t="array" ref="AG54">_xlfn.VALUETOTEXT(C54:Q54,0)</f>
        <v>0</v>
      </c>
      <c r="AH54" s="4" t="str">
        <f t="array" ref="AH54:AW54">_xlfn.VALUETOTEXT(C54:Q54,0)</f>
        <v>0</v>
      </c>
      <c r="AI54" s="4" t="str">
        <v>1.9</v>
      </c>
      <c r="AJ54" s="4" t="str">
        <v>2.3</v>
      </c>
      <c r="AK54" s="4" t="str">
        <v>10</v>
      </c>
      <c r="AL54" s="4" t="str">
        <v>-1</v>
      </c>
      <c r="AM54" s="4" t="str">
        <v/>
      </c>
      <c r="AN54" s="4" t="str">
        <v>1987-08-26</v>
      </c>
      <c r="AO54" s="4" t="str">
        <v>TRUE</v>
      </c>
      <c r="AP54" s="4" t="str">
        <v>#VALUE!</v>
      </c>
      <c r="AQ54" s="4" t="str">
        <v>#N/A</v>
      </c>
      <c r="AR54" s="4" t="str">
        <v>#DIV/0!</v>
      </c>
      <c r="AS54" s="4" t="str">
        <v>#NAME?</v>
      </c>
      <c r="AT54" s="4" t="str">
        <v>#NULL!</v>
      </c>
      <c r="AU54" s="4" t="str">
        <v>#NUM!</v>
      </c>
      <c r="AV54" s="4" t="str">
        <v>#REF!</v>
      </c>
      <c r="AW54" s="4" t="e">
        <v>#N/A</v>
      </c>
    </row>
    <row r="55" spans="1:49" x14ac:dyDescent="0.15">
      <c r="A55" s="102"/>
      <c r="B55" s="100"/>
      <c r="C55" s="4">
        <v>0</v>
      </c>
      <c r="D55" s="4">
        <v>1.9</v>
      </c>
      <c r="E55" s="4">
        <v>2.2999999999999998</v>
      </c>
      <c r="F55" s="4">
        <v>10</v>
      </c>
      <c r="G55" s="4">
        <v>-1</v>
      </c>
      <c r="H55" s="6"/>
      <c r="I55" s="16" t="s">
        <v>537</v>
      </c>
      <c r="J55" s="6" t="b">
        <v>1</v>
      </c>
      <c r="K55" s="6" t="e">
        <f>#VALUE!</f>
        <v>#VALUE!</v>
      </c>
      <c r="L55" s="6" t="e">
        <v>#N/A</v>
      </c>
      <c r="M55" s="7" t="e">
        <v>#DIV/0!</v>
      </c>
      <c r="N55" s="7" t="e">
        <v>#NAME?</v>
      </c>
      <c r="O55" s="7" t="e">
        <v>#NULL!</v>
      </c>
      <c r="P55" s="7" t="e">
        <v>#NUM!</v>
      </c>
      <c r="Q55" s="7" t="e">
        <v>#REF!</v>
      </c>
      <c r="R55" s="4" t="str">
        <f>_xlfn.VALUETOTEXT(C55,0.9)</f>
        <v>0</v>
      </c>
      <c r="S55" s="4" t="e">
        <f>_xlfn.VALUETOTEXT(D55,-1)</f>
        <v>#VALUE!</v>
      </c>
      <c r="T55" s="4" t="e" vm="133">
        <f>_xlfn.VALUETOTEXT(E55,"a")</f>
        <v>#VALUE!</v>
      </c>
      <c r="U55" s="4" t="e">
        <f>_xlfn.VALUETOTEXT(F55,2)</f>
        <v>#VALUE!</v>
      </c>
      <c r="V55" s="4" t="b">
        <f>ISTEXT(_xlfn.VALUETOTEXT(H55,1))</f>
        <v>1</v>
      </c>
      <c r="W55" s="4" t="str">
        <f>_xlfn.VALUETOTEXT(H55,1)</f>
        <v/>
      </c>
      <c r="X55" s="4" t="str">
        <f>_xlfn.VALUETOTEXT(I55,"1.99")</f>
        <v>"1987-08-26"</v>
      </c>
      <c r="Y55" s="4" t="str">
        <f t="shared" ref="Y55:AF55" si="47">_xlfn.VALUETOTEXT(J55,1)</f>
        <v>TRUE</v>
      </c>
      <c r="Z55" s="4" t="str">
        <f t="shared" si="47"/>
        <v>#VALUE!</v>
      </c>
      <c r="AA55" s="4" t="str">
        <f t="shared" si="47"/>
        <v>#N/A</v>
      </c>
      <c r="AB55" s="4" t="str">
        <f t="shared" si="47"/>
        <v>#DIV/0!</v>
      </c>
      <c r="AC55" s="4" t="str">
        <f t="shared" si="47"/>
        <v>#NAME?</v>
      </c>
      <c r="AD55" s="4" t="str">
        <f t="shared" si="47"/>
        <v>#NULL!</v>
      </c>
      <c r="AE55" s="4" t="str">
        <f t="shared" si="47"/>
        <v>#NUM!</v>
      </c>
      <c r="AF55" s="4" t="str">
        <f t="shared" si="47"/>
        <v>#REF!</v>
      </c>
      <c r="AG55" s="4" t="str">
        <f t="array" ref="AG55">_xlfn.VALUETOTEXT(C55:Q55,1)</f>
        <v>0</v>
      </c>
      <c r="AH55" s="4" t="str">
        <f t="array" ref="AH55:AW55">_xlfn.VALUETOTEXT(C55:Q55,1)</f>
        <v>0</v>
      </c>
      <c r="AI55" s="4" t="str">
        <v>1.9</v>
      </c>
      <c r="AJ55" s="4" t="str">
        <v>2.3</v>
      </c>
      <c r="AK55" s="4" t="str">
        <v>10</v>
      </c>
      <c r="AL55" s="4" t="str">
        <v>-1</v>
      </c>
      <c r="AM55" s="4" t="str">
        <v/>
      </c>
      <c r="AN55" s="4" t="str">
        <v>"1987-08-26"</v>
      </c>
      <c r="AO55" s="4" t="str">
        <v>TRUE</v>
      </c>
      <c r="AP55" s="4" t="str">
        <v>#VALUE!</v>
      </c>
      <c r="AQ55" s="4" t="str">
        <v>#N/A</v>
      </c>
      <c r="AR55" s="4" t="str">
        <v>#DIV/0!</v>
      </c>
      <c r="AS55" s="4" t="str">
        <v>#NAME?</v>
      </c>
      <c r="AT55" s="4" t="str">
        <v>#NULL!</v>
      </c>
      <c r="AU55" s="4" t="str">
        <v>#NUM!</v>
      </c>
      <c r="AV55" s="4" t="str">
        <v>#REF!</v>
      </c>
      <c r="AW55" s="4" t="e">
        <v>#N/A</v>
      </c>
    </row>
  </sheetData>
  <mergeCells count="13">
    <mergeCell ref="A54:A55"/>
    <mergeCell ref="B54:B55"/>
    <mergeCell ref="B27:B28"/>
    <mergeCell ref="A27:A28"/>
    <mergeCell ref="A3:A4"/>
    <mergeCell ref="B3:B4"/>
    <mergeCell ref="C1:Q1"/>
    <mergeCell ref="R1:AW1"/>
    <mergeCell ref="C2:G2"/>
    <mergeCell ref="K2:Q2"/>
    <mergeCell ref="R2:V2"/>
    <mergeCell ref="Z2:AF2"/>
    <mergeCell ref="AH2:AW2"/>
  </mergeCells>
  <phoneticPr fontId="5" type="noConversion"/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29F8-0499-124A-9F2A-B7803AD457D2}">
  <sheetPr codeName="Sheet15"/>
  <dimension ref="A1:AW5"/>
  <sheetViews>
    <sheetView workbookViewId="0">
      <selection activeCell="A5" sqref="A5"/>
    </sheetView>
  </sheetViews>
  <sheetFormatPr baseColWidth="10" defaultColWidth="10.83203125" defaultRowHeight="11" x14ac:dyDescent="0.15"/>
  <cols>
    <col min="1" max="1" width="14.5" style="42" bestFit="1" customWidth="1"/>
    <col min="2" max="2" width="5.1640625" style="41" bestFit="1" customWidth="1"/>
    <col min="3" max="3" width="1.5" style="4" bestFit="1" customWidth="1"/>
    <col min="4" max="4" width="2.5" style="4" bestFit="1" customWidth="1"/>
    <col min="5" max="6" width="2.83203125" style="4" bestFit="1" customWidth="1"/>
    <col min="7" max="7" width="3.1640625" style="4" bestFit="1" customWidth="1"/>
    <col min="8" max="8" width="4.6640625" style="4" bestFit="1" customWidth="1"/>
    <col min="9" max="9" width="6.6640625" style="4" bestFit="1" customWidth="1"/>
    <col min="10" max="10" width="3.6640625" style="4" bestFit="1" customWidth="1"/>
    <col min="11" max="11" width="5.6640625" style="4" bestFit="1" customWidth="1"/>
    <col min="12" max="12" width="3.6640625" style="4" bestFit="1" customWidth="1"/>
    <col min="13" max="13" width="5.1640625" style="4" bestFit="1" customWidth="1"/>
    <col min="14" max="14" width="5.6640625" style="4" bestFit="1" customWidth="1"/>
    <col min="15" max="15" width="4.6640625" style="4" bestFit="1" customWidth="1"/>
    <col min="16" max="16" width="4.83203125" style="4" bestFit="1" customWidth="1"/>
    <col min="17" max="17" width="4" style="4" bestFit="1" customWidth="1"/>
    <col min="18" max="18" width="4.83203125" style="4" bestFit="1" customWidth="1"/>
    <col min="19" max="19" width="5.6640625" style="4" bestFit="1" customWidth="1"/>
    <col min="20" max="20" width="4.83203125" style="4" bestFit="1" customWidth="1"/>
    <col min="21" max="21" width="5.1640625" style="4" bestFit="1" customWidth="1"/>
    <col min="22" max="22" width="4.83203125" style="4" bestFit="1" customWidth="1"/>
    <col min="23" max="23" width="5.83203125" style="4" bestFit="1" customWidth="1"/>
    <col min="24" max="26" width="5.6640625" style="4" bestFit="1" customWidth="1"/>
    <col min="27" max="27" width="3.6640625" style="4" bestFit="1" customWidth="1"/>
    <col min="28" max="29" width="5.6640625" style="4" bestFit="1" customWidth="1"/>
    <col min="30" max="30" width="4.6640625" style="4" bestFit="1" customWidth="1"/>
    <col min="31" max="31" width="4.83203125" style="4" bestFit="1" customWidth="1"/>
    <col min="32" max="32" width="4" style="4" bestFit="1" customWidth="1"/>
    <col min="33" max="33" width="9.83203125" style="4" bestFit="1" customWidth="1"/>
    <col min="34" max="34" width="4.83203125" style="4" bestFit="1" customWidth="1"/>
    <col min="35" max="35" width="5" style="4" bestFit="1" customWidth="1"/>
    <col min="36" max="36" width="3.83203125" style="4" bestFit="1" customWidth="1"/>
    <col min="37" max="37" width="3.5" style="4" bestFit="1" customWidth="1"/>
    <col min="38" max="38" width="5" style="4" bestFit="1" customWidth="1"/>
    <col min="39" max="39" width="4.83203125" style="4" bestFit="1" customWidth="1"/>
    <col min="40" max="40" width="6.1640625" style="4" bestFit="1" customWidth="1"/>
    <col min="41" max="49" width="6" style="4" bestFit="1" customWidth="1"/>
    <col min="50" max="16384" width="10.83203125" style="4"/>
  </cols>
  <sheetData>
    <row r="1" spans="1:49" x14ac:dyDescent="0.15">
      <c r="A1" s="42" t="s">
        <v>542</v>
      </c>
      <c r="B1" s="80">
        <f>COUNTIF(B3:B52,"=DONE")/COUNTA(A3:A52)</f>
        <v>0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49" x14ac:dyDescent="0.15">
      <c r="A2" s="39" t="s">
        <v>26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49" ht="11" customHeight="1" x14ac:dyDescent="0.2">
      <c r="A3" s="40" t="s">
        <v>587</v>
      </c>
      <c r="B3" s="45"/>
      <c r="H3" s="6"/>
      <c r="I3" s="16"/>
      <c r="J3" s="6"/>
      <c r="K3" s="6"/>
      <c r="L3" s="6"/>
      <c r="M3" s="7"/>
      <c r="N3" s="7"/>
      <c r="O3" s="7"/>
      <c r="P3" s="7"/>
      <c r="Q3" s="7"/>
    </row>
    <row r="4" spans="1:49" ht="11" customHeight="1" x14ac:dyDescent="0.2">
      <c r="A4" s="40" t="s">
        <v>589</v>
      </c>
      <c r="B4" s="45"/>
      <c r="J4" s="6"/>
    </row>
    <row r="5" spans="1:49" ht="11" customHeight="1" x14ac:dyDescent="0.2">
      <c r="A5" s="40" t="s">
        <v>599</v>
      </c>
      <c r="B5" s="45"/>
      <c r="H5" s="6"/>
      <c r="I5" s="6"/>
      <c r="J5" s="6"/>
      <c r="K5" s="6"/>
      <c r="L5" s="6"/>
      <c r="M5" s="7"/>
      <c r="N5" s="7"/>
      <c r="O5" s="7"/>
      <c r="P5" s="7"/>
      <c r="Q5" s="7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</sheetData>
  <sortState xmlns:xlrd2="http://schemas.microsoft.com/office/spreadsheetml/2017/richdata2" ref="A3:A5">
    <sortCondition ref="A3:A5"/>
  </sortState>
  <mergeCells count="7">
    <mergeCell ref="C1:Q1"/>
    <mergeCell ref="R1:AW1"/>
    <mergeCell ref="C2:G2"/>
    <mergeCell ref="K2:Q2"/>
    <mergeCell ref="R2:V2"/>
    <mergeCell ref="Z2:AF2"/>
    <mergeCell ref="AH2:AW2"/>
  </mergeCells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>
    <tabColor rgb="FF00B050"/>
  </sheetPr>
  <dimension ref="A1:AW81"/>
  <sheetViews>
    <sheetView workbookViewId="0">
      <selection activeCell="B1" sqref="B1"/>
    </sheetView>
  </sheetViews>
  <sheetFormatPr baseColWidth="10" defaultColWidth="10.83203125" defaultRowHeight="11" x14ac:dyDescent="0.15"/>
  <cols>
    <col min="1" max="1" width="6.83203125" style="41" bestFit="1" customWidth="1"/>
    <col min="2" max="2" width="5.1640625" style="41" bestFit="1" customWidth="1"/>
    <col min="3" max="3" width="3.5" style="4" bestFit="1" customWidth="1"/>
    <col min="4" max="4" width="4.6640625" style="4" bestFit="1" customWidth="1"/>
    <col min="5" max="5" width="4" style="4" bestFit="1" customWidth="1"/>
    <col min="6" max="6" width="3.1640625" style="4" bestFit="1" customWidth="1"/>
    <col min="7" max="7" width="4.33203125" style="4" bestFit="1" customWidth="1"/>
    <col min="8" max="8" width="4.6640625" style="4" bestFit="1" customWidth="1"/>
    <col min="9" max="9" width="4.83203125" style="4" bestFit="1" customWidth="1"/>
    <col min="10" max="10" width="3.6640625" style="4" bestFit="1" customWidth="1"/>
    <col min="11" max="11" width="5.6640625" style="4" bestFit="1" customWidth="1"/>
    <col min="12" max="12" width="3.6640625" style="4" bestFit="1" customWidth="1"/>
    <col min="13" max="13" width="5.1640625" style="4" bestFit="1" customWidth="1"/>
    <col min="14" max="14" width="5.6640625" style="4" bestFit="1" customWidth="1"/>
    <col min="15" max="15" width="4.6640625" style="4" bestFit="1" customWidth="1"/>
    <col min="16" max="16" width="4.83203125" style="4" bestFit="1" customWidth="1"/>
    <col min="17" max="17" width="4" style="4" bestFit="1" customWidth="1"/>
    <col min="18" max="18" width="5.6640625" style="4" bestFit="1" customWidth="1"/>
    <col min="19" max="19" width="5" style="4" bestFit="1" customWidth="1"/>
    <col min="20" max="20" width="4.83203125" style="4" bestFit="1" customWidth="1"/>
    <col min="21" max="21" width="5.6640625" style="4" bestFit="1" customWidth="1"/>
    <col min="22" max="22" width="4.83203125" style="4" bestFit="1" customWidth="1"/>
    <col min="23" max="26" width="5.6640625" style="4" bestFit="1" customWidth="1"/>
    <col min="27" max="27" width="5.1640625" style="4" bestFit="1" customWidth="1"/>
    <col min="28" max="29" width="5.6640625" style="4" bestFit="1" customWidth="1"/>
    <col min="30" max="32" width="4.83203125" style="4" bestFit="1" customWidth="1"/>
    <col min="33" max="33" width="9.83203125" style="4" bestFit="1" customWidth="1"/>
    <col min="34" max="49" width="5.6640625" style="4" bestFit="1" customWidth="1"/>
    <col min="50" max="16384" width="10.83203125" style="4"/>
  </cols>
  <sheetData>
    <row r="1" spans="1:49" x14ac:dyDescent="0.15">
      <c r="A1" s="41" t="s">
        <v>542</v>
      </c>
      <c r="B1" s="80">
        <f>COUNTIF(B3:B300,"=DONE")/COUNTA(A3:A300)</f>
        <v>1</v>
      </c>
      <c r="C1" s="98" t="s">
        <v>33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 t="s">
        <v>34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</row>
    <row r="2" spans="1:49" x14ac:dyDescent="0.15">
      <c r="A2" s="12" t="s">
        <v>340</v>
      </c>
      <c r="B2" s="12" t="s">
        <v>540</v>
      </c>
      <c r="C2" s="98" t="s">
        <v>27</v>
      </c>
      <c r="D2" s="98"/>
      <c r="E2" s="98"/>
      <c r="F2" s="98"/>
      <c r="G2" s="98"/>
      <c r="H2" s="12" t="s">
        <v>38</v>
      </c>
      <c r="I2" s="12" t="s">
        <v>28</v>
      </c>
      <c r="J2" s="12" t="s">
        <v>94</v>
      </c>
      <c r="K2" s="98" t="s">
        <v>29</v>
      </c>
      <c r="L2" s="98"/>
      <c r="M2" s="98"/>
      <c r="N2" s="98"/>
      <c r="O2" s="98"/>
      <c r="P2" s="98"/>
      <c r="Q2" s="98"/>
      <c r="R2" s="98" t="s">
        <v>27</v>
      </c>
      <c r="S2" s="98"/>
      <c r="T2" s="98"/>
      <c r="U2" s="98"/>
      <c r="V2" s="98"/>
      <c r="W2" s="12" t="s">
        <v>38</v>
      </c>
      <c r="X2" s="12" t="s">
        <v>28</v>
      </c>
      <c r="Y2" s="12" t="s">
        <v>94</v>
      </c>
      <c r="Z2" s="98" t="s">
        <v>29</v>
      </c>
      <c r="AA2" s="98"/>
      <c r="AB2" s="98"/>
      <c r="AC2" s="98"/>
      <c r="AD2" s="98"/>
      <c r="AE2" s="98"/>
      <c r="AF2" s="98"/>
      <c r="AG2" s="12" t="s">
        <v>30</v>
      </c>
      <c r="AH2" s="98" t="s">
        <v>31</v>
      </c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</row>
    <row r="3" spans="1:49" x14ac:dyDescent="0.15">
      <c r="A3" s="43" t="s">
        <v>341</v>
      </c>
      <c r="B3" s="36" t="s">
        <v>541</v>
      </c>
      <c r="C3" s="4">
        <v>0</v>
      </c>
      <c r="D3" s="4">
        <v>1</v>
      </c>
      <c r="E3" s="4">
        <v>2.2999999999999998</v>
      </c>
      <c r="F3" s="4">
        <v>10</v>
      </c>
      <c r="G3" s="4">
        <v>-1</v>
      </c>
      <c r="H3" s="6"/>
      <c r="I3" s="6" t="s">
        <v>32</v>
      </c>
      <c r="J3" s="6" t="b">
        <v>1</v>
      </c>
      <c r="K3" s="6" t="e">
        <f>#VALUE!</f>
        <v>#VALUE!</v>
      </c>
      <c r="L3" s="6" t="e">
        <v>#N/A</v>
      </c>
      <c r="M3" s="7" t="e">
        <v>#DIV/0!</v>
      </c>
      <c r="N3" s="7" t="e">
        <v>#NAME?</v>
      </c>
      <c r="O3" s="7" t="e">
        <v>#NULL!</v>
      </c>
      <c r="P3" s="7" t="e">
        <v>#NUM!</v>
      </c>
      <c r="Q3" s="7" t="e">
        <v>#REF!</v>
      </c>
      <c r="R3" s="6">
        <f>C3+D3</f>
        <v>1</v>
      </c>
      <c r="S3" s="6">
        <f t="shared" ref="S3:AF3" si="0">D3+E3</f>
        <v>3.3</v>
      </c>
      <c r="T3" s="6">
        <f t="shared" si="0"/>
        <v>12.3</v>
      </c>
      <c r="U3" s="6">
        <f t="shared" si="0"/>
        <v>9</v>
      </c>
      <c r="V3" s="6">
        <f t="shared" si="0"/>
        <v>-1</v>
      </c>
      <c r="W3" s="6" t="e" vm="26">
        <f t="shared" si="0"/>
        <v>#VALUE!</v>
      </c>
      <c r="X3" s="6" t="e" vm="26">
        <f>I3+"a"</f>
        <v>#VALUE!</v>
      </c>
      <c r="Y3" s="6">
        <f>J3+D3</f>
        <v>2</v>
      </c>
      <c r="Z3" s="6" t="e">
        <f t="shared" si="0"/>
        <v>#VALUE!</v>
      </c>
      <c r="AA3" s="6" t="e">
        <f t="shared" si="0"/>
        <v>#N/A</v>
      </c>
      <c r="AB3" s="6" t="e">
        <f t="shared" si="0"/>
        <v>#DIV/0!</v>
      </c>
      <c r="AC3" s="6" t="e">
        <f t="shared" si="0"/>
        <v>#NAME?</v>
      </c>
      <c r="AD3" s="6" t="e">
        <f t="shared" si="0"/>
        <v>#NULL!</v>
      </c>
      <c r="AE3" s="6" t="e">
        <f t="shared" si="0"/>
        <v>#NUM!</v>
      </c>
      <c r="AF3" s="6" t="e">
        <f t="shared" si="0"/>
        <v>#REF!</v>
      </c>
      <c r="AG3" s="8">
        <f t="array" ref="AG3">C3:G3+D3</f>
        <v>1</v>
      </c>
      <c r="AH3" s="8">
        <f t="array" ref="AH3:AK3">C3:P3+3</f>
        <v>3</v>
      </c>
      <c r="AI3" s="6">
        <v>4</v>
      </c>
      <c r="AJ3" s="6">
        <v>5.3</v>
      </c>
      <c r="AK3" s="6">
        <v>13</v>
      </c>
      <c r="AL3" s="6">
        <f t="array" ref="AL3:AW3">F3:P3+G3:Q3</f>
        <v>9</v>
      </c>
      <c r="AM3" s="6">
        <v>-1</v>
      </c>
      <c r="AN3" s="6" t="e" vm="26">
        <v>#VALUE!</v>
      </c>
      <c r="AO3" s="6" t="e" vm="26">
        <v>#VALUE!</v>
      </c>
      <c r="AP3" s="6" t="e">
        <v>#VALUE!</v>
      </c>
      <c r="AQ3" s="6" t="e">
        <v>#VALUE!</v>
      </c>
      <c r="AR3" s="6" t="e">
        <v>#N/A</v>
      </c>
      <c r="AS3" s="6" t="e">
        <v>#DIV/0!</v>
      </c>
      <c r="AT3" s="6" t="e">
        <v>#NAME?</v>
      </c>
      <c r="AU3" s="6" t="e">
        <v>#NULL!</v>
      </c>
      <c r="AV3" s="6" t="e">
        <v>#NUM!</v>
      </c>
      <c r="AW3" s="4" t="e">
        <v>#N/A</v>
      </c>
    </row>
    <row r="4" spans="1:49" x14ac:dyDescent="0.15">
      <c r="A4" s="43" t="s">
        <v>342</v>
      </c>
      <c r="B4" s="36" t="s">
        <v>541</v>
      </c>
      <c r="C4" s="4">
        <v>0</v>
      </c>
      <c r="D4" s="4">
        <v>1</v>
      </c>
      <c r="E4" s="4">
        <v>2.2999999999999998</v>
      </c>
      <c r="F4" s="4">
        <v>10</v>
      </c>
      <c r="G4" s="4">
        <v>-1</v>
      </c>
      <c r="H4" s="6"/>
      <c r="I4" s="6" t="s">
        <v>32</v>
      </c>
      <c r="J4" s="6" t="b">
        <v>1</v>
      </c>
      <c r="K4" s="6" t="e">
        <v>#VALUE!</v>
      </c>
      <c r="L4" s="6" t="e">
        <v>#N/A</v>
      </c>
      <c r="M4" s="7" t="e">
        <v>#DIV/0!</v>
      </c>
      <c r="N4" s="7" t="e">
        <v>#NAME?</v>
      </c>
      <c r="O4" s="7" t="e">
        <v>#NULL!</v>
      </c>
      <c r="P4" s="7" t="e">
        <v>#NUM!</v>
      </c>
      <c r="Q4" s="7" t="e">
        <v>#REF!</v>
      </c>
      <c r="R4" s="6">
        <f>C4-D4</f>
        <v>-1</v>
      </c>
      <c r="S4" s="6">
        <f t="shared" ref="S4:AF4" si="1">D4-E4</f>
        <v>-1.2999999999999998</v>
      </c>
      <c r="T4" s="6">
        <f t="shared" si="1"/>
        <v>-7.7</v>
      </c>
      <c r="U4" s="6">
        <f t="shared" si="1"/>
        <v>11</v>
      </c>
      <c r="V4" s="6">
        <f t="shared" si="1"/>
        <v>-1</v>
      </c>
      <c r="W4" s="6" t="e" vm="134">
        <f t="shared" si="1"/>
        <v>#VALUE!</v>
      </c>
      <c r="X4" s="6" t="e" vm="134">
        <f>I4-"a"</f>
        <v>#VALUE!</v>
      </c>
      <c r="Y4" s="6">
        <f>J4-D4</f>
        <v>0</v>
      </c>
      <c r="Z4" s="6" t="e">
        <f t="shared" si="1"/>
        <v>#VALUE!</v>
      </c>
      <c r="AA4" s="6" t="e">
        <f t="shared" si="1"/>
        <v>#N/A</v>
      </c>
      <c r="AB4" s="6" t="e">
        <f t="shared" si="1"/>
        <v>#DIV/0!</v>
      </c>
      <c r="AC4" s="6" t="e">
        <f t="shared" si="1"/>
        <v>#NAME?</v>
      </c>
      <c r="AD4" s="6" t="e">
        <f t="shared" si="1"/>
        <v>#NULL!</v>
      </c>
      <c r="AE4" s="6" t="e">
        <f t="shared" si="1"/>
        <v>#NUM!</v>
      </c>
      <c r="AF4" s="6" t="e">
        <f t="shared" si="1"/>
        <v>#REF!</v>
      </c>
      <c r="AG4" s="8">
        <f t="array" ref="AG4">C4:G4-D4</f>
        <v>-1</v>
      </c>
      <c r="AH4" s="8">
        <f t="array" ref="AH4:AK4">C4:P4-3</f>
        <v>-3</v>
      </c>
      <c r="AI4" s="6">
        <v>-2</v>
      </c>
      <c r="AJ4" s="6">
        <v>-0.70000000000000018</v>
      </c>
      <c r="AK4" s="6">
        <v>7</v>
      </c>
      <c r="AL4" s="6">
        <f t="array" ref="AL4:AW4">F4:P4-G4:Q4</f>
        <v>11</v>
      </c>
      <c r="AM4" s="6">
        <v>-1</v>
      </c>
      <c r="AN4" s="6" t="e" vm="134">
        <v>#VALUE!</v>
      </c>
      <c r="AO4" s="6" t="e" vm="134">
        <v>#VALUE!</v>
      </c>
      <c r="AP4" s="6" t="e">
        <v>#VALUE!</v>
      </c>
      <c r="AQ4" s="6" t="e">
        <v>#VALUE!</v>
      </c>
      <c r="AR4" s="6" t="e">
        <v>#N/A</v>
      </c>
      <c r="AS4" s="6" t="e">
        <v>#DIV/0!</v>
      </c>
      <c r="AT4" s="6" t="e">
        <v>#NAME?</v>
      </c>
      <c r="AU4" s="6" t="e">
        <v>#NULL!</v>
      </c>
      <c r="AV4" s="6" t="e">
        <v>#NUM!</v>
      </c>
      <c r="AW4" s="4" t="e">
        <v>#N/A</v>
      </c>
    </row>
    <row r="5" spans="1:49" ht="11" customHeight="1" x14ac:dyDescent="0.15">
      <c r="A5" s="36" t="s">
        <v>343</v>
      </c>
      <c r="B5" s="36" t="s">
        <v>541</v>
      </c>
      <c r="C5" s="4">
        <v>0</v>
      </c>
      <c r="D5" s="4">
        <v>1</v>
      </c>
      <c r="E5" s="4">
        <v>2.2999999999999998</v>
      </c>
      <c r="F5" s="4">
        <v>10</v>
      </c>
      <c r="G5" s="4">
        <v>-1</v>
      </c>
      <c r="H5" s="6"/>
      <c r="I5" s="6" t="s">
        <v>32</v>
      </c>
      <c r="J5" s="6" t="b">
        <v>1</v>
      </c>
      <c r="K5" s="6" t="e">
        <v>#VALUE!</v>
      </c>
      <c r="L5" s="6" t="e">
        <v>#N/A</v>
      </c>
      <c r="M5" s="7" t="e">
        <v>#DIV/0!</v>
      </c>
      <c r="N5" s="7" t="e">
        <v>#NAME?</v>
      </c>
      <c r="O5" s="7" t="e">
        <v>#NULL!</v>
      </c>
      <c r="P5" s="7" t="e">
        <v>#NUM!</v>
      </c>
      <c r="Q5" s="7" t="e">
        <v>#REF!</v>
      </c>
      <c r="R5" s="6">
        <f>-C5</f>
        <v>0</v>
      </c>
      <c r="S5" s="6">
        <f t="shared" ref="S5:AF5" si="2">-D5</f>
        <v>-1</v>
      </c>
      <c r="T5" s="6">
        <f t="shared" si="2"/>
        <v>-2.2999999999999998</v>
      </c>
      <c r="U5" s="6">
        <f t="shared" si="2"/>
        <v>-10</v>
      </c>
      <c r="V5" s="6">
        <f t="shared" si="2"/>
        <v>1</v>
      </c>
      <c r="W5" s="6">
        <f t="shared" si="2"/>
        <v>0</v>
      </c>
      <c r="X5" s="6" t="e" vm="135">
        <f t="shared" si="2"/>
        <v>#VALUE!</v>
      </c>
      <c r="Y5" s="6">
        <f t="shared" si="2"/>
        <v>-1</v>
      </c>
      <c r="Z5" s="6" t="e">
        <f t="shared" si="2"/>
        <v>#VALUE!</v>
      </c>
      <c r="AA5" s="6" t="e">
        <f t="shared" si="2"/>
        <v>#N/A</v>
      </c>
      <c r="AB5" s="6" t="e">
        <f t="shared" si="2"/>
        <v>#DIV/0!</v>
      </c>
      <c r="AC5" s="6" t="e">
        <f t="shared" si="2"/>
        <v>#NAME?</v>
      </c>
      <c r="AD5" s="6" t="e">
        <f t="shared" si="2"/>
        <v>#NULL!</v>
      </c>
      <c r="AE5" s="6" t="e">
        <f t="shared" si="2"/>
        <v>#NUM!</v>
      </c>
      <c r="AF5" s="6" t="e">
        <f t="shared" si="2"/>
        <v>#REF!</v>
      </c>
      <c r="AG5" s="8">
        <f t="array" ref="AG5">-C5:G5</f>
        <v>0</v>
      </c>
      <c r="AH5" s="8">
        <f t="array" ref="AH5:AW5">-C5:Q5</f>
        <v>0</v>
      </c>
      <c r="AI5" s="6">
        <v>-1</v>
      </c>
      <c r="AJ5" s="6">
        <v>-2.2999999999999998</v>
      </c>
      <c r="AK5" s="6">
        <v>-10</v>
      </c>
      <c r="AL5" s="6">
        <v>1</v>
      </c>
      <c r="AM5" s="6">
        <v>0</v>
      </c>
      <c r="AN5" s="6" t="e" vm="135">
        <v>#VALUE!</v>
      </c>
      <c r="AO5" s="6">
        <v>-1</v>
      </c>
      <c r="AP5" s="6" t="e">
        <v>#VALUE!</v>
      </c>
      <c r="AQ5" s="6" t="e">
        <v>#N/A</v>
      </c>
      <c r="AR5" s="6" t="e">
        <v>#DIV/0!</v>
      </c>
      <c r="AS5" s="6" t="e">
        <v>#NAME?</v>
      </c>
      <c r="AT5" s="6" t="e">
        <v>#NULL!</v>
      </c>
      <c r="AU5" s="6" t="e">
        <v>#NUM!</v>
      </c>
      <c r="AV5" s="6" t="e">
        <v>#REF!</v>
      </c>
      <c r="AW5" s="4" t="e">
        <v>#N/A</v>
      </c>
    </row>
    <row r="6" spans="1:49" ht="11" customHeight="1" x14ac:dyDescent="0.15">
      <c r="A6" s="36" t="s">
        <v>344</v>
      </c>
      <c r="B6" s="36" t="s">
        <v>541</v>
      </c>
      <c r="C6" s="4">
        <v>0</v>
      </c>
      <c r="D6" s="4">
        <v>1</v>
      </c>
      <c r="E6" s="4">
        <v>2.2999999999999998</v>
      </c>
      <c r="F6" s="4">
        <v>10</v>
      </c>
      <c r="G6" s="4">
        <v>-1</v>
      </c>
      <c r="H6" s="6"/>
      <c r="I6" s="6" t="s">
        <v>32</v>
      </c>
      <c r="J6" s="6" t="b">
        <v>1</v>
      </c>
      <c r="K6" s="6" t="e">
        <v>#VALUE!</v>
      </c>
      <c r="L6" s="6" t="e">
        <v>#N/A</v>
      </c>
      <c r="M6" s="7" t="e">
        <v>#DIV/0!</v>
      </c>
      <c r="N6" s="7" t="e">
        <v>#NAME?</v>
      </c>
      <c r="O6" s="7" t="e">
        <v>#NULL!</v>
      </c>
      <c r="P6" s="7" t="e">
        <v>#NUM!</v>
      </c>
      <c r="Q6" s="7" t="e">
        <v>#REF!</v>
      </c>
      <c r="R6" s="6">
        <f>+C6</f>
        <v>0</v>
      </c>
      <c r="S6" s="6">
        <f t="shared" ref="S6:AF6" si="3">+D6</f>
        <v>1</v>
      </c>
      <c r="T6" s="6">
        <f t="shared" si="3"/>
        <v>2.2999999999999998</v>
      </c>
      <c r="U6" s="6">
        <f t="shared" si="3"/>
        <v>10</v>
      </c>
      <c r="V6" s="6">
        <f t="shared" si="3"/>
        <v>-1</v>
      </c>
      <c r="W6" s="6">
        <f t="shared" si="3"/>
        <v>0</v>
      </c>
      <c r="X6" s="6" t="str">
        <f t="shared" si="3"/>
        <v>ciao</v>
      </c>
      <c r="Y6" s="6" t="b">
        <f t="shared" si="3"/>
        <v>1</v>
      </c>
      <c r="Z6" s="6" t="e">
        <f t="shared" si="3"/>
        <v>#VALUE!</v>
      </c>
      <c r="AA6" s="6" t="e">
        <f t="shared" si="3"/>
        <v>#N/A</v>
      </c>
      <c r="AB6" s="6" t="e">
        <f t="shared" si="3"/>
        <v>#DIV/0!</v>
      </c>
      <c r="AC6" s="6" t="e">
        <f t="shared" si="3"/>
        <v>#NAME?</v>
      </c>
      <c r="AD6" s="6" t="e">
        <f t="shared" si="3"/>
        <v>#NULL!</v>
      </c>
      <c r="AE6" s="6" t="e">
        <f t="shared" si="3"/>
        <v>#NUM!</v>
      </c>
      <c r="AF6" s="6" t="e">
        <f t="shared" si="3"/>
        <v>#REF!</v>
      </c>
      <c r="AG6" s="8">
        <f t="array" ref="AG6">+C6:G6</f>
        <v>0</v>
      </c>
      <c r="AH6" s="8">
        <f t="array" ref="AH6:AW6">+C6:Q6</f>
        <v>0</v>
      </c>
      <c r="AI6" s="6">
        <v>1</v>
      </c>
      <c r="AJ6" s="6">
        <v>2.2999999999999998</v>
      </c>
      <c r="AK6" s="6">
        <v>10</v>
      </c>
      <c r="AL6" s="6">
        <v>-1</v>
      </c>
      <c r="AM6" s="6">
        <v>0</v>
      </c>
      <c r="AN6" s="6" t="str">
        <v>ciao</v>
      </c>
      <c r="AO6" s="6" t="b">
        <v>1</v>
      </c>
      <c r="AP6" s="6" t="e">
        <v>#VALUE!</v>
      </c>
      <c r="AQ6" s="6" t="e">
        <v>#N/A</v>
      </c>
      <c r="AR6" s="6" t="e">
        <v>#DIV/0!</v>
      </c>
      <c r="AS6" s="6" t="e">
        <v>#NAME?</v>
      </c>
      <c r="AT6" s="6" t="e">
        <v>#NULL!</v>
      </c>
      <c r="AU6" s="6" t="e">
        <v>#NUM!</v>
      </c>
      <c r="AV6" s="6" t="e">
        <v>#REF!</v>
      </c>
      <c r="AW6" s="4" t="e">
        <v>#N/A</v>
      </c>
    </row>
    <row r="7" spans="1:49" ht="11" customHeight="1" x14ac:dyDescent="0.15">
      <c r="A7" s="43" t="s">
        <v>345</v>
      </c>
      <c r="B7" s="36" t="s">
        <v>541</v>
      </c>
      <c r="C7" s="4">
        <v>0</v>
      </c>
      <c r="D7" s="4">
        <v>1</v>
      </c>
      <c r="E7" s="4">
        <v>2.2999999999999998</v>
      </c>
      <c r="F7" s="4">
        <v>10</v>
      </c>
      <c r="G7" s="4">
        <v>-1</v>
      </c>
      <c r="H7" s="6"/>
      <c r="I7" s="6" t="s">
        <v>32</v>
      </c>
      <c r="J7" s="6" t="b">
        <v>1</v>
      </c>
      <c r="K7" s="6" t="e">
        <v>#VALUE!</v>
      </c>
      <c r="L7" s="6" t="e">
        <v>#N/A</v>
      </c>
      <c r="M7" s="7" t="e">
        <v>#DIV/0!</v>
      </c>
      <c r="N7" s="7" t="e">
        <v>#NAME?</v>
      </c>
      <c r="O7" s="7" t="e">
        <v>#NULL!</v>
      </c>
      <c r="P7" s="7" t="e">
        <v>#NUM!</v>
      </c>
      <c r="Q7" s="7" t="e">
        <v>#REF!</v>
      </c>
      <c r="R7" s="6">
        <f>C7*D7</f>
        <v>0</v>
      </c>
      <c r="S7" s="6">
        <f t="shared" ref="S7:AF7" si="4">D7*E7</f>
        <v>2.2999999999999998</v>
      </c>
      <c r="T7" s="6">
        <f t="shared" si="4"/>
        <v>23</v>
      </c>
      <c r="U7" s="6">
        <f t="shared" si="4"/>
        <v>-10</v>
      </c>
      <c r="V7" s="6">
        <f t="shared" si="4"/>
        <v>0</v>
      </c>
      <c r="W7" s="6" t="e" vm="136">
        <f t="shared" si="4"/>
        <v>#VALUE!</v>
      </c>
      <c r="X7" s="6" t="e" vm="136">
        <f>I7*"a"</f>
        <v>#VALUE!</v>
      </c>
      <c r="Y7" s="6">
        <f>J7*D7</f>
        <v>1</v>
      </c>
      <c r="Z7" s="6" t="e">
        <f t="shared" si="4"/>
        <v>#VALUE!</v>
      </c>
      <c r="AA7" s="6" t="e">
        <f t="shared" si="4"/>
        <v>#N/A</v>
      </c>
      <c r="AB7" s="6" t="e">
        <f t="shared" si="4"/>
        <v>#DIV/0!</v>
      </c>
      <c r="AC7" s="6" t="e">
        <f t="shared" si="4"/>
        <v>#NAME?</v>
      </c>
      <c r="AD7" s="6" t="e">
        <f t="shared" si="4"/>
        <v>#NULL!</v>
      </c>
      <c r="AE7" s="6" t="e">
        <f t="shared" si="4"/>
        <v>#NUM!</v>
      </c>
      <c r="AF7" s="6" t="e">
        <f t="shared" si="4"/>
        <v>#REF!</v>
      </c>
      <c r="AG7" s="8">
        <f t="array" ref="AG7">C7:G7*D7</f>
        <v>0</v>
      </c>
      <c r="AH7" s="8">
        <f t="array" ref="AH7:AK7">C7:P7*3</f>
        <v>0</v>
      </c>
      <c r="AI7" s="6">
        <v>3</v>
      </c>
      <c r="AJ7" s="6">
        <v>6.8999999999999995</v>
      </c>
      <c r="AK7" s="6">
        <v>30</v>
      </c>
      <c r="AL7" s="6">
        <f t="array" ref="AL7:AW7">F7:P7*G7:Q7</f>
        <v>-10</v>
      </c>
      <c r="AM7" s="6">
        <v>0</v>
      </c>
      <c r="AN7" s="6" t="e" vm="136">
        <v>#VALUE!</v>
      </c>
      <c r="AO7" s="6" t="e" vm="136">
        <v>#VALUE!</v>
      </c>
      <c r="AP7" s="6" t="e">
        <v>#VALUE!</v>
      </c>
      <c r="AQ7" s="6" t="e">
        <v>#VALUE!</v>
      </c>
      <c r="AR7" s="6" t="e">
        <v>#N/A</v>
      </c>
      <c r="AS7" s="6" t="e">
        <v>#DIV/0!</v>
      </c>
      <c r="AT7" s="6" t="e">
        <v>#NAME?</v>
      </c>
      <c r="AU7" s="6" t="e">
        <v>#NULL!</v>
      </c>
      <c r="AV7" s="6" t="e">
        <v>#NUM!</v>
      </c>
      <c r="AW7" s="4" t="e">
        <v>#N/A</v>
      </c>
    </row>
    <row r="8" spans="1:49" ht="11" customHeight="1" x14ac:dyDescent="0.15">
      <c r="A8" s="43" t="s">
        <v>346</v>
      </c>
      <c r="B8" s="36" t="s">
        <v>541</v>
      </c>
      <c r="C8" s="4">
        <v>0</v>
      </c>
      <c r="D8" s="4">
        <v>1</v>
      </c>
      <c r="E8" s="4">
        <v>2.2999999999999998</v>
      </c>
      <c r="F8" s="4">
        <v>10</v>
      </c>
      <c r="G8" s="4">
        <v>-1</v>
      </c>
      <c r="H8" s="6"/>
      <c r="I8" s="6" t="s">
        <v>32</v>
      </c>
      <c r="J8" s="6" t="b">
        <v>1</v>
      </c>
      <c r="K8" s="6" t="e">
        <v>#VALUE!</v>
      </c>
      <c r="L8" s="6" t="e">
        <v>#N/A</v>
      </c>
      <c r="M8" s="7" t="e">
        <v>#DIV/0!</v>
      </c>
      <c r="N8" s="7" t="e">
        <v>#NAME?</v>
      </c>
      <c r="O8" s="7" t="e">
        <v>#NULL!</v>
      </c>
      <c r="P8" s="7" t="e">
        <v>#NUM!</v>
      </c>
      <c r="Q8" s="7" t="e">
        <v>#REF!</v>
      </c>
      <c r="R8" s="6">
        <f>C8/D8</f>
        <v>0</v>
      </c>
      <c r="S8" s="6">
        <f t="shared" ref="S8:AF8" si="5">D8/E8</f>
        <v>0.43478260869565222</v>
      </c>
      <c r="T8" s="6">
        <f t="shared" si="5"/>
        <v>0.22999999999999998</v>
      </c>
      <c r="U8" s="6">
        <f t="shared" si="5"/>
        <v>-10</v>
      </c>
      <c r="V8" s="6" t="e">
        <f t="shared" si="5"/>
        <v>#DIV/0!</v>
      </c>
      <c r="W8" s="6" t="e" vm="137">
        <f t="shared" si="5"/>
        <v>#VALUE!</v>
      </c>
      <c r="X8" s="6" t="e" vm="137">
        <f>I8/"a"</f>
        <v>#VALUE!</v>
      </c>
      <c r="Y8" s="6">
        <f>J8/D8</f>
        <v>1</v>
      </c>
      <c r="Z8" s="6" t="e">
        <f t="shared" si="5"/>
        <v>#VALUE!</v>
      </c>
      <c r="AA8" s="6" t="e">
        <f t="shared" si="5"/>
        <v>#N/A</v>
      </c>
      <c r="AB8" s="6" t="e">
        <f t="shared" si="5"/>
        <v>#DIV/0!</v>
      </c>
      <c r="AC8" s="6" t="e">
        <f t="shared" si="5"/>
        <v>#NAME?</v>
      </c>
      <c r="AD8" s="6" t="e">
        <f t="shared" si="5"/>
        <v>#NULL!</v>
      </c>
      <c r="AE8" s="6" t="e">
        <f t="shared" si="5"/>
        <v>#NUM!</v>
      </c>
      <c r="AF8" s="6" t="e">
        <f t="shared" si="5"/>
        <v>#REF!</v>
      </c>
      <c r="AG8" s="8">
        <f t="array" ref="AG8">C8:G8/D8</f>
        <v>0</v>
      </c>
      <c r="AH8" s="8">
        <f t="array" ref="AH8:AK8">C8:P8/3</f>
        <v>0</v>
      </c>
      <c r="AI8" s="6">
        <v>0.33333333333333331</v>
      </c>
      <c r="AJ8" s="6">
        <v>0.76666666666666661</v>
      </c>
      <c r="AK8" s="6">
        <v>3.3333333333333335</v>
      </c>
      <c r="AL8" s="6">
        <f t="array" ref="AL8:AW8">F8:P8/G8:Q8</f>
        <v>-10</v>
      </c>
      <c r="AM8" s="6" t="e">
        <v>#DIV/0!</v>
      </c>
      <c r="AN8" s="6" t="e" vm="137">
        <v>#VALUE!</v>
      </c>
      <c r="AO8" s="6" t="e" vm="137">
        <v>#VALUE!</v>
      </c>
      <c r="AP8" s="6" t="e">
        <v>#VALUE!</v>
      </c>
      <c r="AQ8" s="6" t="e">
        <v>#VALUE!</v>
      </c>
      <c r="AR8" s="6" t="e">
        <v>#N/A</v>
      </c>
      <c r="AS8" s="6" t="e">
        <v>#DIV/0!</v>
      </c>
      <c r="AT8" s="6" t="e">
        <v>#NAME?</v>
      </c>
      <c r="AU8" s="6" t="e">
        <v>#NULL!</v>
      </c>
      <c r="AV8" s="6" t="e">
        <v>#NUM!</v>
      </c>
      <c r="AW8" s="4" t="e">
        <v>#N/A</v>
      </c>
    </row>
    <row r="9" spans="1:49" ht="11" customHeight="1" x14ac:dyDescent="0.15">
      <c r="A9" s="43" t="s">
        <v>347</v>
      </c>
      <c r="B9" s="36" t="s">
        <v>541</v>
      </c>
      <c r="C9" s="4">
        <v>0</v>
      </c>
      <c r="D9" s="4">
        <v>1</v>
      </c>
      <c r="E9" s="4">
        <v>2.2999999999999998</v>
      </c>
      <c r="F9" s="4">
        <v>10</v>
      </c>
      <c r="G9" s="4">
        <v>-1</v>
      </c>
      <c r="H9" s="6"/>
      <c r="I9" s="6" t="s">
        <v>32</v>
      </c>
      <c r="J9" s="6" t="b">
        <v>1</v>
      </c>
      <c r="K9" s="6" t="e">
        <v>#VALUE!</v>
      </c>
      <c r="L9" s="6" t="e">
        <v>#N/A</v>
      </c>
      <c r="M9" s="7" t="e">
        <v>#DIV/0!</v>
      </c>
      <c r="N9" s="7" t="e">
        <v>#NAME?</v>
      </c>
      <c r="O9" s="7" t="e">
        <v>#NULL!</v>
      </c>
      <c r="P9" s="7" t="e">
        <v>#NUM!</v>
      </c>
      <c r="Q9" s="7" t="e">
        <v>#REF!</v>
      </c>
      <c r="R9" s="6">
        <f>C9^D9</f>
        <v>0</v>
      </c>
      <c r="S9" s="6">
        <f t="shared" ref="S9:AF9" si="6">D9^E9</f>
        <v>1</v>
      </c>
      <c r="T9" s="6">
        <f t="shared" si="6"/>
        <v>4142.6511213648964</v>
      </c>
      <c r="U9" s="6">
        <f t="shared" si="6"/>
        <v>0.1</v>
      </c>
      <c r="V9" s="6">
        <f t="shared" si="6"/>
        <v>1</v>
      </c>
      <c r="W9" s="6" t="e" vm="138">
        <f t="shared" si="6"/>
        <v>#VALUE!</v>
      </c>
      <c r="X9" s="4" t="e" vm="138">
        <f>I9^"a"</f>
        <v>#VALUE!</v>
      </c>
      <c r="Y9" s="6">
        <f>J9^D9</f>
        <v>1</v>
      </c>
      <c r="Z9" s="6" t="e">
        <f t="shared" si="6"/>
        <v>#VALUE!</v>
      </c>
      <c r="AA9" s="6" t="e">
        <f t="shared" si="6"/>
        <v>#N/A</v>
      </c>
      <c r="AB9" s="6" t="e">
        <f t="shared" si="6"/>
        <v>#DIV/0!</v>
      </c>
      <c r="AC9" s="6" t="e">
        <f t="shared" si="6"/>
        <v>#NAME?</v>
      </c>
      <c r="AD9" s="6" t="e">
        <f t="shared" si="6"/>
        <v>#NULL!</v>
      </c>
      <c r="AE9" s="6" t="e">
        <f t="shared" si="6"/>
        <v>#NUM!</v>
      </c>
      <c r="AF9" s="6" t="e">
        <f t="shared" si="6"/>
        <v>#REF!</v>
      </c>
      <c r="AG9" s="8">
        <f t="array" ref="AG9">C9:G9^D9</f>
        <v>0</v>
      </c>
      <c r="AH9" s="8">
        <f t="array" ref="AH9:AK9">C9:P9^3</f>
        <v>0</v>
      </c>
      <c r="AI9" s="6">
        <v>1</v>
      </c>
      <c r="AJ9" s="6">
        <v>12.166999999999996</v>
      </c>
      <c r="AK9" s="6">
        <v>1000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9" ht="11" customHeight="1" x14ac:dyDescent="0.15">
      <c r="A10" s="43" t="s">
        <v>348</v>
      </c>
      <c r="B10" s="36" t="s">
        <v>541</v>
      </c>
      <c r="C10" s="4">
        <v>0</v>
      </c>
      <c r="D10" s="4">
        <v>1</v>
      </c>
      <c r="E10" s="4">
        <v>2.2999999999999998</v>
      </c>
      <c r="F10" s="4">
        <v>10</v>
      </c>
      <c r="G10" s="4">
        <v>-1</v>
      </c>
      <c r="H10" s="6"/>
      <c r="I10" s="6" t="s">
        <v>32</v>
      </c>
      <c r="J10" s="6" t="b">
        <v>1</v>
      </c>
      <c r="K10" s="6" t="e">
        <v>#VALUE!</v>
      </c>
      <c r="L10" s="6" t="e">
        <v>#N/A</v>
      </c>
      <c r="M10" s="7" t="e">
        <v>#DIV/0!</v>
      </c>
      <c r="N10" s="7" t="e">
        <v>#NAME?</v>
      </c>
      <c r="O10" s="7" t="e">
        <v>#NULL!</v>
      </c>
      <c r="P10" s="7" t="e">
        <v>#NUM!</v>
      </c>
      <c r="Q10" s="7" t="e">
        <v>#REF!</v>
      </c>
      <c r="R10" s="6" t="b">
        <f>C10&lt;D10</f>
        <v>1</v>
      </c>
      <c r="S10" s="6" t="b">
        <f t="shared" ref="S10:AF10" si="7">D10&lt;E10</f>
        <v>1</v>
      </c>
      <c r="T10" s="6" t="b">
        <f t="shared" si="7"/>
        <v>1</v>
      </c>
      <c r="U10" s="6" t="b">
        <f t="shared" si="7"/>
        <v>0</v>
      </c>
      <c r="V10" s="6" t="b">
        <f t="shared" si="7"/>
        <v>1</v>
      </c>
      <c r="W10" s="6" t="b">
        <f t="shared" si="7"/>
        <v>1</v>
      </c>
      <c r="X10" s="6" t="b">
        <f t="shared" si="7"/>
        <v>1</v>
      </c>
      <c r="Y10" s="6" t="b">
        <f>J10&lt;D10</f>
        <v>0</v>
      </c>
      <c r="Z10" s="6" t="e">
        <f t="shared" si="7"/>
        <v>#VALUE!</v>
      </c>
      <c r="AA10" s="6" t="e">
        <f t="shared" si="7"/>
        <v>#N/A</v>
      </c>
      <c r="AB10" s="6" t="e">
        <f t="shared" si="7"/>
        <v>#DIV/0!</v>
      </c>
      <c r="AC10" s="6" t="e">
        <f t="shared" si="7"/>
        <v>#NAME?</v>
      </c>
      <c r="AD10" s="6" t="e">
        <f t="shared" si="7"/>
        <v>#NULL!</v>
      </c>
      <c r="AE10" s="6" t="e">
        <f t="shared" si="7"/>
        <v>#NUM!</v>
      </c>
      <c r="AF10" s="6" t="e">
        <f t="shared" si="7"/>
        <v>#REF!</v>
      </c>
      <c r="AG10" s="8" t="b">
        <f t="array" ref="AG10">C10:G10&lt;D10</f>
        <v>1</v>
      </c>
      <c r="AH10" s="8" t="b">
        <f t="array" ref="AH10:AK10">C10:P10&lt;3</f>
        <v>1</v>
      </c>
      <c r="AI10" s="6" t="b">
        <v>1</v>
      </c>
      <c r="AJ10" s="6" t="b">
        <v>1</v>
      </c>
      <c r="AK10" s="6" t="b">
        <v>0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9" ht="11" customHeight="1" x14ac:dyDescent="0.15">
      <c r="A11" s="43" t="s">
        <v>349</v>
      </c>
      <c r="B11" s="36" t="s">
        <v>541</v>
      </c>
      <c r="C11" s="4">
        <v>0</v>
      </c>
      <c r="D11" s="4">
        <v>1</v>
      </c>
      <c r="E11" s="4">
        <v>2.2999999999999998</v>
      </c>
      <c r="F11" s="4">
        <v>10</v>
      </c>
      <c r="G11" s="4">
        <v>-1</v>
      </c>
      <c r="H11" s="6"/>
      <c r="I11" s="6" t="s">
        <v>32</v>
      </c>
      <c r="J11" s="6" t="b">
        <v>1</v>
      </c>
      <c r="K11" s="6" t="e">
        <v>#VALUE!</v>
      </c>
      <c r="L11" s="6" t="e">
        <v>#N/A</v>
      </c>
      <c r="M11" s="7" t="e">
        <v>#DIV/0!</v>
      </c>
      <c r="N11" s="7" t="e">
        <v>#NAME?</v>
      </c>
      <c r="O11" s="7" t="e">
        <v>#NULL!</v>
      </c>
      <c r="P11" s="7" t="e">
        <v>#NUM!</v>
      </c>
      <c r="Q11" s="7" t="e">
        <v>#REF!</v>
      </c>
      <c r="R11" s="6" t="b">
        <f>C11&lt;=D11</f>
        <v>1</v>
      </c>
      <c r="S11" s="6" t="b">
        <f t="shared" ref="S11:AF11" si="8">D11&lt;=E11</f>
        <v>1</v>
      </c>
      <c r="T11" s="6" t="b">
        <f t="shared" si="8"/>
        <v>1</v>
      </c>
      <c r="U11" s="6" t="b">
        <f t="shared" si="8"/>
        <v>0</v>
      </c>
      <c r="V11" s="6" t="b">
        <f t="shared" si="8"/>
        <v>1</v>
      </c>
      <c r="W11" s="6" t="b">
        <f t="shared" si="8"/>
        <v>1</v>
      </c>
      <c r="X11" s="6" t="b">
        <f t="shared" si="8"/>
        <v>1</v>
      </c>
      <c r="Y11" s="6" t="b">
        <f>J11&lt;=D11</f>
        <v>0</v>
      </c>
      <c r="Z11" s="6" t="e">
        <f t="shared" si="8"/>
        <v>#VALUE!</v>
      </c>
      <c r="AA11" s="6" t="e">
        <f t="shared" si="8"/>
        <v>#N/A</v>
      </c>
      <c r="AB11" s="6" t="e">
        <f t="shared" si="8"/>
        <v>#DIV/0!</v>
      </c>
      <c r="AC11" s="6" t="e">
        <f t="shared" si="8"/>
        <v>#NAME?</v>
      </c>
      <c r="AD11" s="6" t="e">
        <f t="shared" si="8"/>
        <v>#NULL!</v>
      </c>
      <c r="AE11" s="6" t="e">
        <f t="shared" si="8"/>
        <v>#NUM!</v>
      </c>
      <c r="AF11" s="6" t="e">
        <f t="shared" si="8"/>
        <v>#REF!</v>
      </c>
      <c r="AG11" s="8" t="b">
        <f t="array" ref="AG11">C11:G11&lt;=D11</f>
        <v>1</v>
      </c>
      <c r="AH11" s="8" t="b">
        <f t="array" ref="AH11:AK11">C11:P11&lt;=3</f>
        <v>1</v>
      </c>
      <c r="AI11" s="6" t="b">
        <v>1</v>
      </c>
      <c r="AJ11" s="6" t="b">
        <v>1</v>
      </c>
      <c r="AK11" s="6" t="b">
        <v>0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9" ht="11" customHeight="1" x14ac:dyDescent="0.15">
      <c r="A12" s="43" t="s">
        <v>350</v>
      </c>
      <c r="B12" s="36" t="s">
        <v>541</v>
      </c>
      <c r="C12" s="4">
        <v>0</v>
      </c>
      <c r="D12" s="4">
        <v>1</v>
      </c>
      <c r="E12" s="4">
        <v>2.2999999999999998</v>
      </c>
      <c r="F12" s="4">
        <v>10</v>
      </c>
      <c r="G12" s="4">
        <v>-1</v>
      </c>
      <c r="H12" s="6"/>
      <c r="I12" s="6" t="s">
        <v>32</v>
      </c>
      <c r="J12" s="6" t="b">
        <v>1</v>
      </c>
      <c r="K12" s="6" t="e">
        <v>#VALUE!</v>
      </c>
      <c r="L12" s="6" t="e">
        <v>#N/A</v>
      </c>
      <c r="M12" s="7" t="e">
        <v>#DIV/0!</v>
      </c>
      <c r="N12" s="7" t="e">
        <v>#NAME?</v>
      </c>
      <c r="O12" s="7" t="e">
        <v>#NULL!</v>
      </c>
      <c r="P12" s="7" t="e">
        <v>#NUM!</v>
      </c>
      <c r="Q12" s="7" t="e">
        <v>#REF!</v>
      </c>
      <c r="R12" s="6" t="b">
        <f>C12&gt;D12</f>
        <v>0</v>
      </c>
      <c r="S12" s="6" t="b">
        <f t="shared" ref="S12:AF12" si="9">D12&gt;E12</f>
        <v>0</v>
      </c>
      <c r="T12" s="6" t="b">
        <f t="shared" si="9"/>
        <v>0</v>
      </c>
      <c r="U12" s="6" t="b">
        <f t="shared" si="9"/>
        <v>1</v>
      </c>
      <c r="V12" s="6" t="b">
        <f t="shared" si="9"/>
        <v>0</v>
      </c>
      <c r="W12" s="6" t="b">
        <f t="shared" si="9"/>
        <v>0</v>
      </c>
      <c r="X12" s="6" t="b">
        <f t="shared" si="9"/>
        <v>0</v>
      </c>
      <c r="Y12" s="6" t="b">
        <f>J12&gt;D12</f>
        <v>1</v>
      </c>
      <c r="Z12" s="6" t="e">
        <f t="shared" si="9"/>
        <v>#VALUE!</v>
      </c>
      <c r="AA12" s="6" t="e">
        <f t="shared" si="9"/>
        <v>#N/A</v>
      </c>
      <c r="AB12" s="6" t="e">
        <f t="shared" si="9"/>
        <v>#DIV/0!</v>
      </c>
      <c r="AC12" s="6" t="e">
        <f t="shared" si="9"/>
        <v>#NAME?</v>
      </c>
      <c r="AD12" s="6" t="e">
        <f t="shared" si="9"/>
        <v>#NULL!</v>
      </c>
      <c r="AE12" s="6" t="e">
        <f t="shared" si="9"/>
        <v>#NUM!</v>
      </c>
      <c r="AF12" s="6" t="e">
        <f t="shared" si="9"/>
        <v>#REF!</v>
      </c>
      <c r="AG12" s="8" t="b">
        <f t="array" ref="AG12">C12:G12&gt;D12</f>
        <v>0</v>
      </c>
      <c r="AH12" s="8" t="b">
        <f t="array" ref="AH12:AK12">C12:P12&gt;3</f>
        <v>0</v>
      </c>
      <c r="AI12" s="6" t="b">
        <v>0</v>
      </c>
      <c r="AJ12" s="6" t="b">
        <v>0</v>
      </c>
      <c r="AK12" s="6" t="b">
        <v>1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9" ht="11" customHeight="1" x14ac:dyDescent="0.15">
      <c r="A13" s="43" t="s">
        <v>351</v>
      </c>
      <c r="B13" s="36" t="s">
        <v>541</v>
      </c>
      <c r="C13" s="4">
        <v>0</v>
      </c>
      <c r="D13" s="4">
        <v>1</v>
      </c>
      <c r="E13" s="4">
        <v>2.2999999999999998</v>
      </c>
      <c r="F13" s="4">
        <v>10</v>
      </c>
      <c r="G13" s="4">
        <v>-1</v>
      </c>
      <c r="H13" s="6"/>
      <c r="I13" s="6" t="s">
        <v>32</v>
      </c>
      <c r="J13" s="6" t="b">
        <v>1</v>
      </c>
      <c r="K13" s="6" t="e">
        <v>#VALUE!</v>
      </c>
      <c r="L13" s="6" t="e">
        <v>#N/A</v>
      </c>
      <c r="M13" s="7" t="e">
        <v>#DIV/0!</v>
      </c>
      <c r="N13" s="7" t="e">
        <v>#NAME?</v>
      </c>
      <c r="O13" s="7" t="e">
        <v>#NULL!</v>
      </c>
      <c r="P13" s="7" t="e">
        <v>#NUM!</v>
      </c>
      <c r="Q13" s="7" t="e">
        <v>#REF!</v>
      </c>
      <c r="R13" s="6" t="b">
        <f>C13&gt;=D13</f>
        <v>0</v>
      </c>
      <c r="S13" s="6" t="b">
        <f t="shared" ref="S13:AF13" si="10">D13&gt;=E13</f>
        <v>0</v>
      </c>
      <c r="T13" s="6" t="b">
        <f t="shared" si="10"/>
        <v>0</v>
      </c>
      <c r="U13" s="6" t="b">
        <f t="shared" si="10"/>
        <v>1</v>
      </c>
      <c r="V13" s="6" t="b">
        <f t="shared" si="10"/>
        <v>0</v>
      </c>
      <c r="W13" s="6" t="b">
        <f t="shared" si="10"/>
        <v>0</v>
      </c>
      <c r="X13" s="6" t="b">
        <f t="shared" si="10"/>
        <v>0</v>
      </c>
      <c r="Y13" s="6" t="b">
        <f>J13&gt;=D13</f>
        <v>1</v>
      </c>
      <c r="Z13" s="6" t="e">
        <f t="shared" si="10"/>
        <v>#VALUE!</v>
      </c>
      <c r="AA13" s="6" t="e">
        <f t="shared" si="10"/>
        <v>#N/A</v>
      </c>
      <c r="AB13" s="6" t="e">
        <f t="shared" si="10"/>
        <v>#DIV/0!</v>
      </c>
      <c r="AC13" s="6" t="e">
        <f t="shared" si="10"/>
        <v>#NAME?</v>
      </c>
      <c r="AD13" s="6" t="e">
        <f t="shared" si="10"/>
        <v>#NULL!</v>
      </c>
      <c r="AE13" s="6" t="e">
        <f t="shared" si="10"/>
        <v>#NUM!</v>
      </c>
      <c r="AF13" s="6" t="e">
        <f t="shared" si="10"/>
        <v>#REF!</v>
      </c>
      <c r="AG13" s="8" t="b">
        <f t="array" ref="AG13">C13:G13&gt;=D13</f>
        <v>0</v>
      </c>
      <c r="AH13" s="8" t="b">
        <f t="array" ref="AH13:AK13">C13:P13&gt;=3</f>
        <v>0</v>
      </c>
      <c r="AI13" s="6" t="b">
        <v>0</v>
      </c>
      <c r="AJ13" s="6" t="b">
        <v>0</v>
      </c>
      <c r="AK13" s="6" t="b">
        <v>1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9" ht="11" customHeight="1" x14ac:dyDescent="0.15">
      <c r="A14" s="43" t="s">
        <v>352</v>
      </c>
      <c r="B14" s="36" t="s">
        <v>541</v>
      </c>
      <c r="C14" s="4">
        <v>0</v>
      </c>
      <c r="D14" s="4">
        <v>1</v>
      </c>
      <c r="E14" s="4">
        <v>2.2999999999999998</v>
      </c>
      <c r="F14" s="4">
        <v>10</v>
      </c>
      <c r="G14" s="4">
        <v>-1</v>
      </c>
      <c r="H14" s="6"/>
      <c r="I14" s="6" t="s">
        <v>32</v>
      </c>
      <c r="J14" s="6" t="b">
        <v>1</v>
      </c>
      <c r="K14" s="6" t="e">
        <v>#VALUE!</v>
      </c>
      <c r="L14" s="6" t="e">
        <v>#N/A</v>
      </c>
      <c r="M14" s="7" t="e">
        <v>#DIV/0!</v>
      </c>
      <c r="N14" s="7" t="e">
        <v>#NAME?</v>
      </c>
      <c r="O14" s="7" t="e">
        <v>#NULL!</v>
      </c>
      <c r="P14" s="7" t="e">
        <v>#NUM!</v>
      </c>
      <c r="Q14" s="7" t="e">
        <v>#REF!</v>
      </c>
      <c r="R14" s="6" t="b">
        <f>C14="0"</f>
        <v>0</v>
      </c>
      <c r="S14" s="6" t="b">
        <f t="shared" ref="S14:AF14" si="11">D14=E14</f>
        <v>0</v>
      </c>
      <c r="T14" s="6" t="b">
        <f>E14=F14</f>
        <v>0</v>
      </c>
      <c r="U14" s="6" t="b">
        <f t="shared" si="11"/>
        <v>0</v>
      </c>
      <c r="V14" s="6" t="b">
        <f t="shared" si="11"/>
        <v>0</v>
      </c>
      <c r="W14" s="6" t="b">
        <f>H14=""</f>
        <v>1</v>
      </c>
      <c r="X14" s="6" t="b">
        <f>I14="CIAO"</f>
        <v>1</v>
      </c>
      <c r="Y14" s="6" t="b">
        <f>J14=D14</f>
        <v>0</v>
      </c>
      <c r="Z14" s="6" t="e">
        <f t="shared" si="11"/>
        <v>#VALUE!</v>
      </c>
      <c r="AA14" s="6" t="e">
        <f t="shared" si="11"/>
        <v>#N/A</v>
      </c>
      <c r="AB14" s="6" t="e">
        <f t="shared" si="11"/>
        <v>#DIV/0!</v>
      </c>
      <c r="AC14" s="6" t="e">
        <f t="shared" si="11"/>
        <v>#NAME?</v>
      </c>
      <c r="AD14" s="6" t="e">
        <f t="shared" si="11"/>
        <v>#NULL!</v>
      </c>
      <c r="AE14" s="6" t="e">
        <f t="shared" si="11"/>
        <v>#NUM!</v>
      </c>
      <c r="AF14" s="6" t="e">
        <f t="shared" si="11"/>
        <v>#REF!</v>
      </c>
      <c r="AG14" s="8" t="b">
        <f t="array" ref="AG14">C14:G14=D14</f>
        <v>0</v>
      </c>
      <c r="AH14" s="8" t="b">
        <f t="array" ref="AH14:AK14">C14:P14=3</f>
        <v>0</v>
      </c>
      <c r="AI14" s="6" t="b">
        <v>0</v>
      </c>
      <c r="AJ14" s="6" t="b">
        <v>0</v>
      </c>
      <c r="AK14" s="6" t="b">
        <v>0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9" ht="11" customHeight="1" x14ac:dyDescent="0.15">
      <c r="A15" s="43" t="s">
        <v>353</v>
      </c>
      <c r="B15" s="36" t="s">
        <v>541</v>
      </c>
      <c r="C15" s="4">
        <v>0</v>
      </c>
      <c r="D15" s="4">
        <v>1</v>
      </c>
      <c r="E15" s="4">
        <v>2.2999999999999998</v>
      </c>
      <c r="F15" s="4">
        <v>10</v>
      </c>
      <c r="G15" s="4">
        <v>-1</v>
      </c>
      <c r="H15" s="6"/>
      <c r="I15" s="6" t="s">
        <v>32</v>
      </c>
      <c r="J15" s="6" t="b">
        <v>1</v>
      </c>
      <c r="K15" s="6" t="e">
        <v>#VALUE!</v>
      </c>
      <c r="L15" s="6" t="e">
        <v>#N/A</v>
      </c>
      <c r="M15" s="7" t="e">
        <v>#DIV/0!</v>
      </c>
      <c r="N15" s="7" t="e">
        <v>#NAME?</v>
      </c>
      <c r="O15" s="7" t="e">
        <v>#NULL!</v>
      </c>
      <c r="P15" s="7" t="e">
        <v>#NUM!</v>
      </c>
      <c r="Q15" s="7" t="e">
        <v>#REF!</v>
      </c>
      <c r="R15" s="6" t="b">
        <f>C15&lt;&gt;D15</f>
        <v>1</v>
      </c>
      <c r="S15" s="6" t="b">
        <f t="shared" ref="S15:AF15" si="12">D15&lt;&gt;E15</f>
        <v>1</v>
      </c>
      <c r="T15" s="6" t="b">
        <f t="shared" si="12"/>
        <v>1</v>
      </c>
      <c r="U15" s="6" t="b">
        <f t="shared" si="12"/>
        <v>1</v>
      </c>
      <c r="V15" s="6" t="b">
        <f t="shared" si="12"/>
        <v>1</v>
      </c>
      <c r="W15" s="6" t="b">
        <f t="shared" si="12"/>
        <v>1</v>
      </c>
      <c r="X15" s="6" t="b">
        <f t="shared" si="12"/>
        <v>1</v>
      </c>
      <c r="Y15" s="6" t="b">
        <f>J15&lt;&gt;D15</f>
        <v>1</v>
      </c>
      <c r="Z15" s="6" t="e">
        <f t="shared" si="12"/>
        <v>#VALUE!</v>
      </c>
      <c r="AA15" s="6" t="e">
        <f t="shared" si="12"/>
        <v>#N/A</v>
      </c>
      <c r="AB15" s="6" t="e">
        <f t="shared" si="12"/>
        <v>#DIV/0!</v>
      </c>
      <c r="AC15" s="6" t="e">
        <f t="shared" si="12"/>
        <v>#NAME?</v>
      </c>
      <c r="AD15" s="6" t="e">
        <f t="shared" si="12"/>
        <v>#NULL!</v>
      </c>
      <c r="AE15" s="6" t="e">
        <f t="shared" si="12"/>
        <v>#NUM!</v>
      </c>
      <c r="AF15" s="6" t="e">
        <f t="shared" si="12"/>
        <v>#REF!</v>
      </c>
      <c r="AG15" s="8" t="b">
        <f t="array" ref="AG15">C15:G15&lt;&gt;D15</f>
        <v>1</v>
      </c>
      <c r="AH15" s="8" t="b">
        <f t="array" ref="AH15:AK15">C15:P15&lt;&gt;3</f>
        <v>1</v>
      </c>
      <c r="AI15" s="6" t="b">
        <v>1</v>
      </c>
      <c r="AJ15" s="6" t="b">
        <v>1</v>
      </c>
      <c r="AK15" s="6" t="b">
        <v>1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9" ht="11" customHeight="1" x14ac:dyDescent="0.15">
      <c r="A16" s="43" t="s">
        <v>354</v>
      </c>
      <c r="B16" s="36" t="s">
        <v>541</v>
      </c>
      <c r="C16" s="4">
        <v>0</v>
      </c>
      <c r="D16" s="4">
        <v>1</v>
      </c>
      <c r="E16" s="4">
        <v>2.2999999999999998</v>
      </c>
      <c r="F16" s="4">
        <v>10</v>
      </c>
      <c r="G16" s="4">
        <v>-1</v>
      </c>
      <c r="H16" s="6"/>
      <c r="I16" s="6" t="s">
        <v>32</v>
      </c>
      <c r="J16" s="6" t="b">
        <v>1</v>
      </c>
      <c r="K16" s="6" t="e">
        <v>#VALUE!</v>
      </c>
      <c r="L16" s="6" t="e">
        <v>#N/A</v>
      </c>
      <c r="M16" s="7" t="e">
        <v>#DIV/0!</v>
      </c>
      <c r="N16" s="7" t="e">
        <v>#NAME?</v>
      </c>
      <c r="O16" s="7" t="e">
        <v>#NULL!</v>
      </c>
      <c r="P16" s="7" t="e">
        <v>#NUM!</v>
      </c>
      <c r="Q16" s="7" t="e">
        <v>#REF!</v>
      </c>
      <c r="R16" s="6" t="str">
        <f>C16&amp;D16</f>
        <v>01</v>
      </c>
      <c r="S16" s="6" t="str">
        <f t="shared" ref="S16:AF16" si="13">D16&amp;E16</f>
        <v>12.3</v>
      </c>
      <c r="T16" s="6" t="str">
        <f t="shared" si="13"/>
        <v>2.310</v>
      </c>
      <c r="U16" s="6" t="str">
        <f t="shared" si="13"/>
        <v>10-1</v>
      </c>
      <c r="V16" s="6" t="str">
        <f t="shared" si="13"/>
        <v>-1</v>
      </c>
      <c r="W16" s="6" t="str">
        <f t="shared" si="13"/>
        <v>ciao</v>
      </c>
      <c r="X16" s="6" t="str">
        <f t="shared" si="13"/>
        <v>ciaoTRUE</v>
      </c>
      <c r="Y16" s="6" t="str">
        <f>J16&amp;D16</f>
        <v>TRUE1</v>
      </c>
      <c r="Z16" s="6" t="e">
        <f t="shared" si="13"/>
        <v>#VALUE!</v>
      </c>
      <c r="AA16" s="6" t="e">
        <f t="shared" si="13"/>
        <v>#N/A</v>
      </c>
      <c r="AB16" s="6" t="e">
        <f t="shared" si="13"/>
        <v>#DIV/0!</v>
      </c>
      <c r="AC16" s="6" t="e">
        <f t="shared" si="13"/>
        <v>#NAME?</v>
      </c>
      <c r="AD16" s="6" t="e">
        <f t="shared" si="13"/>
        <v>#NULL!</v>
      </c>
      <c r="AE16" s="6" t="e">
        <f t="shared" si="13"/>
        <v>#NUM!</v>
      </c>
      <c r="AF16" s="6" t="e">
        <f t="shared" si="13"/>
        <v>#REF!</v>
      </c>
      <c r="AG16" s="8" t="str">
        <f t="array" ref="AG16">C16:G16&amp;D16</f>
        <v>01</v>
      </c>
      <c r="AH16" s="8" t="str">
        <f t="array" ref="AH16:AK16">C16:P16&amp;3</f>
        <v>03</v>
      </c>
      <c r="AI16" s="6" t="str">
        <v>13</v>
      </c>
      <c r="AJ16" s="6" t="str">
        <v>2.33</v>
      </c>
      <c r="AK16" s="6" t="str">
        <v>103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ht="11" customHeight="1" x14ac:dyDescent="0.15">
      <c r="A17" s="43" t="s">
        <v>355</v>
      </c>
      <c r="B17" s="36" t="s">
        <v>541</v>
      </c>
      <c r="C17" s="4">
        <v>0</v>
      </c>
      <c r="D17" s="4">
        <v>1</v>
      </c>
      <c r="E17" s="4">
        <v>2.2999999999999998</v>
      </c>
      <c r="F17" s="4">
        <v>10</v>
      </c>
      <c r="G17" s="4">
        <v>-1</v>
      </c>
      <c r="H17" s="6"/>
      <c r="I17" s="6" t="s">
        <v>32</v>
      </c>
      <c r="J17" s="6" t="b">
        <v>1</v>
      </c>
      <c r="K17" s="6" t="e">
        <v>#VALUE!</v>
      </c>
      <c r="L17" s="6" t="e">
        <v>#N/A</v>
      </c>
      <c r="M17" s="7" t="e">
        <v>#DIV/0!</v>
      </c>
      <c r="N17" s="7" t="e">
        <v>#NAME?</v>
      </c>
      <c r="O17" s="7" t="e">
        <v>#NULL!</v>
      </c>
      <c r="P17" s="7" t="e">
        <v>#NUM!</v>
      </c>
      <c r="Q17" s="7" t="e">
        <v>#REF!</v>
      </c>
      <c r="R17" s="6">
        <f>C17%</f>
        <v>0</v>
      </c>
      <c r="S17" s="6">
        <f t="shared" ref="S17:AF17" si="14">D17%</f>
        <v>0.01</v>
      </c>
      <c r="T17" s="6">
        <f t="shared" si="14"/>
        <v>2.3E-2</v>
      </c>
      <c r="U17" s="6">
        <f t="shared" si="14"/>
        <v>0.1</v>
      </c>
      <c r="V17" s="6">
        <f t="shared" si="14"/>
        <v>-0.01</v>
      </c>
      <c r="W17" s="6">
        <f t="shared" si="14"/>
        <v>0</v>
      </c>
      <c r="X17" s="6" t="e" vm="135">
        <f t="shared" si="14"/>
        <v>#VALUE!</v>
      </c>
      <c r="Y17" s="6">
        <f>J17%</f>
        <v>0.01</v>
      </c>
      <c r="Z17" s="6" t="e">
        <f t="shared" si="14"/>
        <v>#VALUE!</v>
      </c>
      <c r="AA17" s="6" t="e">
        <f t="shared" si="14"/>
        <v>#N/A</v>
      </c>
      <c r="AB17" s="6" t="e">
        <f t="shared" si="14"/>
        <v>#DIV/0!</v>
      </c>
      <c r="AC17" s="6" t="e">
        <f t="shared" si="14"/>
        <v>#NAME?</v>
      </c>
      <c r="AD17" s="6" t="e">
        <f t="shared" si="14"/>
        <v>#NULL!</v>
      </c>
      <c r="AE17" s="6" t="e">
        <f t="shared" si="14"/>
        <v>#NUM!</v>
      </c>
      <c r="AF17" s="6" t="e">
        <f t="shared" si="14"/>
        <v>#REF!</v>
      </c>
      <c r="AG17" s="8">
        <f t="array" ref="AG17">C17:G17%</f>
        <v>0</v>
      </c>
      <c r="AH17" s="8">
        <f t="array" ref="AH17:AK17">C17:P17%</f>
        <v>0</v>
      </c>
      <c r="AI17" s="6">
        <v>0.01</v>
      </c>
      <c r="AJ17" s="6">
        <v>2.3E-2</v>
      </c>
      <c r="AK17" s="6">
        <v>0.1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11" customHeight="1" x14ac:dyDescent="0.15">
      <c r="H18" s="6"/>
      <c r="I18" s="6"/>
      <c r="J18" s="6"/>
      <c r="K18" s="6"/>
      <c r="L18" s="6"/>
      <c r="M18" s="7"/>
      <c r="N18" s="7"/>
      <c r="O18" s="7"/>
      <c r="P18" s="7"/>
      <c r="Q18" s="7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8"/>
      <c r="AH18" s="8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ht="11" customHeight="1" x14ac:dyDescent="0.15">
      <c r="H19" s="6"/>
      <c r="I19" s="6"/>
      <c r="J19" s="6"/>
      <c r="K19" s="6"/>
      <c r="L19" s="6"/>
      <c r="M19" s="7"/>
      <c r="N19" s="7"/>
      <c r="O19" s="7"/>
      <c r="P19" s="7"/>
      <c r="Q19" s="7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8"/>
      <c r="AH19" s="8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ht="11" customHeight="1" x14ac:dyDescent="0.15">
      <c r="H20" s="6"/>
      <c r="I20" s="6"/>
      <c r="J20" s="6"/>
      <c r="K20" s="6"/>
      <c r="L20" s="6"/>
      <c r="M20" s="7"/>
      <c r="N20" s="7"/>
      <c r="O20" s="7"/>
      <c r="P20" s="7"/>
      <c r="Q20" s="7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8"/>
      <c r="AH20" s="8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ht="11" customHeight="1" x14ac:dyDescent="0.15"/>
    <row r="22" spans="1:48" ht="11" customHeight="1" x14ac:dyDescent="0.15"/>
    <row r="23" spans="1:48" ht="11" customHeight="1" x14ac:dyDescent="0.15"/>
    <row r="24" spans="1:48" ht="11" customHeight="1" x14ac:dyDescent="0.15"/>
    <row r="25" spans="1:48" ht="11" customHeight="1" x14ac:dyDescent="0.15"/>
    <row r="26" spans="1:48" ht="11" customHeight="1" x14ac:dyDescent="0.15"/>
    <row r="27" spans="1:48" ht="11" customHeight="1" x14ac:dyDescent="0.15"/>
    <row r="28" spans="1:48" ht="11" customHeight="1" x14ac:dyDescent="0.15"/>
    <row r="29" spans="1:48" ht="11" customHeight="1" x14ac:dyDescent="0.15"/>
    <row r="30" spans="1:48" ht="11" customHeight="1" x14ac:dyDescent="0.15"/>
    <row r="31" spans="1:48" ht="11" customHeight="1" x14ac:dyDescent="0.15"/>
    <row r="32" spans="1:48" ht="11" customHeight="1" x14ac:dyDescent="0.15"/>
    <row r="33" ht="11" customHeight="1" x14ac:dyDescent="0.15"/>
    <row r="34" ht="11" customHeight="1" x14ac:dyDescent="0.15"/>
    <row r="35" ht="11" customHeight="1" x14ac:dyDescent="0.15"/>
    <row r="36" ht="11" customHeight="1" x14ac:dyDescent="0.15"/>
    <row r="37" ht="11" customHeight="1" x14ac:dyDescent="0.15"/>
    <row r="38" ht="11" customHeight="1" x14ac:dyDescent="0.15"/>
    <row r="39" ht="11" customHeight="1" x14ac:dyDescent="0.15"/>
    <row r="40" ht="11" customHeight="1" x14ac:dyDescent="0.15"/>
    <row r="41" ht="11" customHeight="1" x14ac:dyDescent="0.15"/>
    <row r="42" ht="11" customHeight="1" x14ac:dyDescent="0.15"/>
    <row r="43" ht="11" customHeight="1" x14ac:dyDescent="0.15"/>
    <row r="44" ht="11" customHeight="1" x14ac:dyDescent="0.15"/>
    <row r="45" ht="11" customHeight="1" x14ac:dyDescent="0.15"/>
    <row r="46" ht="11" customHeight="1" x14ac:dyDescent="0.15"/>
    <row r="47" ht="11" customHeight="1" x14ac:dyDescent="0.15"/>
    <row r="48" ht="11" customHeight="1" x14ac:dyDescent="0.15"/>
    <row r="49" ht="11" customHeight="1" x14ac:dyDescent="0.15"/>
    <row r="50" ht="11" customHeight="1" x14ac:dyDescent="0.15"/>
    <row r="51" ht="11" customHeight="1" x14ac:dyDescent="0.15"/>
    <row r="52" ht="11" customHeight="1" x14ac:dyDescent="0.15"/>
    <row r="53" ht="11" customHeight="1" x14ac:dyDescent="0.15"/>
    <row r="54" ht="11" customHeight="1" x14ac:dyDescent="0.15"/>
    <row r="55" ht="11" customHeight="1" x14ac:dyDescent="0.15"/>
    <row r="56" ht="11" customHeight="1" x14ac:dyDescent="0.15"/>
    <row r="57" ht="11" customHeight="1" x14ac:dyDescent="0.15"/>
    <row r="58" ht="11" customHeight="1" x14ac:dyDescent="0.15"/>
    <row r="59" ht="11" customHeight="1" x14ac:dyDescent="0.15"/>
    <row r="60" ht="11" customHeight="1" x14ac:dyDescent="0.15"/>
    <row r="61" ht="11" customHeight="1" x14ac:dyDescent="0.15"/>
    <row r="62" ht="11" customHeight="1" x14ac:dyDescent="0.15"/>
    <row r="63" ht="11" customHeight="1" x14ac:dyDescent="0.15"/>
    <row r="64" ht="11" customHeight="1" x14ac:dyDescent="0.15"/>
    <row r="65" ht="11" customHeight="1" x14ac:dyDescent="0.15"/>
    <row r="66" ht="11" customHeight="1" x14ac:dyDescent="0.15"/>
    <row r="67" ht="11" customHeight="1" x14ac:dyDescent="0.15"/>
    <row r="68" ht="11" customHeight="1" x14ac:dyDescent="0.15"/>
    <row r="69" ht="11" customHeight="1" x14ac:dyDescent="0.15"/>
    <row r="70" ht="11" customHeight="1" x14ac:dyDescent="0.15"/>
    <row r="71" ht="11" customHeight="1" x14ac:dyDescent="0.15"/>
    <row r="72" ht="11" customHeight="1" x14ac:dyDescent="0.15"/>
    <row r="73" ht="11" customHeight="1" x14ac:dyDescent="0.15"/>
    <row r="74" ht="11" customHeight="1" x14ac:dyDescent="0.15"/>
    <row r="75" ht="11" customHeight="1" x14ac:dyDescent="0.15"/>
    <row r="76" ht="11" customHeight="1" x14ac:dyDescent="0.15"/>
    <row r="77" ht="11" customHeight="1" x14ac:dyDescent="0.15"/>
    <row r="78" ht="11" customHeight="1" x14ac:dyDescent="0.15"/>
    <row r="79" ht="11" customHeight="1" x14ac:dyDescent="0.15"/>
    <row r="80" ht="11" customHeight="1" x14ac:dyDescent="0.15"/>
    <row r="81" ht="11" customHeight="1" x14ac:dyDescent="0.15"/>
  </sheetData>
  <mergeCells count="7">
    <mergeCell ref="C1:Q1"/>
    <mergeCell ref="R1:AW1"/>
    <mergeCell ref="C2:G2"/>
    <mergeCell ref="K2:Q2"/>
    <mergeCell ref="R2:V2"/>
    <mergeCell ref="Z2:AF2"/>
    <mergeCell ref="AH2:AW2"/>
  </mergeCells>
  <conditionalFormatting sqref="B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/>
  <dimension ref="A1:AD286"/>
  <sheetViews>
    <sheetView topLeftCell="A33" workbookViewId="0">
      <selection activeCell="I25" sqref="I25"/>
    </sheetView>
  </sheetViews>
  <sheetFormatPr baseColWidth="10" defaultColWidth="11" defaultRowHeight="16" x14ac:dyDescent="0.2"/>
  <cols>
    <col min="6" max="7" width="11.33203125" bestFit="1" customWidth="1"/>
    <col min="12" max="12" width="12" bestFit="1" customWidth="1"/>
    <col min="13" max="13" width="12.83203125" bestFit="1" customWidth="1"/>
    <col min="14" max="14" width="11.83203125" bestFit="1" customWidth="1"/>
    <col min="16" max="16" width="11.83203125" bestFit="1" customWidth="1"/>
    <col min="17" max="17" width="12.83203125" bestFit="1" customWidth="1"/>
    <col min="18" max="18" width="11.83203125" bestFit="1" customWidth="1"/>
    <col min="19" max="19" width="11.1640625" bestFit="1" customWidth="1"/>
    <col min="22" max="22" width="11.83203125" bestFit="1" customWidth="1"/>
    <col min="23" max="24" width="11.1640625" bestFit="1" customWidth="1"/>
  </cols>
  <sheetData>
    <row r="1" spans="2:30" x14ac:dyDescent="0.2">
      <c r="F1">
        <v>1</v>
      </c>
    </row>
    <row r="2" spans="2:30" x14ac:dyDescent="0.2">
      <c r="B2">
        <v>1</v>
      </c>
      <c r="C2">
        <v>1</v>
      </c>
      <c r="D2">
        <v>2</v>
      </c>
      <c r="E2">
        <v>2</v>
      </c>
      <c r="G2">
        <v>5</v>
      </c>
      <c r="H2">
        <v>5</v>
      </c>
      <c r="T2" t="e" vm="139">
        <f>SUM("a;b"" """,C1,D2)</f>
        <v>#VALUE!</v>
      </c>
    </row>
    <row r="3" spans="2:30" x14ac:dyDescent="0.2">
      <c r="B3">
        <v>1</v>
      </c>
      <c r="C3">
        <v>1</v>
      </c>
      <c r="D3">
        <v>2</v>
      </c>
      <c r="E3">
        <v>2</v>
      </c>
      <c r="G3">
        <v>5</v>
      </c>
      <c r="H3">
        <v>5</v>
      </c>
    </row>
    <row r="4" spans="2:30" x14ac:dyDescent="0.2">
      <c r="B4">
        <v>3</v>
      </c>
      <c r="C4">
        <v>3</v>
      </c>
      <c r="D4">
        <v>4</v>
      </c>
      <c r="E4">
        <v>4</v>
      </c>
      <c r="F4">
        <v>1</v>
      </c>
      <c r="G4">
        <v>5</v>
      </c>
      <c r="H4">
        <v>5</v>
      </c>
      <c r="J4">
        <f t="array" ref="J4:K5">H2</f>
        <v>5</v>
      </c>
      <c r="K4">
        <v>5</v>
      </c>
      <c r="M4">
        <f t="array" ref="M4:N5">{1,2;1,2}</f>
        <v>1</v>
      </c>
      <c r="N4">
        <v>2</v>
      </c>
      <c r="Q4">
        <f>h</f>
        <v>5</v>
      </c>
      <c r="R4">
        <f>i</f>
        <v>11</v>
      </c>
      <c r="AB4">
        <v>5</v>
      </c>
      <c r="AC4" cm="1">
        <f t="array" ref="AC4:AC5">AB4:AB5+1</f>
        <v>6</v>
      </c>
      <c r="AD4" cm="1">
        <f t="array" ref="AD4:AD5">_xlfn.ANCHORARRAY(AC4)+3</f>
        <v>9</v>
      </c>
    </row>
    <row r="5" spans="2:30" x14ac:dyDescent="0.2">
      <c r="B5">
        <v>3</v>
      </c>
      <c r="C5">
        <v>3</v>
      </c>
      <c r="D5">
        <v>4</v>
      </c>
      <c r="E5">
        <v>4</v>
      </c>
      <c r="G5">
        <v>5</v>
      </c>
      <c r="H5">
        <v>5</v>
      </c>
      <c r="J5">
        <v>5</v>
      </c>
      <c r="K5">
        <v>5</v>
      </c>
      <c r="M5">
        <v>1</v>
      </c>
      <c r="N5">
        <v>2</v>
      </c>
      <c r="Q5">
        <f>h</f>
        <v>5</v>
      </c>
      <c r="R5">
        <f>l</f>
        <v>16</v>
      </c>
      <c r="AB5">
        <v>7</v>
      </c>
      <c r="AC5">
        <v>8</v>
      </c>
      <c r="AD5">
        <v>11</v>
      </c>
    </row>
    <row r="6" spans="2:30" x14ac:dyDescent="0.2">
      <c r="J6" t="e">
        <f>J4:K5</f>
        <v>#VALUE!</v>
      </c>
      <c r="K6">
        <f>{1,2;1,2}</f>
        <v>1</v>
      </c>
      <c r="L6">
        <f t="array" ref="L6:M7">K6+K5</f>
        <v>6</v>
      </c>
      <c r="M6">
        <v>6</v>
      </c>
    </row>
    <row r="7" spans="2:30" x14ac:dyDescent="0.2">
      <c r="B7">
        <f>SUM(B2:E5)</f>
        <v>40</v>
      </c>
      <c r="C7">
        <f>SUM(B2:C3,D2:E3,B4:C5,D4:E5)</f>
        <v>40</v>
      </c>
      <c r="D7">
        <f>SUM(B2:E5 C3:D4)</f>
        <v>10</v>
      </c>
      <c r="E7">
        <f>SUM(E3:G4 (B2:E5,G2:H5))</f>
        <v>16</v>
      </c>
      <c r="G7">
        <f>INT(3.5)+G2</f>
        <v>8</v>
      </c>
      <c r="H7">
        <f>AVERAGE(B2:E5)</f>
        <v>2.5</v>
      </c>
      <c r="L7">
        <v>6</v>
      </c>
      <c r="M7">
        <v>6</v>
      </c>
    </row>
    <row r="8" spans="2:30" x14ac:dyDescent="0.2">
      <c r="J8">
        <f t="array" ref="J8:K10">G2:H2</f>
        <v>5</v>
      </c>
      <c r="K8">
        <v>5</v>
      </c>
      <c r="P8">
        <f>IFERROR(SUM(B2:E4),2)</f>
        <v>26</v>
      </c>
      <c r="Q8" t="b">
        <f>ISERR(#VALUE!)</f>
        <v>1</v>
      </c>
      <c r="R8" t="b">
        <f>ISERROR(SUM(D2:G4))</f>
        <v>0</v>
      </c>
    </row>
    <row r="9" spans="2:30" x14ac:dyDescent="0.2">
      <c r="B9">
        <f>SUM(a,b,d,e,f,g)</f>
        <v>104</v>
      </c>
      <c r="C9">
        <f>SUM(a,b,d,e,f,g,REF!B3:B4)</f>
        <v>116</v>
      </c>
      <c r="D9">
        <f>SUM(B2:E5:f)</f>
        <v>81</v>
      </c>
      <c r="E9">
        <f ca="1">C9+D9+G7+G2+F1+F9</f>
        <v>251</v>
      </c>
      <c r="F9">
        <f ca="1">SUM(INDIRECT("f"))</f>
        <v>40</v>
      </c>
      <c r="G9">
        <f t="array" ref="G9:H12">G2:G5+E2:E5</f>
        <v>7</v>
      </c>
      <c r="H9">
        <v>7</v>
      </c>
      <c r="J9">
        <v>5</v>
      </c>
      <c r="K9">
        <v>5</v>
      </c>
      <c r="P9">
        <f>IFERROR(SUM(J4:M6),2)</f>
        <v>2</v>
      </c>
      <c r="Q9" t="b">
        <f>ISERR(#N/A)</f>
        <v>0</v>
      </c>
      <c r="R9" t="b">
        <f>ISERROR(SUM(J6:M8))</f>
        <v>1</v>
      </c>
    </row>
    <row r="10" spans="2:30" x14ac:dyDescent="0.2">
      <c r="D10">
        <f>SUM(B2:E5)</f>
        <v>40</v>
      </c>
      <c r="E10">
        <f>SUM(f)</f>
        <v>40</v>
      </c>
      <c r="G10">
        <v>7</v>
      </c>
      <c r="H10">
        <v>7</v>
      </c>
      <c r="J10">
        <v>5</v>
      </c>
      <c r="K10">
        <v>5</v>
      </c>
      <c r="R10" t="b">
        <f>ISERROR(SUM(H16:K18))</f>
        <v>1</v>
      </c>
    </row>
    <row r="11" spans="2:30" x14ac:dyDescent="0.2">
      <c r="F11">
        <f>SUM(G10:G11,G12)</f>
        <v>25</v>
      </c>
      <c r="G11">
        <v>9</v>
      </c>
      <c r="H11">
        <v>9</v>
      </c>
      <c r="M11" t="str">
        <f>"\n" &amp; SUM(3,4)</f>
        <v>\n7</v>
      </c>
      <c r="R11" t="e">
        <f>SUM(H16:K18)</f>
        <v>#N/A</v>
      </c>
      <c r="U11" t="s">
        <v>503</v>
      </c>
      <c r="V11">
        <v>1.9</v>
      </c>
      <c r="W11">
        <v>0</v>
      </c>
      <c r="X11">
        <v>-0.2</v>
      </c>
      <c r="Y11">
        <v>0.99</v>
      </c>
      <c r="Z11">
        <v>200</v>
      </c>
      <c r="AB11" t="b">
        <v>1</v>
      </c>
      <c r="AC11" t="e">
        <v>#N/A</v>
      </c>
    </row>
    <row r="12" spans="2:30" x14ac:dyDescent="0.2">
      <c r="G12">
        <v>9</v>
      </c>
      <c r="H12">
        <v>9</v>
      </c>
      <c r="K12" t="e">
        <f>J8:K10 L6:M7</f>
        <v>#NULL!</v>
      </c>
      <c r="R12" t="e">
        <f>MIN(H16:J18)</f>
        <v>#N/A</v>
      </c>
      <c r="U12">
        <v>34</v>
      </c>
      <c r="V12">
        <v>5</v>
      </c>
      <c r="W12">
        <v>5</v>
      </c>
    </row>
    <row r="13" spans="2:30" x14ac:dyDescent="0.2">
      <c r="C13" t="s">
        <v>0</v>
      </c>
      <c r="E13" t="str">
        <f>"ciao"&amp;B13&amp;" cc" &amp;C13</f>
        <v>ciao ccca</v>
      </c>
      <c r="O13">
        <f>m</f>
        <v>2</v>
      </c>
      <c r="R13" t="e">
        <f>SUMPRODUCT(H16:J18)</f>
        <v>#N/A</v>
      </c>
      <c r="U13" t="s">
        <v>502</v>
      </c>
      <c r="V13">
        <v>1</v>
      </c>
      <c r="W13">
        <v>2</v>
      </c>
      <c r="X13">
        <v>3</v>
      </c>
      <c r="Y13" t="s">
        <v>32</v>
      </c>
      <c r="Z13">
        <v>10</v>
      </c>
      <c r="AA13" t="b">
        <v>1</v>
      </c>
      <c r="AB13">
        <v>-1</v>
      </c>
      <c r="AC13" t="s">
        <v>32</v>
      </c>
    </row>
    <row r="14" spans="2:30" x14ac:dyDescent="0.2">
      <c r="E14" t="str">
        <f>"ciao"&amp;B13&amp;" cc" &amp;C13</f>
        <v>ciao ccca</v>
      </c>
      <c r="H14">
        <f>SUM("2","4", Q8:Q9)</f>
        <v>6</v>
      </c>
      <c r="I14">
        <f>SUM("2","4", TRUE)</f>
        <v>7</v>
      </c>
      <c r="J14" t="e" vm="140">
        <f>SUM("2","4", "ciao")</f>
        <v>#VALUE!</v>
      </c>
      <c r="K14">
        <f>IFERROR(K12,3)</f>
        <v>3</v>
      </c>
      <c r="M14">
        <f t="array" ref="M14:N16">IFERROR(I16:J18,1)</f>
        <v>9</v>
      </c>
      <c r="N14">
        <v>1</v>
      </c>
      <c r="T14" t="s">
        <v>499</v>
      </c>
      <c r="U14" t="e">
        <f t="array" ref="U14:AC19">SUBSTITUTE(T14:T19,U13:AC13,U12:AC12,U11:AC11)</f>
        <v>#VALUE!</v>
      </c>
      <c r="V14" t="str">
        <v>0, 5.9,2.3,10,-1,ciao, TRUE</v>
      </c>
      <c r="W14" t="e">
        <v>#VALUE!</v>
      </c>
      <c r="X14" t="e">
        <v>#VALUE!</v>
      </c>
      <c r="Y14" t="e">
        <v>#VALUE!</v>
      </c>
      <c r="Z14" t="str">
        <v>0, 1.9,2.3,10,-1,ciao, TRUE</v>
      </c>
      <c r="AA14" t="e">
        <v>#VALUE!</v>
      </c>
      <c r="AB14" t="e">
        <v>#VALUE!</v>
      </c>
      <c r="AC14" t="e">
        <v>#N/A</v>
      </c>
    </row>
    <row r="15" spans="2:30" x14ac:dyDescent="0.2">
      <c r="B15">
        <v>1</v>
      </c>
      <c r="C15" s="1">
        <v>0</v>
      </c>
      <c r="H15">
        <f>SUM("2","4", H14)</f>
        <v>12</v>
      </c>
      <c r="I15">
        <f>SUM("2","4", E13)</f>
        <v>6</v>
      </c>
      <c r="J15" t="e" vm="141">
        <f>SUM("2","4", "")</f>
        <v>#VALUE!</v>
      </c>
      <c r="K15">
        <f>IFERROR(K14,1)</f>
        <v>3</v>
      </c>
      <c r="M15">
        <v>9</v>
      </c>
      <c r="N15">
        <v>1</v>
      </c>
      <c r="T15" t="s">
        <v>500</v>
      </c>
      <c r="U15" t="e">
        <v>#VALUE!</v>
      </c>
      <c r="V15" t="str">
        <v>0, 5.9,2.3,10</v>
      </c>
      <c r="W15" t="e">
        <v>#VALUE!</v>
      </c>
      <c r="X15" t="e">
        <v>#VALUE!</v>
      </c>
      <c r="Y15" t="e">
        <v>#VALUE!</v>
      </c>
      <c r="Z15" t="str">
        <v>0, 1.9,2.3,10</v>
      </c>
      <c r="AA15" t="e">
        <v>#VALUE!</v>
      </c>
      <c r="AB15" t="e">
        <v>#VALUE!</v>
      </c>
      <c r="AC15" t="e">
        <v>#N/A</v>
      </c>
    </row>
    <row r="16" spans="2:30" x14ac:dyDescent="0.2">
      <c r="H16">
        <f t="array" ref="H16:J18">G11:H12</f>
        <v>9</v>
      </c>
      <c r="I16">
        <v>9</v>
      </c>
      <c r="J16" t="e">
        <v>#N/A</v>
      </c>
      <c r="M16">
        <v>1</v>
      </c>
      <c r="N16">
        <v>1</v>
      </c>
      <c r="P16" t="e" cm="1">
        <f t="array" ref="P16">[2]!A</f>
        <v>#NAME?</v>
      </c>
      <c r="T16" t="s">
        <v>501</v>
      </c>
      <c r="U16" t="e">
        <v>#VALUE!</v>
      </c>
      <c r="V16" t="str">
        <v>0, 5-1,ciao, TRUE</v>
      </c>
      <c r="W16" t="e">
        <v>#VALUE!</v>
      </c>
      <c r="X16" t="e">
        <v>#VALUE!</v>
      </c>
      <c r="Y16" t="e">
        <v>#VALUE!</v>
      </c>
      <c r="Z16" t="str">
        <v>0, 1-1,ciao, TRUE</v>
      </c>
      <c r="AA16" t="e">
        <v>#VALUE!</v>
      </c>
      <c r="AB16" t="e">
        <v>#VALUE!</v>
      </c>
      <c r="AC16" t="e">
        <v>#N/A</v>
      </c>
    </row>
    <row r="17" spans="1:29" x14ac:dyDescent="0.2">
      <c r="B17">
        <f>[1]Sheet1!$A$1+1</f>
        <v>3</v>
      </c>
      <c r="C17" s="1"/>
      <c r="H17">
        <v>9</v>
      </c>
      <c r="I17">
        <v>9</v>
      </c>
      <c r="J17" t="e">
        <v>#N/A</v>
      </c>
      <c r="P17" t="e">
        <f>[2]MISSING!A1</f>
        <v>#REF!</v>
      </c>
      <c r="T17" t="s">
        <v>499</v>
      </c>
      <c r="U17" t="e">
        <v>#VALUE!</v>
      </c>
      <c r="V17" t="str">
        <v>0, 5.9,2.3,10,-1,ciao, TRUE</v>
      </c>
      <c r="W17" t="e">
        <v>#VALUE!</v>
      </c>
      <c r="X17" t="e">
        <v>#VALUE!</v>
      </c>
      <c r="Y17" t="e">
        <v>#VALUE!</v>
      </c>
      <c r="Z17" t="str">
        <v>0, 1.9,2.3,10,-1,ciao, TRUE</v>
      </c>
      <c r="AA17" t="e">
        <v>#VALUE!</v>
      </c>
      <c r="AB17" t="e">
        <v>#VALUE!</v>
      </c>
      <c r="AC17" t="e">
        <v>#N/A</v>
      </c>
    </row>
    <row r="18" spans="1:29" x14ac:dyDescent="0.2">
      <c r="B18">
        <f>[1]Sheet1!$A$1+[1]Sheet1!$A$2</f>
        <v>4</v>
      </c>
      <c r="H18" t="e">
        <v>#N/A</v>
      </c>
      <c r="I18" t="e">
        <v>#N/A</v>
      </c>
      <c r="J18" t="e">
        <v>#N/A</v>
      </c>
      <c r="L18">
        <f ca="1">IFERROR(INDIRECT("ab")+1, 33)</f>
        <v>33</v>
      </c>
      <c r="P18" t="e">
        <f>A2:'[2]MISSING'!A2</f>
        <v>#VALUE!</v>
      </c>
      <c r="T18" t="s">
        <v>499</v>
      </c>
      <c r="U18" t="e">
        <v>#VALUE!</v>
      </c>
      <c r="V18" t="str">
        <v>0, 5.9,2.3,10,-1,ciao, TRUE</v>
      </c>
      <c r="W18" t="e">
        <v>#VALUE!</v>
      </c>
      <c r="X18" t="e">
        <v>#VALUE!</v>
      </c>
      <c r="Y18" t="e">
        <v>#VALUE!</v>
      </c>
      <c r="Z18" t="str">
        <v>0, 1.9,2.3,10,-1,ciao, TRUE</v>
      </c>
      <c r="AA18" t="e">
        <v>#VALUE!</v>
      </c>
      <c r="AB18" t="e">
        <v>#VALUE!</v>
      </c>
      <c r="AC18" t="e">
        <v>#N/A</v>
      </c>
    </row>
    <row r="19" spans="1:29" x14ac:dyDescent="0.2">
      <c r="E19">
        <f>D16*3</f>
        <v>0</v>
      </c>
      <c r="T19" t="s">
        <v>499</v>
      </c>
      <c r="U19" t="e">
        <v>#VALUE!</v>
      </c>
      <c r="V19" t="str">
        <v>0, 5.9,2.3,10,-1,ciao, TRUE</v>
      </c>
      <c r="W19" t="e">
        <v>#VALUE!</v>
      </c>
      <c r="X19" t="e">
        <v>#VALUE!</v>
      </c>
      <c r="Y19" t="e">
        <v>#VALUE!</v>
      </c>
      <c r="Z19" t="str">
        <v>0, 1.9,2.3,10,-1,ciao, TRUE</v>
      </c>
      <c r="AA19" t="e">
        <v>#VALUE!</v>
      </c>
      <c r="AB19" t="e">
        <v>#VALUE!</v>
      </c>
      <c r="AC19" t="e">
        <v>#N/A</v>
      </c>
    </row>
    <row r="20" spans="1:29" x14ac:dyDescent="0.2">
      <c r="H20">
        <f t="array" ref="H20:H24">IF(G9:G12&lt;&gt;H10:H13,1,0)</f>
        <v>0</v>
      </c>
      <c r="M20" s="97"/>
      <c r="N20" s="97"/>
      <c r="O20" s="97"/>
    </row>
    <row r="21" spans="1:29" ht="18" x14ac:dyDescent="0.2">
      <c r="F21">
        <f>C19+1</f>
        <v>1</v>
      </c>
      <c r="H21">
        <v>1</v>
      </c>
      <c r="J21" s="22"/>
      <c r="L21" t="b">
        <f>ISERROR(J18)</f>
        <v>1</v>
      </c>
      <c r="M21">
        <f ca="1">SUM(L18:O20)</f>
        <v>33</v>
      </c>
      <c r="AA21">
        <f>LOOKUP!R134</f>
        <v>2</v>
      </c>
    </row>
    <row r="22" spans="1:29" x14ac:dyDescent="0.2">
      <c r="C22" s="20">
        <v>60</v>
      </c>
      <c r="D22">
        <f>C22+1</f>
        <v>61</v>
      </c>
      <c r="H22">
        <v>0</v>
      </c>
      <c r="J22" s="1" t="s">
        <v>488</v>
      </c>
      <c r="T22" t="str">
        <f>LEFT("ciao")</f>
        <v>c</v>
      </c>
    </row>
    <row r="23" spans="1:29" x14ac:dyDescent="0.2">
      <c r="H23">
        <v>1</v>
      </c>
      <c r="J23">
        <f>IF(
B2=1,
1,
2 )</f>
        <v>1</v>
      </c>
      <c r="L23" t="b">
        <f>ISERR(J16)</f>
        <v>0</v>
      </c>
      <c r="N23" t="e">
        <f ca="1">MYFUNCTION(M21)</f>
        <v>#NAME?</v>
      </c>
      <c r="O23" t="e">
        <f ca="1">MYFUNCTION()</f>
        <v>#NAME?</v>
      </c>
      <c r="T23" t="str">
        <f>RIGHT("ciao")</f>
        <v>o</v>
      </c>
      <c r="V23" cm="1">
        <f t="array" ref="V23">IF(TRUE,1,{1,2,3})</f>
        <v>1</v>
      </c>
    </row>
    <row r="24" spans="1:29" x14ac:dyDescent="0.2">
      <c r="H24" t="e">
        <v>#N/A</v>
      </c>
      <c r="L24" t="b">
        <f>ISERR(K12)</f>
        <v>1</v>
      </c>
      <c r="V24">
        <f t="array" ref="V24">IF(FALSE,1,{1,2,3})</f>
        <v>1</v>
      </c>
    </row>
    <row r="25" spans="1:29" x14ac:dyDescent="0.2">
      <c r="D25" s="1" t="s">
        <v>487</v>
      </c>
      <c r="E25" t="e">
        <f>REF!#REF!</f>
        <v>#REF!</v>
      </c>
      <c r="F25">
        <f>_1234\5678\90+_1234\5678\91</f>
        <v>1</v>
      </c>
      <c r="I25">
        <f>AXS1</f>
        <v>0</v>
      </c>
      <c r="M25" s="107" t="str">
        <f>"Exchange(1 "&amp;NAMEDCELL123&amp;"=)"</f>
        <v>Exchange(1 'ciao=)</v>
      </c>
      <c r="N25" s="107"/>
      <c r="O25" s="107"/>
      <c r="V25" cm="1">
        <f t="array" ref="V25:X27">'123'!A1:C3</f>
        <v>1</v>
      </c>
      <c r="W25">
        <v>2</v>
      </c>
      <c r="X25">
        <v>3</v>
      </c>
      <c r="Z25" s="32">
        <f>SUM('123'!$B$2,'123'!$B$2,'123'!$B$2)</f>
        <v>9</v>
      </c>
    </row>
    <row r="26" spans="1:29" x14ac:dyDescent="0.2">
      <c r="H26">
        <f>VAL1</f>
        <v>0</v>
      </c>
      <c r="I26">
        <f>J26</f>
        <v>0</v>
      </c>
      <c r="J26" cm="1">
        <f t="array" ref="J26:J29">G26:G29</f>
        <v>0</v>
      </c>
      <c r="V26">
        <v>23</v>
      </c>
      <c r="W26">
        <v>3</v>
      </c>
      <c r="X26">
        <v>3</v>
      </c>
    </row>
    <row r="27" spans="1:29" x14ac:dyDescent="0.2">
      <c r="B27" t="s">
        <v>494</v>
      </c>
      <c r="C27">
        <f>CODE(B27)</f>
        <v>95</v>
      </c>
      <c r="D27" t="b">
        <v>0</v>
      </c>
      <c r="E27">
        <v>5</v>
      </c>
      <c r="H27">
        <v>1</v>
      </c>
      <c r="I27">
        <f>J27</f>
        <v>0</v>
      </c>
      <c r="J27">
        <v>0</v>
      </c>
      <c r="P27">
        <f t="array" ref="P27:S30">MINVERSE({1,2,3;2,5,6;7,8,9})</f>
        <v>0.25</v>
      </c>
      <c r="Q27">
        <v>-0.49999999999999989</v>
      </c>
      <c r="R27">
        <v>0.25</v>
      </c>
      <c r="S27" t="e">
        <v>#N/A</v>
      </c>
      <c r="V27">
        <v>4</v>
      </c>
      <c r="W27">
        <v>4</v>
      </c>
      <c r="X27">
        <v>4</v>
      </c>
    </row>
    <row r="28" spans="1:29" x14ac:dyDescent="0.2">
      <c r="B28" t="s">
        <v>491</v>
      </c>
      <c r="C28">
        <f>CODE(B28)</f>
        <v>1</v>
      </c>
      <c r="D28" cm="1">
        <f t="array" ref="D28">_xlfn.IFS(D27,E27,D27,E27,D27,E27,D27,E27,D27,E27,D27,E27,D27,E27,D27,E27,D27,E27,D27,E27,D27,E27,D27,E27,D27,E27,D27,E27,D27,E27,D27,E27,D27,E27,D27,E27,D27,E27,D27,E27,D27,E27,D27,E27,D27,E27,D27,E27,D27,E27,D27,E27,D27,E27,D27,E27,D27,E27,D27,E27,D27,E27,D27,E27,D27,E27,D27,E27,D27,E27,TRUE,7)</f>
        <v>7</v>
      </c>
      <c r="E28">
        <v>6</v>
      </c>
      <c r="H28">
        <v>2</v>
      </c>
      <c r="I28">
        <f>H28</f>
        <v>2</v>
      </c>
      <c r="J28">
        <v>0</v>
      </c>
      <c r="P28">
        <v>-1.9999999999999993</v>
      </c>
      <c r="Q28">
        <v>0.99999999999999967</v>
      </c>
      <c r="R28">
        <v>-2.0451476769410777E-17</v>
      </c>
      <c r="S28" t="e">
        <v>#N/A</v>
      </c>
    </row>
    <row r="29" spans="1:29" x14ac:dyDescent="0.2">
      <c r="B29" t="s">
        <v>492</v>
      </c>
      <c r="C29">
        <f>CODE(B29)</f>
        <v>2</v>
      </c>
      <c r="D29" cm="1">
        <f t="array" ref="D29:D30">_xlfn.IFS(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C27:C28,E27:E28,TRUE,D27:D28)</f>
        <v>5</v>
      </c>
      <c r="F29">
        <f>IF(,,4)</f>
        <v>4</v>
      </c>
      <c r="H29">
        <v>3</v>
      </c>
      <c r="I29">
        <f>J29</f>
        <v>0</v>
      </c>
      <c r="J29">
        <v>0</v>
      </c>
      <c r="P29">
        <v>1.5833333333333328</v>
      </c>
      <c r="Q29">
        <v>-0.49999999999999983</v>
      </c>
      <c r="R29">
        <v>-8.3333333333333301E-2</v>
      </c>
      <c r="S29" t="e">
        <v>#N/A</v>
      </c>
    </row>
    <row r="30" spans="1:29" x14ac:dyDescent="0.2">
      <c r="B30" t="s">
        <v>493</v>
      </c>
      <c r="C30">
        <f>CODE(B30)</f>
        <v>3</v>
      </c>
      <c r="D30">
        <v>6</v>
      </c>
      <c r="F30">
        <f>IF(,4,)</f>
        <v>0</v>
      </c>
      <c r="H30">
        <f>AVERAGE(H26:H29)</f>
        <v>1.5</v>
      </c>
      <c r="I30">
        <f>AVERAGE(I26:I29, VAL1)</f>
        <v>0.5</v>
      </c>
      <c r="M30" s="31">
        <f>SUM(MINVERSE({1,2,-1;3,4,-1;0,2,0}))</f>
        <v>-0.49999999999999978</v>
      </c>
      <c r="P30" t="e">
        <v>#N/A</v>
      </c>
      <c r="Q30" t="e">
        <v>#N/A</v>
      </c>
      <c r="R30" t="e">
        <v>#N/A</v>
      </c>
      <c r="S30" t="e">
        <v>#N/A</v>
      </c>
    </row>
    <row r="31" spans="1:29" x14ac:dyDescent="0.2">
      <c r="P31" cm="1">
        <f t="array" ref="P31">SUM(_xlfn.MUNIT({1,2;3,4;7,8}))</f>
        <v>6</v>
      </c>
    </row>
    <row r="32" spans="1:29" x14ac:dyDescent="0.2">
      <c r="A32">
        <v>1</v>
      </c>
      <c r="B32" t="str">
        <f>CHAR(A32)</f>
        <v>_x0001_</v>
      </c>
      <c r="C32">
        <f>CODE(B32)</f>
        <v>1</v>
      </c>
      <c r="D32">
        <f>CODE("AB")</f>
        <v>65</v>
      </c>
      <c r="E32">
        <f>_xlfn.UNICODE(B32)</f>
        <v>1</v>
      </c>
      <c r="F32" t="b">
        <f>_xlfn.UNICHAR(E32)=B32</f>
        <v>1</v>
      </c>
      <c r="O32" s="1" t="s">
        <v>445</v>
      </c>
      <c r="P32" cm="1">
        <f t="array" ref="P32">_xlfn.MUNIT(O32)</f>
        <v>1</v>
      </c>
      <c r="Q32" t="e" cm="1">
        <f t="array" ref="Q32">SUM(_xlfn.MUNIT({1,#NUM!;3,4;7,8}))</f>
        <v>#NUM!</v>
      </c>
    </row>
    <row r="33" spans="1:20" x14ac:dyDescent="0.2">
      <c r="A33">
        <v>2</v>
      </c>
      <c r="B33" t="str">
        <f t="shared" ref="B33:B96" si="0">CHAR(A33)</f>
        <v>_x0002_</v>
      </c>
      <c r="C33">
        <f t="shared" ref="C33:C96" si="1">CODE(B33)</f>
        <v>2</v>
      </c>
      <c r="D33">
        <f>CODE("A")</f>
        <v>65</v>
      </c>
      <c r="E33">
        <f t="shared" ref="E33:E96" si="2">_xlfn.UNICODE(B33)</f>
        <v>2</v>
      </c>
      <c r="F33" t="b">
        <f t="shared" ref="F33:F96" si="3">_xlfn.UNICHAR(E33)=B33</f>
        <v>1</v>
      </c>
    </row>
    <row r="34" spans="1:20" x14ac:dyDescent="0.2">
      <c r="A34">
        <v>3</v>
      </c>
      <c r="B34" t="str">
        <f t="shared" si="0"/>
        <v>_x0003_</v>
      </c>
      <c r="C34">
        <f t="shared" si="1"/>
        <v>3</v>
      </c>
      <c r="E34">
        <f t="shared" si="2"/>
        <v>3</v>
      </c>
      <c r="F34" t="b">
        <f t="shared" si="3"/>
        <v>1</v>
      </c>
    </row>
    <row r="35" spans="1:20" x14ac:dyDescent="0.2">
      <c r="A35">
        <v>4</v>
      </c>
      <c r="B35" t="str">
        <f t="shared" si="0"/>
        <v>_x0004_</v>
      </c>
      <c r="C35">
        <f t="shared" si="1"/>
        <v>4</v>
      </c>
      <c r="E35">
        <f t="shared" si="2"/>
        <v>4</v>
      </c>
      <c r="F35" t="b">
        <f t="shared" si="3"/>
        <v>1</v>
      </c>
    </row>
    <row r="36" spans="1:20" x14ac:dyDescent="0.2">
      <c r="A36">
        <v>5</v>
      </c>
      <c r="B36" t="str">
        <f t="shared" si="0"/>
        <v>_x0005_</v>
      </c>
      <c r="C36">
        <f t="shared" si="1"/>
        <v>5</v>
      </c>
      <c r="E36">
        <f t="shared" si="2"/>
        <v>5</v>
      </c>
      <c r="F36" t="b">
        <f t="shared" si="3"/>
        <v>1</v>
      </c>
    </row>
    <row r="37" spans="1:20" x14ac:dyDescent="0.2">
      <c r="A37">
        <v>6</v>
      </c>
      <c r="B37" t="str">
        <f t="shared" si="0"/>
        <v>_x0006_</v>
      </c>
      <c r="C37">
        <f t="shared" si="1"/>
        <v>6</v>
      </c>
      <c r="E37">
        <f t="shared" si="2"/>
        <v>6</v>
      </c>
      <c r="F37" t="b">
        <f t="shared" si="3"/>
        <v>1</v>
      </c>
    </row>
    <row r="38" spans="1:20" x14ac:dyDescent="0.2">
      <c r="A38">
        <v>7</v>
      </c>
      <c r="B38" t="str">
        <f t="shared" si="0"/>
        <v>_x0007_</v>
      </c>
      <c r="C38">
        <f t="shared" si="1"/>
        <v>7</v>
      </c>
      <c r="E38">
        <f t="shared" si="2"/>
        <v>7</v>
      </c>
      <c r="F38" t="b">
        <f t="shared" si="3"/>
        <v>1</v>
      </c>
    </row>
    <row r="39" spans="1:20" x14ac:dyDescent="0.2">
      <c r="A39">
        <v>8</v>
      </c>
      <c r="B39" t="str">
        <f t="shared" si="0"/>
        <v>_x0008_</v>
      </c>
      <c r="C39">
        <f t="shared" si="1"/>
        <v>8</v>
      </c>
      <c r="E39">
        <f t="shared" si="2"/>
        <v>8</v>
      </c>
      <c r="F39" t="b">
        <f t="shared" si="3"/>
        <v>1</v>
      </c>
    </row>
    <row r="40" spans="1:20" x14ac:dyDescent="0.2">
      <c r="A40">
        <v>9</v>
      </c>
      <c r="B40" t="str">
        <f t="shared" si="0"/>
        <v xml:space="preserve">	</v>
      </c>
      <c r="C40">
        <f t="shared" si="1"/>
        <v>9</v>
      </c>
      <c r="E40">
        <f t="shared" si="2"/>
        <v>9</v>
      </c>
      <c r="F40" t="b">
        <f t="shared" si="3"/>
        <v>1</v>
      </c>
    </row>
    <row r="41" spans="1:20" x14ac:dyDescent="0.2">
      <c r="A41">
        <v>10</v>
      </c>
      <c r="B41" t="str">
        <f t="shared" si="0"/>
        <v xml:space="preserve">
</v>
      </c>
      <c r="C41">
        <f t="shared" si="1"/>
        <v>10</v>
      </c>
      <c r="E41">
        <f t="shared" si="2"/>
        <v>10</v>
      </c>
      <c r="F41" t="b">
        <f t="shared" si="3"/>
        <v>1</v>
      </c>
    </row>
    <row r="42" spans="1:20" x14ac:dyDescent="0.2">
      <c r="A42">
        <v>11</v>
      </c>
      <c r="B42" t="str">
        <f t="shared" si="0"/>
        <v>_x000B_</v>
      </c>
      <c r="C42">
        <f t="shared" si="1"/>
        <v>11</v>
      </c>
      <c r="E42">
        <f t="shared" si="2"/>
        <v>11</v>
      </c>
      <c r="F42" t="b">
        <f t="shared" si="3"/>
        <v>1</v>
      </c>
    </row>
    <row r="43" spans="1:20" x14ac:dyDescent="0.2">
      <c r="A43">
        <v>12</v>
      </c>
      <c r="B43" t="str">
        <f t="shared" si="0"/>
        <v>_x000C_</v>
      </c>
      <c r="C43">
        <f t="shared" si="1"/>
        <v>12</v>
      </c>
      <c r="E43">
        <f t="shared" si="2"/>
        <v>12</v>
      </c>
      <c r="F43" t="b">
        <f t="shared" si="3"/>
        <v>1</v>
      </c>
    </row>
    <row r="44" spans="1:20" x14ac:dyDescent="0.2">
      <c r="A44">
        <v>13</v>
      </c>
      <c r="B44" t="str">
        <f t="shared" si="0"/>
        <v>_x000D_</v>
      </c>
      <c r="C44">
        <f t="shared" si="1"/>
        <v>13</v>
      </c>
      <c r="E44">
        <f t="shared" si="2"/>
        <v>13</v>
      </c>
      <c r="F44" t="b">
        <f t="shared" si="3"/>
        <v>1</v>
      </c>
    </row>
    <row r="45" spans="1:20" x14ac:dyDescent="0.2">
      <c r="A45">
        <v>14</v>
      </c>
      <c r="B45" t="str">
        <f t="shared" si="0"/>
        <v>_x000E_</v>
      </c>
      <c r="C45">
        <f t="shared" si="1"/>
        <v>14</v>
      </c>
      <c r="E45">
        <f t="shared" si="2"/>
        <v>14</v>
      </c>
      <c r="F45" t="b">
        <f t="shared" si="3"/>
        <v>1</v>
      </c>
    </row>
    <row r="46" spans="1:20" x14ac:dyDescent="0.2">
      <c r="A46">
        <v>15</v>
      </c>
      <c r="B46" t="str">
        <f t="shared" si="0"/>
        <v>_x000F_</v>
      </c>
      <c r="C46">
        <f t="shared" si="1"/>
        <v>15</v>
      </c>
      <c r="E46">
        <f t="shared" si="2"/>
        <v>15</v>
      </c>
      <c r="F46" t="b">
        <f t="shared" si="3"/>
        <v>1</v>
      </c>
    </row>
    <row r="47" spans="1:20" x14ac:dyDescent="0.2">
      <c r="A47">
        <v>16</v>
      </c>
      <c r="B47" t="str">
        <f t="shared" si="0"/>
        <v>_x0010_</v>
      </c>
      <c r="C47">
        <f t="shared" si="1"/>
        <v>16</v>
      </c>
      <c r="E47">
        <f t="shared" si="2"/>
        <v>16</v>
      </c>
      <c r="F47" t="b">
        <f t="shared" si="3"/>
        <v>1</v>
      </c>
    </row>
    <row r="48" spans="1:20" ht="17" x14ac:dyDescent="0.25">
      <c r="A48">
        <v>17</v>
      </c>
      <c r="B48" t="str">
        <f t="shared" si="0"/>
        <v>_x0011_</v>
      </c>
      <c r="C48">
        <f t="shared" si="1"/>
        <v>17</v>
      </c>
      <c r="E48">
        <f t="shared" si="2"/>
        <v>17</v>
      </c>
      <c r="F48" t="b">
        <f t="shared" si="3"/>
        <v>1</v>
      </c>
      <c r="T48" s="3"/>
    </row>
    <row r="49" spans="1:8" x14ac:dyDescent="0.2">
      <c r="A49">
        <v>18</v>
      </c>
      <c r="B49" t="str">
        <f t="shared" si="0"/>
        <v>_x0012_</v>
      </c>
      <c r="C49">
        <f t="shared" si="1"/>
        <v>18</v>
      </c>
      <c r="E49">
        <f t="shared" si="2"/>
        <v>18</v>
      </c>
      <c r="F49" t="b">
        <f t="shared" si="3"/>
        <v>1</v>
      </c>
    </row>
    <row r="50" spans="1:8" x14ac:dyDescent="0.2">
      <c r="A50">
        <v>19</v>
      </c>
      <c r="B50" t="str">
        <f t="shared" si="0"/>
        <v>_x0013_</v>
      </c>
      <c r="C50">
        <f t="shared" si="1"/>
        <v>19</v>
      </c>
      <c r="E50">
        <f t="shared" si="2"/>
        <v>19</v>
      </c>
      <c r="F50" t="b">
        <f t="shared" si="3"/>
        <v>1</v>
      </c>
    </row>
    <row r="51" spans="1:8" x14ac:dyDescent="0.2">
      <c r="A51">
        <v>20</v>
      </c>
      <c r="B51" t="str">
        <f t="shared" si="0"/>
        <v>_x0014_</v>
      </c>
      <c r="C51">
        <f t="shared" si="1"/>
        <v>20</v>
      </c>
      <c r="E51">
        <f t="shared" si="2"/>
        <v>20</v>
      </c>
      <c r="F51" t="b">
        <f t="shared" si="3"/>
        <v>1</v>
      </c>
    </row>
    <row r="52" spans="1:8" x14ac:dyDescent="0.2">
      <c r="A52">
        <v>21</v>
      </c>
      <c r="B52" t="str">
        <f t="shared" si="0"/>
        <v>_x0015_</v>
      </c>
      <c r="C52">
        <f t="shared" si="1"/>
        <v>21</v>
      </c>
      <c r="E52">
        <f t="shared" si="2"/>
        <v>21</v>
      </c>
      <c r="F52" t="b">
        <f t="shared" si="3"/>
        <v>1</v>
      </c>
      <c r="H52" s="2"/>
    </row>
    <row r="53" spans="1:8" x14ac:dyDescent="0.2">
      <c r="A53">
        <v>22</v>
      </c>
      <c r="B53" t="str">
        <f t="shared" si="0"/>
        <v>_x0016_</v>
      </c>
      <c r="C53">
        <f t="shared" si="1"/>
        <v>22</v>
      </c>
      <c r="E53">
        <f t="shared" si="2"/>
        <v>22</v>
      </c>
      <c r="F53" t="b">
        <f t="shared" si="3"/>
        <v>1</v>
      </c>
      <c r="H53" s="2"/>
    </row>
    <row r="54" spans="1:8" x14ac:dyDescent="0.2">
      <c r="A54">
        <v>23</v>
      </c>
      <c r="B54" t="str">
        <f t="shared" si="0"/>
        <v>_x0017_</v>
      </c>
      <c r="C54">
        <f t="shared" si="1"/>
        <v>23</v>
      </c>
      <c r="E54">
        <f t="shared" si="2"/>
        <v>23</v>
      </c>
      <c r="F54" t="b">
        <f t="shared" si="3"/>
        <v>1</v>
      </c>
      <c r="H54" s="2"/>
    </row>
    <row r="55" spans="1:8" x14ac:dyDescent="0.2">
      <c r="A55">
        <v>24</v>
      </c>
      <c r="B55" t="str">
        <f t="shared" si="0"/>
        <v>_x0018_</v>
      </c>
      <c r="C55">
        <f t="shared" si="1"/>
        <v>24</v>
      </c>
      <c r="E55">
        <f t="shared" si="2"/>
        <v>24</v>
      </c>
      <c r="F55" t="b">
        <f t="shared" si="3"/>
        <v>1</v>
      </c>
      <c r="H55" s="2"/>
    </row>
    <row r="56" spans="1:8" x14ac:dyDescent="0.2">
      <c r="A56">
        <v>25</v>
      </c>
      <c r="B56" t="str">
        <f t="shared" si="0"/>
        <v>_x0019_</v>
      </c>
      <c r="C56">
        <f t="shared" si="1"/>
        <v>25</v>
      </c>
      <c r="E56">
        <f t="shared" si="2"/>
        <v>25</v>
      </c>
      <c r="F56" t="b">
        <f t="shared" si="3"/>
        <v>1</v>
      </c>
      <c r="H56" s="2"/>
    </row>
    <row r="57" spans="1:8" x14ac:dyDescent="0.2">
      <c r="A57">
        <v>26</v>
      </c>
      <c r="B57" t="str">
        <f t="shared" si="0"/>
        <v>_x001A_</v>
      </c>
      <c r="C57">
        <f t="shared" si="1"/>
        <v>26</v>
      </c>
      <c r="E57">
        <f t="shared" si="2"/>
        <v>26</v>
      </c>
      <c r="F57" t="b">
        <f t="shared" si="3"/>
        <v>1</v>
      </c>
      <c r="H57" s="2"/>
    </row>
    <row r="58" spans="1:8" x14ac:dyDescent="0.2">
      <c r="A58">
        <v>27</v>
      </c>
      <c r="B58" t="str">
        <f t="shared" si="0"/>
        <v>_x001B_</v>
      </c>
      <c r="C58">
        <f t="shared" si="1"/>
        <v>27</v>
      </c>
      <c r="E58">
        <f t="shared" si="2"/>
        <v>27</v>
      </c>
      <c r="F58" t="b">
        <f t="shared" si="3"/>
        <v>1</v>
      </c>
      <c r="H58" s="2"/>
    </row>
    <row r="59" spans="1:8" x14ac:dyDescent="0.2">
      <c r="A59">
        <v>28</v>
      </c>
      <c r="B59" t="str">
        <f t="shared" si="0"/>
        <v>_x001C_</v>
      </c>
      <c r="C59">
        <f t="shared" si="1"/>
        <v>28</v>
      </c>
      <c r="E59">
        <f t="shared" si="2"/>
        <v>28</v>
      </c>
      <c r="F59" t="b">
        <f t="shared" si="3"/>
        <v>1</v>
      </c>
      <c r="H59" s="2"/>
    </row>
    <row r="60" spans="1:8" x14ac:dyDescent="0.2">
      <c r="A60">
        <v>29</v>
      </c>
      <c r="B60" t="str">
        <f t="shared" si="0"/>
        <v>_x001D_</v>
      </c>
      <c r="C60">
        <f t="shared" si="1"/>
        <v>29</v>
      </c>
      <c r="E60">
        <f t="shared" si="2"/>
        <v>29</v>
      </c>
      <c r="F60" t="b">
        <f t="shared" si="3"/>
        <v>1</v>
      </c>
      <c r="H60" s="2"/>
    </row>
    <row r="61" spans="1:8" x14ac:dyDescent="0.2">
      <c r="A61">
        <v>30</v>
      </c>
      <c r="B61" t="str">
        <f t="shared" si="0"/>
        <v>_x001E_</v>
      </c>
      <c r="C61">
        <f t="shared" si="1"/>
        <v>30</v>
      </c>
      <c r="E61">
        <f t="shared" si="2"/>
        <v>30</v>
      </c>
      <c r="F61" t="b">
        <f t="shared" si="3"/>
        <v>1</v>
      </c>
    </row>
    <row r="62" spans="1:8" x14ac:dyDescent="0.2">
      <c r="A62">
        <v>31</v>
      </c>
      <c r="B62" t="str">
        <f t="shared" si="0"/>
        <v>_x001F_</v>
      </c>
      <c r="C62">
        <f t="shared" si="1"/>
        <v>31</v>
      </c>
      <c r="E62">
        <f t="shared" si="2"/>
        <v>31</v>
      </c>
      <c r="F62" t="b">
        <f t="shared" si="3"/>
        <v>1</v>
      </c>
    </row>
    <row r="63" spans="1:8" x14ac:dyDescent="0.2">
      <c r="A63">
        <v>32</v>
      </c>
      <c r="B63" t="str">
        <f t="shared" si="0"/>
        <v xml:space="preserve"> </v>
      </c>
      <c r="C63">
        <f t="shared" si="1"/>
        <v>32</v>
      </c>
      <c r="E63">
        <f t="shared" si="2"/>
        <v>32</v>
      </c>
      <c r="F63" t="b">
        <f t="shared" si="3"/>
        <v>1</v>
      </c>
    </row>
    <row r="64" spans="1:8" x14ac:dyDescent="0.2">
      <c r="A64">
        <v>33</v>
      </c>
      <c r="B64" t="str">
        <f t="shared" si="0"/>
        <v>!</v>
      </c>
      <c r="C64">
        <f t="shared" si="1"/>
        <v>33</v>
      </c>
      <c r="E64">
        <f t="shared" si="2"/>
        <v>33</v>
      </c>
      <c r="F64" t="b">
        <f t="shared" si="3"/>
        <v>1</v>
      </c>
    </row>
    <row r="65" spans="1:6" x14ac:dyDescent="0.2">
      <c r="A65">
        <v>34</v>
      </c>
      <c r="B65" t="str">
        <f t="shared" si="0"/>
        <v>"</v>
      </c>
      <c r="C65">
        <f t="shared" si="1"/>
        <v>34</v>
      </c>
      <c r="E65">
        <f t="shared" si="2"/>
        <v>34</v>
      </c>
      <c r="F65" t="b">
        <f t="shared" si="3"/>
        <v>1</v>
      </c>
    </row>
    <row r="66" spans="1:6" x14ac:dyDescent="0.2">
      <c r="A66">
        <v>35</v>
      </c>
      <c r="B66" t="str">
        <f t="shared" si="0"/>
        <v>#</v>
      </c>
      <c r="C66">
        <f t="shared" si="1"/>
        <v>35</v>
      </c>
      <c r="E66">
        <f t="shared" si="2"/>
        <v>35</v>
      </c>
      <c r="F66" t="b">
        <f t="shared" si="3"/>
        <v>1</v>
      </c>
    </row>
    <row r="67" spans="1:6" x14ac:dyDescent="0.2">
      <c r="A67">
        <v>36</v>
      </c>
      <c r="B67" t="str">
        <f t="shared" si="0"/>
        <v>$</v>
      </c>
      <c r="C67">
        <f t="shared" si="1"/>
        <v>36</v>
      </c>
      <c r="E67">
        <f t="shared" si="2"/>
        <v>36</v>
      </c>
      <c r="F67" t="b">
        <f t="shared" si="3"/>
        <v>1</v>
      </c>
    </row>
    <row r="68" spans="1:6" x14ac:dyDescent="0.2">
      <c r="A68">
        <v>37</v>
      </c>
      <c r="B68" t="str">
        <f t="shared" si="0"/>
        <v>%</v>
      </c>
      <c r="C68">
        <f t="shared" si="1"/>
        <v>37</v>
      </c>
      <c r="E68">
        <f t="shared" si="2"/>
        <v>37</v>
      </c>
      <c r="F68" t="b">
        <f t="shared" si="3"/>
        <v>1</v>
      </c>
    </row>
    <row r="69" spans="1:6" x14ac:dyDescent="0.2">
      <c r="A69">
        <v>38</v>
      </c>
      <c r="B69" t="str">
        <f t="shared" si="0"/>
        <v>&amp;</v>
      </c>
      <c r="C69">
        <f t="shared" si="1"/>
        <v>38</v>
      </c>
      <c r="E69">
        <f t="shared" si="2"/>
        <v>38</v>
      </c>
      <c r="F69" t="b">
        <f t="shared" si="3"/>
        <v>1</v>
      </c>
    </row>
    <row r="70" spans="1:6" x14ac:dyDescent="0.2">
      <c r="A70">
        <v>39</v>
      </c>
      <c r="B70" t="str">
        <f t="shared" si="0"/>
        <v>'</v>
      </c>
      <c r="C70">
        <f t="shared" si="1"/>
        <v>39</v>
      </c>
      <c r="E70">
        <f t="shared" si="2"/>
        <v>39</v>
      </c>
      <c r="F70" t="b">
        <f t="shared" si="3"/>
        <v>1</v>
      </c>
    </row>
    <row r="71" spans="1:6" x14ac:dyDescent="0.2">
      <c r="A71">
        <v>40</v>
      </c>
      <c r="B71" t="str">
        <f t="shared" si="0"/>
        <v>(</v>
      </c>
      <c r="C71">
        <f t="shared" si="1"/>
        <v>40</v>
      </c>
      <c r="E71">
        <f t="shared" si="2"/>
        <v>40</v>
      </c>
      <c r="F71" t="b">
        <f t="shared" si="3"/>
        <v>1</v>
      </c>
    </row>
    <row r="72" spans="1:6" x14ac:dyDescent="0.2">
      <c r="A72">
        <v>41</v>
      </c>
      <c r="B72" t="str">
        <f t="shared" si="0"/>
        <v>)</v>
      </c>
      <c r="C72">
        <f t="shared" si="1"/>
        <v>41</v>
      </c>
      <c r="E72">
        <f t="shared" si="2"/>
        <v>41</v>
      </c>
      <c r="F72" t="b">
        <f t="shared" si="3"/>
        <v>1</v>
      </c>
    </row>
    <row r="73" spans="1:6" x14ac:dyDescent="0.2">
      <c r="A73">
        <v>42</v>
      </c>
      <c r="B73" t="str">
        <f t="shared" si="0"/>
        <v>*</v>
      </c>
      <c r="C73">
        <f t="shared" si="1"/>
        <v>42</v>
      </c>
      <c r="E73">
        <f t="shared" si="2"/>
        <v>42</v>
      </c>
      <c r="F73" t="b">
        <f t="shared" si="3"/>
        <v>1</v>
      </c>
    </row>
    <row r="74" spans="1:6" x14ac:dyDescent="0.2">
      <c r="A74">
        <v>43</v>
      </c>
      <c r="B74" t="str">
        <f t="shared" si="0"/>
        <v>+</v>
      </c>
      <c r="C74">
        <f t="shared" si="1"/>
        <v>43</v>
      </c>
      <c r="E74">
        <f t="shared" si="2"/>
        <v>43</v>
      </c>
      <c r="F74" t="b">
        <f t="shared" si="3"/>
        <v>1</v>
      </c>
    </row>
    <row r="75" spans="1:6" x14ac:dyDescent="0.2">
      <c r="A75">
        <v>44</v>
      </c>
      <c r="B75" t="str">
        <f t="shared" si="0"/>
        <v>,</v>
      </c>
      <c r="C75">
        <f t="shared" si="1"/>
        <v>44</v>
      </c>
      <c r="E75">
        <f t="shared" si="2"/>
        <v>44</v>
      </c>
      <c r="F75" t="b">
        <f t="shared" si="3"/>
        <v>1</v>
      </c>
    </row>
    <row r="76" spans="1:6" x14ac:dyDescent="0.2">
      <c r="A76">
        <v>45</v>
      </c>
      <c r="B76" t="str">
        <f t="shared" si="0"/>
        <v>-</v>
      </c>
      <c r="C76">
        <f t="shared" si="1"/>
        <v>45</v>
      </c>
      <c r="E76">
        <f t="shared" si="2"/>
        <v>45</v>
      </c>
      <c r="F76" t="b">
        <f t="shared" si="3"/>
        <v>1</v>
      </c>
    </row>
    <row r="77" spans="1:6" x14ac:dyDescent="0.2">
      <c r="A77">
        <v>46</v>
      </c>
      <c r="B77" t="str">
        <f t="shared" si="0"/>
        <v>.</v>
      </c>
      <c r="C77">
        <f t="shared" si="1"/>
        <v>46</v>
      </c>
      <c r="E77">
        <f t="shared" si="2"/>
        <v>46</v>
      </c>
      <c r="F77" t="b">
        <f t="shared" si="3"/>
        <v>1</v>
      </c>
    </row>
    <row r="78" spans="1:6" x14ac:dyDescent="0.2">
      <c r="A78">
        <v>47</v>
      </c>
      <c r="B78" t="str">
        <f t="shared" si="0"/>
        <v>/</v>
      </c>
      <c r="C78">
        <f t="shared" si="1"/>
        <v>47</v>
      </c>
      <c r="E78">
        <f t="shared" si="2"/>
        <v>47</v>
      </c>
      <c r="F78" t="b">
        <f t="shared" si="3"/>
        <v>1</v>
      </c>
    </row>
    <row r="79" spans="1:6" x14ac:dyDescent="0.2">
      <c r="A79">
        <v>48</v>
      </c>
      <c r="B79" t="str">
        <f t="shared" si="0"/>
        <v>0</v>
      </c>
      <c r="C79">
        <f t="shared" si="1"/>
        <v>48</v>
      </c>
      <c r="E79">
        <f t="shared" si="2"/>
        <v>48</v>
      </c>
      <c r="F79" t="b">
        <f t="shared" si="3"/>
        <v>1</v>
      </c>
    </row>
    <row r="80" spans="1:6" x14ac:dyDescent="0.2">
      <c r="A80">
        <v>49</v>
      </c>
      <c r="B80" t="str">
        <f t="shared" si="0"/>
        <v>1</v>
      </c>
      <c r="C80">
        <f t="shared" si="1"/>
        <v>49</v>
      </c>
      <c r="E80">
        <f t="shared" si="2"/>
        <v>49</v>
      </c>
      <c r="F80" t="b">
        <f t="shared" si="3"/>
        <v>1</v>
      </c>
    </row>
    <row r="81" spans="1:6" x14ac:dyDescent="0.2">
      <c r="A81">
        <v>50</v>
      </c>
      <c r="B81" t="str">
        <f t="shared" si="0"/>
        <v>2</v>
      </c>
      <c r="C81">
        <f t="shared" si="1"/>
        <v>50</v>
      </c>
      <c r="E81">
        <f t="shared" si="2"/>
        <v>50</v>
      </c>
      <c r="F81" t="b">
        <f t="shared" si="3"/>
        <v>1</v>
      </c>
    </row>
    <row r="82" spans="1:6" x14ac:dyDescent="0.2">
      <c r="A82">
        <v>51</v>
      </c>
      <c r="B82" t="str">
        <f t="shared" si="0"/>
        <v>3</v>
      </c>
      <c r="C82">
        <f t="shared" si="1"/>
        <v>51</v>
      </c>
      <c r="E82">
        <f t="shared" si="2"/>
        <v>51</v>
      </c>
      <c r="F82" t="b">
        <f t="shared" si="3"/>
        <v>1</v>
      </c>
    </row>
    <row r="83" spans="1:6" x14ac:dyDescent="0.2">
      <c r="A83">
        <v>52</v>
      </c>
      <c r="B83" t="str">
        <f t="shared" si="0"/>
        <v>4</v>
      </c>
      <c r="C83">
        <f t="shared" si="1"/>
        <v>52</v>
      </c>
      <c r="E83">
        <f t="shared" si="2"/>
        <v>52</v>
      </c>
      <c r="F83" t="b">
        <f t="shared" si="3"/>
        <v>1</v>
      </c>
    </row>
    <row r="84" spans="1:6" x14ac:dyDescent="0.2">
      <c r="A84">
        <v>53</v>
      </c>
      <c r="B84" t="str">
        <f t="shared" si="0"/>
        <v>5</v>
      </c>
      <c r="C84">
        <f t="shared" si="1"/>
        <v>53</v>
      </c>
      <c r="E84">
        <f t="shared" si="2"/>
        <v>53</v>
      </c>
      <c r="F84" t="b">
        <f t="shared" si="3"/>
        <v>1</v>
      </c>
    </row>
    <row r="85" spans="1:6" x14ac:dyDescent="0.2">
      <c r="A85">
        <v>54</v>
      </c>
      <c r="B85" t="str">
        <f t="shared" si="0"/>
        <v>6</v>
      </c>
      <c r="C85">
        <f t="shared" si="1"/>
        <v>54</v>
      </c>
      <c r="E85">
        <f t="shared" si="2"/>
        <v>54</v>
      </c>
      <c r="F85" t="b">
        <f t="shared" si="3"/>
        <v>1</v>
      </c>
    </row>
    <row r="86" spans="1:6" x14ac:dyDescent="0.2">
      <c r="A86">
        <v>55</v>
      </c>
      <c r="B86" t="str">
        <f t="shared" si="0"/>
        <v>7</v>
      </c>
      <c r="C86">
        <f t="shared" si="1"/>
        <v>55</v>
      </c>
      <c r="E86">
        <f t="shared" si="2"/>
        <v>55</v>
      </c>
      <c r="F86" t="b">
        <f t="shared" si="3"/>
        <v>1</v>
      </c>
    </row>
    <row r="87" spans="1:6" x14ac:dyDescent="0.2">
      <c r="A87">
        <v>56</v>
      </c>
      <c r="B87" t="str">
        <f t="shared" si="0"/>
        <v>8</v>
      </c>
      <c r="C87">
        <f t="shared" si="1"/>
        <v>56</v>
      </c>
      <c r="E87">
        <f t="shared" si="2"/>
        <v>56</v>
      </c>
      <c r="F87" t="b">
        <f t="shared" si="3"/>
        <v>1</v>
      </c>
    </row>
    <row r="88" spans="1:6" x14ac:dyDescent="0.2">
      <c r="A88">
        <v>57</v>
      </c>
      <c r="B88" t="str">
        <f t="shared" si="0"/>
        <v>9</v>
      </c>
      <c r="C88">
        <f t="shared" si="1"/>
        <v>57</v>
      </c>
      <c r="E88">
        <f t="shared" si="2"/>
        <v>57</v>
      </c>
      <c r="F88" t="b">
        <f t="shared" si="3"/>
        <v>1</v>
      </c>
    </row>
    <row r="89" spans="1:6" x14ac:dyDescent="0.2">
      <c r="A89">
        <v>58</v>
      </c>
      <c r="B89" t="str">
        <f t="shared" si="0"/>
        <v>:</v>
      </c>
      <c r="C89">
        <f t="shared" si="1"/>
        <v>58</v>
      </c>
      <c r="E89">
        <f t="shared" si="2"/>
        <v>58</v>
      </c>
      <c r="F89" t="b">
        <f t="shared" si="3"/>
        <v>1</v>
      </c>
    </row>
    <row r="90" spans="1:6" x14ac:dyDescent="0.2">
      <c r="A90">
        <v>59</v>
      </c>
      <c r="B90" t="str">
        <f t="shared" si="0"/>
        <v>;</v>
      </c>
      <c r="C90">
        <f t="shared" si="1"/>
        <v>59</v>
      </c>
      <c r="E90">
        <f t="shared" si="2"/>
        <v>59</v>
      </c>
      <c r="F90" t="b">
        <f t="shared" si="3"/>
        <v>1</v>
      </c>
    </row>
    <row r="91" spans="1:6" x14ac:dyDescent="0.2">
      <c r="A91">
        <v>60</v>
      </c>
      <c r="B91" t="str">
        <f t="shared" si="0"/>
        <v>&lt;</v>
      </c>
      <c r="C91">
        <f t="shared" si="1"/>
        <v>60</v>
      </c>
      <c r="E91">
        <f t="shared" si="2"/>
        <v>60</v>
      </c>
      <c r="F91" t="b">
        <f t="shared" si="3"/>
        <v>1</v>
      </c>
    </row>
    <row r="92" spans="1:6" x14ac:dyDescent="0.2">
      <c r="A92">
        <v>61</v>
      </c>
      <c r="B92" t="str">
        <f t="shared" si="0"/>
        <v>=</v>
      </c>
      <c r="C92">
        <f t="shared" si="1"/>
        <v>61</v>
      </c>
      <c r="E92">
        <f t="shared" si="2"/>
        <v>61</v>
      </c>
      <c r="F92" t="b">
        <f t="shared" si="3"/>
        <v>1</v>
      </c>
    </row>
    <row r="93" spans="1:6" x14ac:dyDescent="0.2">
      <c r="A93">
        <v>62</v>
      </c>
      <c r="B93" t="str">
        <f t="shared" si="0"/>
        <v>&gt;</v>
      </c>
      <c r="C93">
        <f t="shared" si="1"/>
        <v>62</v>
      </c>
      <c r="E93">
        <f t="shared" si="2"/>
        <v>62</v>
      </c>
      <c r="F93" t="b">
        <f t="shared" si="3"/>
        <v>1</v>
      </c>
    </row>
    <row r="94" spans="1:6" x14ac:dyDescent="0.2">
      <c r="A94">
        <v>63</v>
      </c>
      <c r="B94" t="str">
        <f t="shared" si="0"/>
        <v>?</v>
      </c>
      <c r="C94">
        <f t="shared" si="1"/>
        <v>63</v>
      </c>
      <c r="E94">
        <f t="shared" si="2"/>
        <v>63</v>
      </c>
      <c r="F94" t="b">
        <f t="shared" si="3"/>
        <v>1</v>
      </c>
    </row>
    <row r="95" spans="1:6" x14ac:dyDescent="0.2">
      <c r="A95">
        <v>64</v>
      </c>
      <c r="B95" t="str">
        <f t="shared" si="0"/>
        <v>@</v>
      </c>
      <c r="C95">
        <f t="shared" si="1"/>
        <v>64</v>
      </c>
      <c r="E95">
        <f t="shared" si="2"/>
        <v>64</v>
      </c>
      <c r="F95" t="b">
        <f t="shared" si="3"/>
        <v>1</v>
      </c>
    </row>
    <row r="96" spans="1:6" x14ac:dyDescent="0.2">
      <c r="A96">
        <v>65</v>
      </c>
      <c r="B96" t="str">
        <f t="shared" si="0"/>
        <v>A</v>
      </c>
      <c r="C96">
        <f t="shared" si="1"/>
        <v>65</v>
      </c>
      <c r="E96">
        <f t="shared" si="2"/>
        <v>65</v>
      </c>
      <c r="F96" t="b">
        <f t="shared" si="3"/>
        <v>1</v>
      </c>
    </row>
    <row r="97" spans="1:6" x14ac:dyDescent="0.2">
      <c r="A97">
        <v>66</v>
      </c>
      <c r="B97" t="str">
        <f t="shared" ref="B97:B160" si="4">CHAR(A97)</f>
        <v>B</v>
      </c>
      <c r="C97">
        <f t="shared" ref="C97:C160" si="5">CODE(B97)</f>
        <v>66</v>
      </c>
      <c r="E97">
        <f t="shared" ref="E97:E160" si="6">_xlfn.UNICODE(B97)</f>
        <v>66</v>
      </c>
      <c r="F97" t="b">
        <f t="shared" ref="F97:F160" si="7">_xlfn.UNICHAR(E97)=B97</f>
        <v>1</v>
      </c>
    </row>
    <row r="98" spans="1:6" x14ac:dyDescent="0.2">
      <c r="A98">
        <v>67</v>
      </c>
      <c r="B98" t="str">
        <f t="shared" si="4"/>
        <v>C</v>
      </c>
      <c r="C98">
        <f t="shared" si="5"/>
        <v>67</v>
      </c>
      <c r="E98">
        <f t="shared" si="6"/>
        <v>67</v>
      </c>
      <c r="F98" t="b">
        <f t="shared" si="7"/>
        <v>1</v>
      </c>
    </row>
    <row r="99" spans="1:6" x14ac:dyDescent="0.2">
      <c r="A99">
        <v>68</v>
      </c>
      <c r="B99" t="str">
        <f t="shared" si="4"/>
        <v>D</v>
      </c>
      <c r="C99">
        <f t="shared" si="5"/>
        <v>68</v>
      </c>
      <c r="E99">
        <f t="shared" si="6"/>
        <v>68</v>
      </c>
      <c r="F99" t="b">
        <f t="shared" si="7"/>
        <v>1</v>
      </c>
    </row>
    <row r="100" spans="1:6" x14ac:dyDescent="0.2">
      <c r="A100">
        <v>69</v>
      </c>
      <c r="B100" t="str">
        <f t="shared" si="4"/>
        <v>E</v>
      </c>
      <c r="C100">
        <f t="shared" si="5"/>
        <v>69</v>
      </c>
      <c r="E100">
        <f t="shared" si="6"/>
        <v>69</v>
      </c>
      <c r="F100" t="b">
        <f t="shared" si="7"/>
        <v>1</v>
      </c>
    </row>
    <row r="101" spans="1:6" x14ac:dyDescent="0.2">
      <c r="A101">
        <v>70</v>
      </c>
      <c r="B101" t="str">
        <f t="shared" si="4"/>
        <v>F</v>
      </c>
      <c r="C101">
        <f t="shared" si="5"/>
        <v>70</v>
      </c>
      <c r="E101">
        <f t="shared" si="6"/>
        <v>70</v>
      </c>
      <c r="F101" t="b">
        <f t="shared" si="7"/>
        <v>1</v>
      </c>
    </row>
    <row r="102" spans="1:6" x14ac:dyDescent="0.2">
      <c r="A102">
        <v>71</v>
      </c>
      <c r="B102" t="str">
        <f t="shared" si="4"/>
        <v>G</v>
      </c>
      <c r="C102">
        <f t="shared" si="5"/>
        <v>71</v>
      </c>
      <c r="E102">
        <f t="shared" si="6"/>
        <v>71</v>
      </c>
      <c r="F102" t="b">
        <f t="shared" si="7"/>
        <v>1</v>
      </c>
    </row>
    <row r="103" spans="1:6" x14ac:dyDescent="0.2">
      <c r="A103">
        <v>72</v>
      </c>
      <c r="B103" t="str">
        <f t="shared" si="4"/>
        <v>H</v>
      </c>
      <c r="C103">
        <f t="shared" si="5"/>
        <v>72</v>
      </c>
      <c r="E103">
        <f t="shared" si="6"/>
        <v>72</v>
      </c>
      <c r="F103" t="b">
        <f t="shared" si="7"/>
        <v>1</v>
      </c>
    </row>
    <row r="104" spans="1:6" x14ac:dyDescent="0.2">
      <c r="A104">
        <v>73</v>
      </c>
      <c r="B104" t="str">
        <f t="shared" si="4"/>
        <v>I</v>
      </c>
      <c r="C104">
        <f t="shared" si="5"/>
        <v>73</v>
      </c>
      <c r="E104">
        <f t="shared" si="6"/>
        <v>73</v>
      </c>
      <c r="F104" t="b">
        <f t="shared" si="7"/>
        <v>1</v>
      </c>
    </row>
    <row r="105" spans="1:6" x14ac:dyDescent="0.2">
      <c r="A105">
        <v>74</v>
      </c>
      <c r="B105" t="str">
        <f t="shared" si="4"/>
        <v>J</v>
      </c>
      <c r="C105">
        <f t="shared" si="5"/>
        <v>74</v>
      </c>
      <c r="E105">
        <f t="shared" si="6"/>
        <v>74</v>
      </c>
      <c r="F105" t="b">
        <f t="shared" si="7"/>
        <v>1</v>
      </c>
    </row>
    <row r="106" spans="1:6" x14ac:dyDescent="0.2">
      <c r="A106">
        <v>75</v>
      </c>
      <c r="B106" t="str">
        <f t="shared" si="4"/>
        <v>K</v>
      </c>
      <c r="C106">
        <f t="shared" si="5"/>
        <v>75</v>
      </c>
      <c r="E106">
        <f t="shared" si="6"/>
        <v>75</v>
      </c>
      <c r="F106" t="b">
        <f t="shared" si="7"/>
        <v>1</v>
      </c>
    </row>
    <row r="107" spans="1:6" x14ac:dyDescent="0.2">
      <c r="A107">
        <v>76</v>
      </c>
      <c r="B107" t="str">
        <f t="shared" si="4"/>
        <v>L</v>
      </c>
      <c r="C107">
        <f t="shared" si="5"/>
        <v>76</v>
      </c>
      <c r="E107">
        <f t="shared" si="6"/>
        <v>76</v>
      </c>
      <c r="F107" t="b">
        <f t="shared" si="7"/>
        <v>1</v>
      </c>
    </row>
    <row r="108" spans="1:6" x14ac:dyDescent="0.2">
      <c r="A108">
        <v>77</v>
      </c>
      <c r="B108" t="str">
        <f t="shared" si="4"/>
        <v>M</v>
      </c>
      <c r="C108">
        <f t="shared" si="5"/>
        <v>77</v>
      </c>
      <c r="E108">
        <f t="shared" si="6"/>
        <v>77</v>
      </c>
      <c r="F108" t="b">
        <f t="shared" si="7"/>
        <v>1</v>
      </c>
    </row>
    <row r="109" spans="1:6" x14ac:dyDescent="0.2">
      <c r="A109">
        <v>78</v>
      </c>
      <c r="B109" t="str">
        <f t="shared" si="4"/>
        <v>N</v>
      </c>
      <c r="C109">
        <f t="shared" si="5"/>
        <v>78</v>
      </c>
      <c r="E109">
        <f t="shared" si="6"/>
        <v>78</v>
      </c>
      <c r="F109" t="b">
        <f t="shared" si="7"/>
        <v>1</v>
      </c>
    </row>
    <row r="110" spans="1:6" x14ac:dyDescent="0.2">
      <c r="A110">
        <v>79</v>
      </c>
      <c r="B110" t="str">
        <f t="shared" si="4"/>
        <v>O</v>
      </c>
      <c r="C110">
        <f t="shared" si="5"/>
        <v>79</v>
      </c>
      <c r="E110">
        <f t="shared" si="6"/>
        <v>79</v>
      </c>
      <c r="F110" t="b">
        <f t="shared" si="7"/>
        <v>1</v>
      </c>
    </row>
    <row r="111" spans="1:6" x14ac:dyDescent="0.2">
      <c r="A111">
        <v>80</v>
      </c>
      <c r="B111" t="str">
        <f t="shared" si="4"/>
        <v>P</v>
      </c>
      <c r="C111">
        <f t="shared" si="5"/>
        <v>80</v>
      </c>
      <c r="E111">
        <f t="shared" si="6"/>
        <v>80</v>
      </c>
      <c r="F111" t="b">
        <f t="shared" si="7"/>
        <v>1</v>
      </c>
    </row>
    <row r="112" spans="1:6" x14ac:dyDescent="0.2">
      <c r="A112">
        <v>81</v>
      </c>
      <c r="B112" t="str">
        <f t="shared" si="4"/>
        <v>Q</v>
      </c>
      <c r="C112">
        <f t="shared" si="5"/>
        <v>81</v>
      </c>
      <c r="E112">
        <f t="shared" si="6"/>
        <v>81</v>
      </c>
      <c r="F112" t="b">
        <f t="shared" si="7"/>
        <v>1</v>
      </c>
    </row>
    <row r="113" spans="1:6" x14ac:dyDescent="0.2">
      <c r="A113">
        <v>82</v>
      </c>
      <c r="B113" t="str">
        <f t="shared" si="4"/>
        <v>R</v>
      </c>
      <c r="C113">
        <f t="shared" si="5"/>
        <v>82</v>
      </c>
      <c r="E113">
        <f t="shared" si="6"/>
        <v>82</v>
      </c>
      <c r="F113" t="b">
        <f t="shared" si="7"/>
        <v>1</v>
      </c>
    </row>
    <row r="114" spans="1:6" x14ac:dyDescent="0.2">
      <c r="A114">
        <v>83</v>
      </c>
      <c r="B114" t="str">
        <f t="shared" si="4"/>
        <v>S</v>
      </c>
      <c r="C114">
        <f t="shared" si="5"/>
        <v>83</v>
      </c>
      <c r="E114">
        <f t="shared" si="6"/>
        <v>83</v>
      </c>
      <c r="F114" t="b">
        <f t="shared" si="7"/>
        <v>1</v>
      </c>
    </row>
    <row r="115" spans="1:6" x14ac:dyDescent="0.2">
      <c r="A115">
        <v>84</v>
      </c>
      <c r="B115" t="str">
        <f t="shared" si="4"/>
        <v>T</v>
      </c>
      <c r="C115">
        <f t="shared" si="5"/>
        <v>84</v>
      </c>
      <c r="E115">
        <f t="shared" si="6"/>
        <v>84</v>
      </c>
      <c r="F115" t="b">
        <f t="shared" si="7"/>
        <v>1</v>
      </c>
    </row>
    <row r="116" spans="1:6" x14ac:dyDescent="0.2">
      <c r="A116">
        <v>85</v>
      </c>
      <c r="B116" t="str">
        <f t="shared" si="4"/>
        <v>U</v>
      </c>
      <c r="C116">
        <f t="shared" si="5"/>
        <v>85</v>
      </c>
      <c r="E116">
        <f t="shared" si="6"/>
        <v>85</v>
      </c>
      <c r="F116" t="b">
        <f t="shared" si="7"/>
        <v>1</v>
      </c>
    </row>
    <row r="117" spans="1:6" x14ac:dyDescent="0.2">
      <c r="A117">
        <v>86</v>
      </c>
      <c r="B117" t="str">
        <f t="shared" si="4"/>
        <v>V</v>
      </c>
      <c r="C117">
        <f t="shared" si="5"/>
        <v>86</v>
      </c>
      <c r="E117">
        <f t="shared" si="6"/>
        <v>86</v>
      </c>
      <c r="F117" t="b">
        <f t="shared" si="7"/>
        <v>1</v>
      </c>
    </row>
    <row r="118" spans="1:6" x14ac:dyDescent="0.2">
      <c r="A118">
        <v>87</v>
      </c>
      <c r="B118" t="str">
        <f t="shared" si="4"/>
        <v>W</v>
      </c>
      <c r="C118">
        <f t="shared" si="5"/>
        <v>87</v>
      </c>
      <c r="E118">
        <f t="shared" si="6"/>
        <v>87</v>
      </c>
      <c r="F118" t="b">
        <f t="shared" si="7"/>
        <v>1</v>
      </c>
    </row>
    <row r="119" spans="1:6" x14ac:dyDescent="0.2">
      <c r="A119">
        <v>88</v>
      </c>
      <c r="B119" t="str">
        <f t="shared" si="4"/>
        <v>X</v>
      </c>
      <c r="C119">
        <f t="shared" si="5"/>
        <v>88</v>
      </c>
      <c r="E119">
        <f t="shared" si="6"/>
        <v>88</v>
      </c>
      <c r="F119" t="b">
        <f t="shared" si="7"/>
        <v>1</v>
      </c>
    </row>
    <row r="120" spans="1:6" x14ac:dyDescent="0.2">
      <c r="A120">
        <v>89</v>
      </c>
      <c r="B120" t="str">
        <f t="shared" si="4"/>
        <v>Y</v>
      </c>
      <c r="C120">
        <f t="shared" si="5"/>
        <v>89</v>
      </c>
      <c r="E120">
        <f t="shared" si="6"/>
        <v>89</v>
      </c>
      <c r="F120" t="b">
        <f t="shared" si="7"/>
        <v>1</v>
      </c>
    </row>
    <row r="121" spans="1:6" x14ac:dyDescent="0.2">
      <c r="A121">
        <v>90</v>
      </c>
      <c r="B121" t="str">
        <f t="shared" si="4"/>
        <v>Z</v>
      </c>
      <c r="C121">
        <f t="shared" si="5"/>
        <v>90</v>
      </c>
      <c r="E121">
        <f t="shared" si="6"/>
        <v>90</v>
      </c>
      <c r="F121" t="b">
        <f t="shared" si="7"/>
        <v>1</v>
      </c>
    </row>
    <row r="122" spans="1:6" x14ac:dyDescent="0.2">
      <c r="A122">
        <v>91</v>
      </c>
      <c r="B122" t="str">
        <f t="shared" si="4"/>
        <v>[</v>
      </c>
      <c r="C122">
        <f t="shared" si="5"/>
        <v>91</v>
      </c>
      <c r="E122">
        <f t="shared" si="6"/>
        <v>91</v>
      </c>
      <c r="F122" t="b">
        <f t="shared" si="7"/>
        <v>1</v>
      </c>
    </row>
    <row r="123" spans="1:6" x14ac:dyDescent="0.2">
      <c r="A123">
        <v>92</v>
      </c>
      <c r="B123" t="str">
        <f t="shared" si="4"/>
        <v>\</v>
      </c>
      <c r="C123">
        <f t="shared" si="5"/>
        <v>92</v>
      </c>
      <c r="E123">
        <f t="shared" si="6"/>
        <v>92</v>
      </c>
      <c r="F123" t="b">
        <f t="shared" si="7"/>
        <v>1</v>
      </c>
    </row>
    <row r="124" spans="1:6" x14ac:dyDescent="0.2">
      <c r="A124">
        <v>93</v>
      </c>
      <c r="B124" t="str">
        <f t="shared" si="4"/>
        <v>]</v>
      </c>
      <c r="C124">
        <f t="shared" si="5"/>
        <v>93</v>
      </c>
      <c r="E124">
        <f t="shared" si="6"/>
        <v>93</v>
      </c>
      <c r="F124" t="b">
        <f t="shared" si="7"/>
        <v>1</v>
      </c>
    </row>
    <row r="125" spans="1:6" x14ac:dyDescent="0.2">
      <c r="A125">
        <v>94</v>
      </c>
      <c r="B125" t="str">
        <f t="shared" si="4"/>
        <v>^</v>
      </c>
      <c r="C125">
        <f t="shared" si="5"/>
        <v>94</v>
      </c>
      <c r="E125">
        <f t="shared" si="6"/>
        <v>94</v>
      </c>
      <c r="F125" t="b">
        <f t="shared" si="7"/>
        <v>1</v>
      </c>
    </row>
    <row r="126" spans="1:6" x14ac:dyDescent="0.2">
      <c r="A126">
        <v>95</v>
      </c>
      <c r="B126" t="str">
        <f t="shared" si="4"/>
        <v>_</v>
      </c>
      <c r="C126">
        <f t="shared" si="5"/>
        <v>95</v>
      </c>
      <c r="E126">
        <f t="shared" si="6"/>
        <v>95</v>
      </c>
      <c r="F126" t="b">
        <f t="shared" si="7"/>
        <v>1</v>
      </c>
    </row>
    <row r="127" spans="1:6" x14ac:dyDescent="0.2">
      <c r="A127">
        <v>96</v>
      </c>
      <c r="B127" t="str">
        <f t="shared" si="4"/>
        <v>`</v>
      </c>
      <c r="C127">
        <f t="shared" si="5"/>
        <v>96</v>
      </c>
      <c r="E127">
        <f t="shared" si="6"/>
        <v>96</v>
      </c>
      <c r="F127" t="b">
        <f t="shared" si="7"/>
        <v>1</v>
      </c>
    </row>
    <row r="128" spans="1:6" x14ac:dyDescent="0.2">
      <c r="A128">
        <v>97</v>
      </c>
      <c r="B128" t="str">
        <f t="shared" si="4"/>
        <v>a</v>
      </c>
      <c r="C128">
        <f t="shared" si="5"/>
        <v>97</v>
      </c>
      <c r="E128">
        <f t="shared" si="6"/>
        <v>97</v>
      </c>
      <c r="F128" t="b">
        <f t="shared" si="7"/>
        <v>1</v>
      </c>
    </row>
    <row r="129" spans="1:6" x14ac:dyDescent="0.2">
      <c r="A129">
        <v>98</v>
      </c>
      <c r="B129" t="str">
        <f t="shared" si="4"/>
        <v>b</v>
      </c>
      <c r="C129">
        <f t="shared" si="5"/>
        <v>98</v>
      </c>
      <c r="E129">
        <f t="shared" si="6"/>
        <v>98</v>
      </c>
      <c r="F129" t="b">
        <f t="shared" si="7"/>
        <v>1</v>
      </c>
    </row>
    <row r="130" spans="1:6" x14ac:dyDescent="0.2">
      <c r="A130">
        <v>99</v>
      </c>
      <c r="B130" t="str">
        <f t="shared" si="4"/>
        <v>c</v>
      </c>
      <c r="C130">
        <f t="shared" si="5"/>
        <v>99</v>
      </c>
      <c r="E130">
        <f t="shared" si="6"/>
        <v>99</v>
      </c>
      <c r="F130" t="b">
        <f t="shared" si="7"/>
        <v>1</v>
      </c>
    </row>
    <row r="131" spans="1:6" x14ac:dyDescent="0.2">
      <c r="A131">
        <v>100</v>
      </c>
      <c r="B131" t="str">
        <f t="shared" si="4"/>
        <v>d</v>
      </c>
      <c r="C131">
        <f t="shared" si="5"/>
        <v>100</v>
      </c>
      <c r="E131">
        <f t="shared" si="6"/>
        <v>100</v>
      </c>
      <c r="F131" t="b">
        <f t="shared" si="7"/>
        <v>1</v>
      </c>
    </row>
    <row r="132" spans="1:6" x14ac:dyDescent="0.2">
      <c r="A132">
        <v>101</v>
      </c>
      <c r="B132" t="str">
        <f t="shared" si="4"/>
        <v>e</v>
      </c>
      <c r="C132">
        <f t="shared" si="5"/>
        <v>101</v>
      </c>
      <c r="E132">
        <f t="shared" si="6"/>
        <v>101</v>
      </c>
      <c r="F132" t="b">
        <f t="shared" si="7"/>
        <v>1</v>
      </c>
    </row>
    <row r="133" spans="1:6" x14ac:dyDescent="0.2">
      <c r="A133">
        <v>102</v>
      </c>
      <c r="B133" t="str">
        <f t="shared" si="4"/>
        <v>f</v>
      </c>
      <c r="C133">
        <f t="shared" si="5"/>
        <v>102</v>
      </c>
      <c r="E133">
        <f t="shared" si="6"/>
        <v>102</v>
      </c>
      <c r="F133" t="b">
        <f t="shared" si="7"/>
        <v>1</v>
      </c>
    </row>
    <row r="134" spans="1:6" x14ac:dyDescent="0.2">
      <c r="A134">
        <v>103</v>
      </c>
      <c r="B134" t="str">
        <f t="shared" si="4"/>
        <v>g</v>
      </c>
      <c r="C134">
        <f t="shared" si="5"/>
        <v>103</v>
      </c>
      <c r="E134">
        <f t="shared" si="6"/>
        <v>103</v>
      </c>
      <c r="F134" t="b">
        <f t="shared" si="7"/>
        <v>1</v>
      </c>
    </row>
    <row r="135" spans="1:6" x14ac:dyDescent="0.2">
      <c r="A135">
        <v>104</v>
      </c>
      <c r="B135" t="str">
        <f t="shared" si="4"/>
        <v>h</v>
      </c>
      <c r="C135">
        <f t="shared" si="5"/>
        <v>104</v>
      </c>
      <c r="E135">
        <f t="shared" si="6"/>
        <v>104</v>
      </c>
      <c r="F135" t="b">
        <f t="shared" si="7"/>
        <v>1</v>
      </c>
    </row>
    <row r="136" spans="1:6" x14ac:dyDescent="0.2">
      <c r="A136">
        <v>105</v>
      </c>
      <c r="B136" t="str">
        <f t="shared" si="4"/>
        <v>i</v>
      </c>
      <c r="C136">
        <f t="shared" si="5"/>
        <v>105</v>
      </c>
      <c r="E136">
        <f t="shared" si="6"/>
        <v>105</v>
      </c>
      <c r="F136" t="b">
        <f t="shared" si="7"/>
        <v>1</v>
      </c>
    </row>
    <row r="137" spans="1:6" x14ac:dyDescent="0.2">
      <c r="A137">
        <v>106</v>
      </c>
      <c r="B137" t="str">
        <f t="shared" si="4"/>
        <v>j</v>
      </c>
      <c r="C137">
        <f t="shared" si="5"/>
        <v>106</v>
      </c>
      <c r="E137">
        <f t="shared" si="6"/>
        <v>106</v>
      </c>
      <c r="F137" t="b">
        <f t="shared" si="7"/>
        <v>1</v>
      </c>
    </row>
    <row r="138" spans="1:6" x14ac:dyDescent="0.2">
      <c r="A138">
        <v>107</v>
      </c>
      <c r="B138" t="str">
        <f t="shared" si="4"/>
        <v>k</v>
      </c>
      <c r="C138">
        <f t="shared" si="5"/>
        <v>107</v>
      </c>
      <c r="E138">
        <f t="shared" si="6"/>
        <v>107</v>
      </c>
      <c r="F138" t="b">
        <f t="shared" si="7"/>
        <v>1</v>
      </c>
    </row>
    <row r="139" spans="1:6" x14ac:dyDescent="0.2">
      <c r="A139">
        <v>108</v>
      </c>
      <c r="B139" t="str">
        <f t="shared" si="4"/>
        <v>l</v>
      </c>
      <c r="C139">
        <f t="shared" si="5"/>
        <v>108</v>
      </c>
      <c r="E139">
        <f t="shared" si="6"/>
        <v>108</v>
      </c>
      <c r="F139" t="b">
        <f t="shared" si="7"/>
        <v>1</v>
      </c>
    </row>
    <row r="140" spans="1:6" x14ac:dyDescent="0.2">
      <c r="A140">
        <v>109</v>
      </c>
      <c r="B140" t="str">
        <f t="shared" si="4"/>
        <v>m</v>
      </c>
      <c r="C140">
        <f t="shared" si="5"/>
        <v>109</v>
      </c>
      <c r="E140">
        <f t="shared" si="6"/>
        <v>109</v>
      </c>
      <c r="F140" t="b">
        <f t="shared" si="7"/>
        <v>1</v>
      </c>
    </row>
    <row r="141" spans="1:6" x14ac:dyDescent="0.2">
      <c r="A141">
        <v>110</v>
      </c>
      <c r="B141" t="str">
        <f t="shared" si="4"/>
        <v>n</v>
      </c>
      <c r="C141">
        <f t="shared" si="5"/>
        <v>110</v>
      </c>
      <c r="E141">
        <f t="shared" si="6"/>
        <v>110</v>
      </c>
      <c r="F141" t="b">
        <f t="shared" si="7"/>
        <v>1</v>
      </c>
    </row>
    <row r="142" spans="1:6" x14ac:dyDescent="0.2">
      <c r="A142">
        <v>111</v>
      </c>
      <c r="B142" t="str">
        <f t="shared" si="4"/>
        <v>o</v>
      </c>
      <c r="C142">
        <f t="shared" si="5"/>
        <v>111</v>
      </c>
      <c r="E142">
        <f t="shared" si="6"/>
        <v>111</v>
      </c>
      <c r="F142" t="b">
        <f t="shared" si="7"/>
        <v>1</v>
      </c>
    </row>
    <row r="143" spans="1:6" x14ac:dyDescent="0.2">
      <c r="A143">
        <v>112</v>
      </c>
      <c r="B143" t="str">
        <f t="shared" si="4"/>
        <v>p</v>
      </c>
      <c r="C143">
        <f t="shared" si="5"/>
        <v>112</v>
      </c>
      <c r="E143">
        <f t="shared" si="6"/>
        <v>112</v>
      </c>
      <c r="F143" t="b">
        <f t="shared" si="7"/>
        <v>1</v>
      </c>
    </row>
    <row r="144" spans="1:6" x14ac:dyDescent="0.2">
      <c r="A144">
        <v>113</v>
      </c>
      <c r="B144" t="str">
        <f t="shared" si="4"/>
        <v>q</v>
      </c>
      <c r="C144">
        <f t="shared" si="5"/>
        <v>113</v>
      </c>
      <c r="E144">
        <f t="shared" si="6"/>
        <v>113</v>
      </c>
      <c r="F144" t="b">
        <f t="shared" si="7"/>
        <v>1</v>
      </c>
    </row>
    <row r="145" spans="1:6" x14ac:dyDescent="0.2">
      <c r="A145">
        <v>114</v>
      </c>
      <c r="B145" t="str">
        <f t="shared" si="4"/>
        <v>r</v>
      </c>
      <c r="C145">
        <f t="shared" si="5"/>
        <v>114</v>
      </c>
      <c r="E145">
        <f t="shared" si="6"/>
        <v>114</v>
      </c>
      <c r="F145" t="b">
        <f t="shared" si="7"/>
        <v>1</v>
      </c>
    </row>
    <row r="146" spans="1:6" x14ac:dyDescent="0.2">
      <c r="A146">
        <v>115</v>
      </c>
      <c r="B146" t="str">
        <f t="shared" si="4"/>
        <v>s</v>
      </c>
      <c r="C146">
        <f t="shared" si="5"/>
        <v>115</v>
      </c>
      <c r="E146">
        <f t="shared" si="6"/>
        <v>115</v>
      </c>
      <c r="F146" t="b">
        <f t="shared" si="7"/>
        <v>1</v>
      </c>
    </row>
    <row r="147" spans="1:6" x14ac:dyDescent="0.2">
      <c r="A147">
        <v>116</v>
      </c>
      <c r="B147" t="str">
        <f t="shared" si="4"/>
        <v>t</v>
      </c>
      <c r="C147">
        <f t="shared" si="5"/>
        <v>116</v>
      </c>
      <c r="E147">
        <f t="shared" si="6"/>
        <v>116</v>
      </c>
      <c r="F147" t="b">
        <f t="shared" si="7"/>
        <v>1</v>
      </c>
    </row>
    <row r="148" spans="1:6" x14ac:dyDescent="0.2">
      <c r="A148">
        <v>117</v>
      </c>
      <c r="B148" t="str">
        <f t="shared" si="4"/>
        <v>u</v>
      </c>
      <c r="C148">
        <f t="shared" si="5"/>
        <v>117</v>
      </c>
      <c r="E148">
        <f t="shared" si="6"/>
        <v>117</v>
      </c>
      <c r="F148" t="b">
        <f t="shared" si="7"/>
        <v>1</v>
      </c>
    </row>
    <row r="149" spans="1:6" x14ac:dyDescent="0.2">
      <c r="A149">
        <v>118</v>
      </c>
      <c r="B149" t="str">
        <f t="shared" si="4"/>
        <v>v</v>
      </c>
      <c r="C149">
        <f t="shared" si="5"/>
        <v>118</v>
      </c>
      <c r="E149">
        <f t="shared" si="6"/>
        <v>118</v>
      </c>
      <c r="F149" t="b">
        <f t="shared" si="7"/>
        <v>1</v>
      </c>
    </row>
    <row r="150" spans="1:6" x14ac:dyDescent="0.2">
      <c r="A150">
        <v>119</v>
      </c>
      <c r="B150" t="str">
        <f t="shared" si="4"/>
        <v>w</v>
      </c>
      <c r="C150">
        <f t="shared" si="5"/>
        <v>119</v>
      </c>
      <c r="E150">
        <f t="shared" si="6"/>
        <v>119</v>
      </c>
      <c r="F150" t="b">
        <f t="shared" si="7"/>
        <v>1</v>
      </c>
    </row>
    <row r="151" spans="1:6" x14ac:dyDescent="0.2">
      <c r="A151">
        <v>120</v>
      </c>
      <c r="B151" t="str">
        <f t="shared" si="4"/>
        <v>x</v>
      </c>
      <c r="C151">
        <f t="shared" si="5"/>
        <v>120</v>
      </c>
      <c r="E151">
        <f t="shared" si="6"/>
        <v>120</v>
      </c>
      <c r="F151" t="b">
        <f t="shared" si="7"/>
        <v>1</v>
      </c>
    </row>
    <row r="152" spans="1:6" x14ac:dyDescent="0.2">
      <c r="A152">
        <v>121</v>
      </c>
      <c r="B152" t="str">
        <f t="shared" si="4"/>
        <v>y</v>
      </c>
      <c r="C152">
        <f t="shared" si="5"/>
        <v>121</v>
      </c>
      <c r="E152">
        <f t="shared" si="6"/>
        <v>121</v>
      </c>
      <c r="F152" t="b">
        <f t="shared" si="7"/>
        <v>1</v>
      </c>
    </row>
    <row r="153" spans="1:6" x14ac:dyDescent="0.2">
      <c r="A153">
        <v>122</v>
      </c>
      <c r="B153" t="str">
        <f t="shared" si="4"/>
        <v>z</v>
      </c>
      <c r="C153">
        <f t="shared" si="5"/>
        <v>122</v>
      </c>
      <c r="E153">
        <f t="shared" si="6"/>
        <v>122</v>
      </c>
      <c r="F153" t="b">
        <f t="shared" si="7"/>
        <v>1</v>
      </c>
    </row>
    <row r="154" spans="1:6" x14ac:dyDescent="0.2">
      <c r="A154">
        <v>123</v>
      </c>
      <c r="B154" t="str">
        <f t="shared" si="4"/>
        <v>{</v>
      </c>
      <c r="C154">
        <f t="shared" si="5"/>
        <v>123</v>
      </c>
      <c r="E154">
        <f t="shared" si="6"/>
        <v>123</v>
      </c>
      <c r="F154" t="b">
        <f t="shared" si="7"/>
        <v>1</v>
      </c>
    </row>
    <row r="155" spans="1:6" x14ac:dyDescent="0.2">
      <c r="A155">
        <v>124</v>
      </c>
      <c r="B155" t="str">
        <f t="shared" si="4"/>
        <v>|</v>
      </c>
      <c r="C155">
        <f t="shared" si="5"/>
        <v>124</v>
      </c>
      <c r="E155">
        <f t="shared" si="6"/>
        <v>124</v>
      </c>
      <c r="F155" t="b">
        <f t="shared" si="7"/>
        <v>1</v>
      </c>
    </row>
    <row r="156" spans="1:6" x14ac:dyDescent="0.2">
      <c r="A156">
        <v>125</v>
      </c>
      <c r="B156" t="str">
        <f t="shared" si="4"/>
        <v>}</v>
      </c>
      <c r="C156">
        <f t="shared" si="5"/>
        <v>125</v>
      </c>
      <c r="E156">
        <f t="shared" si="6"/>
        <v>125</v>
      </c>
      <c r="F156" t="b">
        <f t="shared" si="7"/>
        <v>1</v>
      </c>
    </row>
    <row r="157" spans="1:6" x14ac:dyDescent="0.2">
      <c r="A157">
        <v>126</v>
      </c>
      <c r="B157" t="str">
        <f t="shared" si="4"/>
        <v>~</v>
      </c>
      <c r="C157">
        <f t="shared" si="5"/>
        <v>126</v>
      </c>
      <c r="E157">
        <f t="shared" si="6"/>
        <v>126</v>
      </c>
      <c r="F157" t="b">
        <f t="shared" si="7"/>
        <v>1</v>
      </c>
    </row>
    <row r="158" spans="1:6" x14ac:dyDescent="0.2">
      <c r="A158">
        <v>127</v>
      </c>
      <c r="B158" t="str">
        <f t="shared" si="4"/>
        <v></v>
      </c>
      <c r="C158">
        <f t="shared" si="5"/>
        <v>127</v>
      </c>
      <c r="E158">
        <f t="shared" si="6"/>
        <v>127</v>
      </c>
      <c r="F158" t="b">
        <f t="shared" si="7"/>
        <v>1</v>
      </c>
    </row>
    <row r="159" spans="1:6" x14ac:dyDescent="0.2">
      <c r="A159">
        <v>128</v>
      </c>
      <c r="B159" t="str">
        <f t="shared" si="4"/>
        <v>Ä</v>
      </c>
      <c r="C159">
        <f t="shared" si="5"/>
        <v>128</v>
      </c>
      <c r="E159">
        <f t="shared" si="6"/>
        <v>196</v>
      </c>
      <c r="F159" t="b">
        <f t="shared" si="7"/>
        <v>1</v>
      </c>
    </row>
    <row r="160" spans="1:6" x14ac:dyDescent="0.2">
      <c r="A160">
        <v>129</v>
      </c>
      <c r="B160" t="str">
        <f t="shared" si="4"/>
        <v>Å</v>
      </c>
      <c r="C160">
        <f t="shared" si="5"/>
        <v>129</v>
      </c>
      <c r="E160">
        <f t="shared" si="6"/>
        <v>197</v>
      </c>
      <c r="F160" t="b">
        <f t="shared" si="7"/>
        <v>1</v>
      </c>
    </row>
    <row r="161" spans="1:6" x14ac:dyDescent="0.2">
      <c r="A161">
        <v>130</v>
      </c>
      <c r="B161" t="str">
        <f t="shared" ref="B161:B224" si="8">CHAR(A161)</f>
        <v>Ç</v>
      </c>
      <c r="C161">
        <f t="shared" ref="C161:C224" si="9">CODE(B161)</f>
        <v>130</v>
      </c>
      <c r="E161">
        <f t="shared" ref="E161:E224" si="10">_xlfn.UNICODE(B161)</f>
        <v>199</v>
      </c>
      <c r="F161" t="b">
        <f t="shared" ref="F161:F224" si="11">_xlfn.UNICHAR(E161)=B161</f>
        <v>1</v>
      </c>
    </row>
    <row r="162" spans="1:6" x14ac:dyDescent="0.2">
      <c r="A162">
        <v>131</v>
      </c>
      <c r="B162" t="str">
        <f t="shared" si="8"/>
        <v>É</v>
      </c>
      <c r="C162">
        <f t="shared" si="9"/>
        <v>131</v>
      </c>
      <c r="E162">
        <f t="shared" si="10"/>
        <v>201</v>
      </c>
      <c r="F162" t="b">
        <f t="shared" si="11"/>
        <v>1</v>
      </c>
    </row>
    <row r="163" spans="1:6" x14ac:dyDescent="0.2">
      <c r="A163">
        <v>132</v>
      </c>
      <c r="B163" t="str">
        <f t="shared" si="8"/>
        <v>Ñ</v>
      </c>
      <c r="C163">
        <f t="shared" si="9"/>
        <v>132</v>
      </c>
      <c r="E163">
        <f t="shared" si="10"/>
        <v>209</v>
      </c>
      <c r="F163" t="b">
        <f t="shared" si="11"/>
        <v>1</v>
      </c>
    </row>
    <row r="164" spans="1:6" x14ac:dyDescent="0.2">
      <c r="A164">
        <v>133</v>
      </c>
      <c r="B164" t="str">
        <f t="shared" si="8"/>
        <v>Ö</v>
      </c>
      <c r="C164">
        <f t="shared" si="9"/>
        <v>133</v>
      </c>
      <c r="E164">
        <f t="shared" si="10"/>
        <v>214</v>
      </c>
      <c r="F164" t="b">
        <f t="shared" si="11"/>
        <v>1</v>
      </c>
    </row>
    <row r="165" spans="1:6" x14ac:dyDescent="0.2">
      <c r="A165">
        <v>134</v>
      </c>
      <c r="B165" t="str">
        <f t="shared" si="8"/>
        <v>Ü</v>
      </c>
      <c r="C165">
        <f t="shared" si="9"/>
        <v>134</v>
      </c>
      <c r="E165">
        <f t="shared" si="10"/>
        <v>220</v>
      </c>
      <c r="F165" t="b">
        <f t="shared" si="11"/>
        <v>1</v>
      </c>
    </row>
    <row r="166" spans="1:6" x14ac:dyDescent="0.2">
      <c r="A166">
        <v>135</v>
      </c>
      <c r="B166" t="str">
        <f t="shared" si="8"/>
        <v>á</v>
      </c>
      <c r="C166">
        <f t="shared" si="9"/>
        <v>135</v>
      </c>
      <c r="E166">
        <f t="shared" si="10"/>
        <v>225</v>
      </c>
      <c r="F166" t="b">
        <f t="shared" si="11"/>
        <v>1</v>
      </c>
    </row>
    <row r="167" spans="1:6" x14ac:dyDescent="0.2">
      <c r="A167">
        <v>136</v>
      </c>
      <c r="B167" t="str">
        <f t="shared" si="8"/>
        <v>à</v>
      </c>
      <c r="C167">
        <f t="shared" si="9"/>
        <v>136</v>
      </c>
      <c r="E167">
        <f t="shared" si="10"/>
        <v>224</v>
      </c>
      <c r="F167" t="b">
        <f t="shared" si="11"/>
        <v>1</v>
      </c>
    </row>
    <row r="168" spans="1:6" x14ac:dyDescent="0.2">
      <c r="A168">
        <v>137</v>
      </c>
      <c r="B168" t="str">
        <f t="shared" si="8"/>
        <v>â</v>
      </c>
      <c r="C168">
        <f t="shared" si="9"/>
        <v>137</v>
      </c>
      <c r="E168">
        <f t="shared" si="10"/>
        <v>226</v>
      </c>
      <c r="F168" t="b">
        <f t="shared" si="11"/>
        <v>1</v>
      </c>
    </row>
    <row r="169" spans="1:6" x14ac:dyDescent="0.2">
      <c r="A169">
        <v>138</v>
      </c>
      <c r="B169" t="str">
        <f t="shared" si="8"/>
        <v>ä</v>
      </c>
      <c r="C169">
        <f t="shared" si="9"/>
        <v>138</v>
      </c>
      <c r="E169">
        <f t="shared" si="10"/>
        <v>228</v>
      </c>
      <c r="F169" t="b">
        <f t="shared" si="11"/>
        <v>1</v>
      </c>
    </row>
    <row r="170" spans="1:6" x14ac:dyDescent="0.2">
      <c r="A170">
        <v>139</v>
      </c>
      <c r="B170" t="str">
        <f t="shared" si="8"/>
        <v>ã</v>
      </c>
      <c r="C170">
        <f t="shared" si="9"/>
        <v>139</v>
      </c>
      <c r="E170">
        <f t="shared" si="10"/>
        <v>227</v>
      </c>
      <c r="F170" t="b">
        <f t="shared" si="11"/>
        <v>1</v>
      </c>
    </row>
    <row r="171" spans="1:6" x14ac:dyDescent="0.2">
      <c r="A171">
        <v>140</v>
      </c>
      <c r="B171" t="str">
        <f t="shared" si="8"/>
        <v>å</v>
      </c>
      <c r="C171">
        <f t="shared" si="9"/>
        <v>140</v>
      </c>
      <c r="E171">
        <f t="shared" si="10"/>
        <v>229</v>
      </c>
      <c r="F171" t="b">
        <f t="shared" si="11"/>
        <v>1</v>
      </c>
    </row>
    <row r="172" spans="1:6" x14ac:dyDescent="0.2">
      <c r="A172">
        <v>141</v>
      </c>
      <c r="B172" t="str">
        <f t="shared" si="8"/>
        <v>ç</v>
      </c>
      <c r="C172">
        <f t="shared" si="9"/>
        <v>141</v>
      </c>
      <c r="E172">
        <f t="shared" si="10"/>
        <v>231</v>
      </c>
      <c r="F172" t="b">
        <f t="shared" si="11"/>
        <v>1</v>
      </c>
    </row>
    <row r="173" spans="1:6" x14ac:dyDescent="0.2">
      <c r="A173">
        <v>142</v>
      </c>
      <c r="B173" t="str">
        <f t="shared" si="8"/>
        <v>é</v>
      </c>
      <c r="C173">
        <f t="shared" si="9"/>
        <v>142</v>
      </c>
      <c r="E173">
        <f t="shared" si="10"/>
        <v>233</v>
      </c>
      <c r="F173" t="b">
        <f t="shared" si="11"/>
        <v>1</v>
      </c>
    </row>
    <row r="174" spans="1:6" x14ac:dyDescent="0.2">
      <c r="A174">
        <v>143</v>
      </c>
      <c r="B174" t="str">
        <f t="shared" si="8"/>
        <v>è</v>
      </c>
      <c r="C174">
        <f t="shared" si="9"/>
        <v>143</v>
      </c>
      <c r="E174">
        <f t="shared" si="10"/>
        <v>232</v>
      </c>
      <c r="F174" t="b">
        <f t="shared" si="11"/>
        <v>1</v>
      </c>
    </row>
    <row r="175" spans="1:6" x14ac:dyDescent="0.2">
      <c r="A175">
        <v>144</v>
      </c>
      <c r="B175" t="str">
        <f t="shared" si="8"/>
        <v>ê</v>
      </c>
      <c r="C175">
        <f t="shared" si="9"/>
        <v>144</v>
      </c>
      <c r="E175">
        <f t="shared" si="10"/>
        <v>234</v>
      </c>
      <c r="F175" t="b">
        <f t="shared" si="11"/>
        <v>1</v>
      </c>
    </row>
    <row r="176" spans="1:6" x14ac:dyDescent="0.2">
      <c r="A176">
        <v>145</v>
      </c>
      <c r="B176" t="str">
        <f t="shared" si="8"/>
        <v>ë</v>
      </c>
      <c r="C176">
        <f t="shared" si="9"/>
        <v>145</v>
      </c>
      <c r="E176">
        <f t="shared" si="10"/>
        <v>235</v>
      </c>
      <c r="F176" t="b">
        <f t="shared" si="11"/>
        <v>1</v>
      </c>
    </row>
    <row r="177" spans="1:6" x14ac:dyDescent="0.2">
      <c r="A177">
        <v>146</v>
      </c>
      <c r="B177" t="str">
        <f t="shared" si="8"/>
        <v>í</v>
      </c>
      <c r="C177">
        <f t="shared" si="9"/>
        <v>146</v>
      </c>
      <c r="E177">
        <f t="shared" si="10"/>
        <v>237</v>
      </c>
      <c r="F177" t="b">
        <f t="shared" si="11"/>
        <v>1</v>
      </c>
    </row>
    <row r="178" spans="1:6" x14ac:dyDescent="0.2">
      <c r="A178">
        <v>147</v>
      </c>
      <c r="B178" t="str">
        <f t="shared" si="8"/>
        <v>ì</v>
      </c>
      <c r="C178">
        <f t="shared" si="9"/>
        <v>147</v>
      </c>
      <c r="E178">
        <f t="shared" si="10"/>
        <v>236</v>
      </c>
      <c r="F178" t="b">
        <f t="shared" si="11"/>
        <v>1</v>
      </c>
    </row>
    <row r="179" spans="1:6" x14ac:dyDescent="0.2">
      <c r="A179">
        <v>148</v>
      </c>
      <c r="B179" t="str">
        <f t="shared" si="8"/>
        <v>î</v>
      </c>
      <c r="C179">
        <f t="shared" si="9"/>
        <v>148</v>
      </c>
      <c r="E179">
        <f t="shared" si="10"/>
        <v>238</v>
      </c>
      <c r="F179" t="b">
        <f t="shared" si="11"/>
        <v>1</v>
      </c>
    </row>
    <row r="180" spans="1:6" x14ac:dyDescent="0.2">
      <c r="A180">
        <v>149</v>
      </c>
      <c r="B180" t="str">
        <f t="shared" si="8"/>
        <v>ï</v>
      </c>
      <c r="C180">
        <f t="shared" si="9"/>
        <v>149</v>
      </c>
      <c r="E180">
        <f t="shared" si="10"/>
        <v>239</v>
      </c>
      <c r="F180" t="b">
        <f t="shared" si="11"/>
        <v>1</v>
      </c>
    </row>
    <row r="181" spans="1:6" x14ac:dyDescent="0.2">
      <c r="A181">
        <v>150</v>
      </c>
      <c r="B181" t="str">
        <f t="shared" si="8"/>
        <v>ñ</v>
      </c>
      <c r="C181">
        <f t="shared" si="9"/>
        <v>150</v>
      </c>
      <c r="E181">
        <f t="shared" si="10"/>
        <v>241</v>
      </c>
      <c r="F181" t="b">
        <f t="shared" si="11"/>
        <v>1</v>
      </c>
    </row>
    <row r="182" spans="1:6" x14ac:dyDescent="0.2">
      <c r="A182">
        <v>151</v>
      </c>
      <c r="B182" t="str">
        <f t="shared" si="8"/>
        <v>ó</v>
      </c>
      <c r="C182">
        <f t="shared" si="9"/>
        <v>151</v>
      </c>
      <c r="E182">
        <f t="shared" si="10"/>
        <v>243</v>
      </c>
      <c r="F182" t="b">
        <f t="shared" si="11"/>
        <v>1</v>
      </c>
    </row>
    <row r="183" spans="1:6" x14ac:dyDescent="0.2">
      <c r="A183">
        <v>152</v>
      </c>
      <c r="B183" t="str">
        <f t="shared" si="8"/>
        <v>ò</v>
      </c>
      <c r="C183">
        <f t="shared" si="9"/>
        <v>152</v>
      </c>
      <c r="E183">
        <f t="shared" si="10"/>
        <v>242</v>
      </c>
      <c r="F183" t="b">
        <f t="shared" si="11"/>
        <v>1</v>
      </c>
    </row>
    <row r="184" spans="1:6" x14ac:dyDescent="0.2">
      <c r="A184">
        <v>153</v>
      </c>
      <c r="B184" t="str">
        <f t="shared" si="8"/>
        <v>ô</v>
      </c>
      <c r="C184">
        <f t="shared" si="9"/>
        <v>153</v>
      </c>
      <c r="E184">
        <f t="shared" si="10"/>
        <v>244</v>
      </c>
      <c r="F184" t="b">
        <f t="shared" si="11"/>
        <v>1</v>
      </c>
    </row>
    <row r="185" spans="1:6" x14ac:dyDescent="0.2">
      <c r="A185">
        <v>154</v>
      </c>
      <c r="B185" t="str">
        <f t="shared" si="8"/>
        <v>ö</v>
      </c>
      <c r="C185">
        <f t="shared" si="9"/>
        <v>154</v>
      </c>
      <c r="E185">
        <f t="shared" si="10"/>
        <v>246</v>
      </c>
      <c r="F185" t="b">
        <f t="shared" si="11"/>
        <v>1</v>
      </c>
    </row>
    <row r="186" spans="1:6" x14ac:dyDescent="0.2">
      <c r="A186">
        <v>155</v>
      </c>
      <c r="B186" t="str">
        <f t="shared" si="8"/>
        <v>õ</v>
      </c>
      <c r="C186">
        <f t="shared" si="9"/>
        <v>155</v>
      </c>
      <c r="E186">
        <f t="shared" si="10"/>
        <v>245</v>
      </c>
      <c r="F186" t="b">
        <f t="shared" si="11"/>
        <v>1</v>
      </c>
    </row>
    <row r="187" spans="1:6" x14ac:dyDescent="0.2">
      <c r="A187">
        <v>156</v>
      </c>
      <c r="B187" t="str">
        <f t="shared" si="8"/>
        <v>ú</v>
      </c>
      <c r="C187">
        <f t="shared" si="9"/>
        <v>156</v>
      </c>
      <c r="E187">
        <f t="shared" si="10"/>
        <v>250</v>
      </c>
      <c r="F187" t="b">
        <f t="shared" si="11"/>
        <v>1</v>
      </c>
    </row>
    <row r="188" spans="1:6" x14ac:dyDescent="0.2">
      <c r="A188">
        <v>157</v>
      </c>
      <c r="B188" t="str">
        <f t="shared" si="8"/>
        <v>ù</v>
      </c>
      <c r="C188">
        <f t="shared" si="9"/>
        <v>157</v>
      </c>
      <c r="E188">
        <f t="shared" si="10"/>
        <v>249</v>
      </c>
      <c r="F188" t="b">
        <f t="shared" si="11"/>
        <v>1</v>
      </c>
    </row>
    <row r="189" spans="1:6" x14ac:dyDescent="0.2">
      <c r="A189">
        <v>158</v>
      </c>
      <c r="B189" t="str">
        <f t="shared" si="8"/>
        <v>û</v>
      </c>
      <c r="C189">
        <f t="shared" si="9"/>
        <v>158</v>
      </c>
      <c r="E189">
        <f t="shared" si="10"/>
        <v>251</v>
      </c>
      <c r="F189" t="b">
        <f t="shared" si="11"/>
        <v>1</v>
      </c>
    </row>
    <row r="190" spans="1:6" x14ac:dyDescent="0.2">
      <c r="A190">
        <v>159</v>
      </c>
      <c r="B190" t="str">
        <f t="shared" si="8"/>
        <v>ü</v>
      </c>
      <c r="C190">
        <f t="shared" si="9"/>
        <v>159</v>
      </c>
      <c r="E190">
        <f t="shared" si="10"/>
        <v>252</v>
      </c>
      <c r="F190" t="b">
        <f t="shared" si="11"/>
        <v>1</v>
      </c>
    </row>
    <row r="191" spans="1:6" x14ac:dyDescent="0.2">
      <c r="A191">
        <v>160</v>
      </c>
      <c r="B191" t="str">
        <f t="shared" si="8"/>
        <v>†</v>
      </c>
      <c r="C191">
        <f t="shared" si="9"/>
        <v>160</v>
      </c>
      <c r="E191">
        <f t="shared" si="10"/>
        <v>8224</v>
      </c>
      <c r="F191" t="b">
        <f t="shared" si="11"/>
        <v>1</v>
      </c>
    </row>
    <row r="192" spans="1:6" x14ac:dyDescent="0.2">
      <c r="A192">
        <v>161</v>
      </c>
      <c r="B192" t="str">
        <f t="shared" si="8"/>
        <v>°</v>
      </c>
      <c r="C192">
        <f t="shared" si="9"/>
        <v>161</v>
      </c>
      <c r="E192">
        <f t="shared" si="10"/>
        <v>176</v>
      </c>
      <c r="F192" t="b">
        <f t="shared" si="11"/>
        <v>1</v>
      </c>
    </row>
    <row r="193" spans="1:6" x14ac:dyDescent="0.2">
      <c r="A193">
        <v>162</v>
      </c>
      <c r="B193" t="str">
        <f t="shared" si="8"/>
        <v>¢</v>
      </c>
      <c r="C193">
        <f t="shared" si="9"/>
        <v>162</v>
      </c>
      <c r="E193">
        <f t="shared" si="10"/>
        <v>162</v>
      </c>
      <c r="F193" t="b">
        <f t="shared" si="11"/>
        <v>1</v>
      </c>
    </row>
    <row r="194" spans="1:6" x14ac:dyDescent="0.2">
      <c r="A194">
        <v>163</v>
      </c>
      <c r="B194" t="str">
        <f t="shared" si="8"/>
        <v>£</v>
      </c>
      <c r="C194">
        <f t="shared" si="9"/>
        <v>163</v>
      </c>
      <c r="E194">
        <f t="shared" si="10"/>
        <v>163</v>
      </c>
      <c r="F194" t="b">
        <f t="shared" si="11"/>
        <v>1</v>
      </c>
    </row>
    <row r="195" spans="1:6" x14ac:dyDescent="0.2">
      <c r="A195">
        <v>164</v>
      </c>
      <c r="B195" t="str">
        <f t="shared" si="8"/>
        <v>§</v>
      </c>
      <c r="C195">
        <f t="shared" si="9"/>
        <v>164</v>
      </c>
      <c r="E195">
        <f t="shared" si="10"/>
        <v>167</v>
      </c>
      <c r="F195" t="b">
        <f t="shared" si="11"/>
        <v>1</v>
      </c>
    </row>
    <row r="196" spans="1:6" x14ac:dyDescent="0.2">
      <c r="A196">
        <v>165</v>
      </c>
      <c r="B196" t="str">
        <f t="shared" si="8"/>
        <v>•</v>
      </c>
      <c r="C196">
        <f t="shared" si="9"/>
        <v>165</v>
      </c>
      <c r="E196">
        <f t="shared" si="10"/>
        <v>8226</v>
      </c>
      <c r="F196" t="b">
        <f t="shared" si="11"/>
        <v>1</v>
      </c>
    </row>
    <row r="197" spans="1:6" x14ac:dyDescent="0.2">
      <c r="A197">
        <v>166</v>
      </c>
      <c r="B197" t="str">
        <f t="shared" si="8"/>
        <v>¶</v>
      </c>
      <c r="C197">
        <f t="shared" si="9"/>
        <v>166</v>
      </c>
      <c r="E197">
        <f t="shared" si="10"/>
        <v>182</v>
      </c>
      <c r="F197" t="b">
        <f t="shared" si="11"/>
        <v>1</v>
      </c>
    </row>
    <row r="198" spans="1:6" x14ac:dyDescent="0.2">
      <c r="A198">
        <v>167</v>
      </c>
      <c r="B198" t="str">
        <f t="shared" si="8"/>
        <v>ß</v>
      </c>
      <c r="C198">
        <f t="shared" si="9"/>
        <v>167</v>
      </c>
      <c r="E198">
        <f t="shared" si="10"/>
        <v>223</v>
      </c>
      <c r="F198" t="b">
        <f t="shared" si="11"/>
        <v>1</v>
      </c>
    </row>
    <row r="199" spans="1:6" x14ac:dyDescent="0.2">
      <c r="A199">
        <v>168</v>
      </c>
      <c r="B199" t="str">
        <f t="shared" si="8"/>
        <v>®</v>
      </c>
      <c r="C199">
        <f t="shared" si="9"/>
        <v>168</v>
      </c>
      <c r="E199">
        <f t="shared" si="10"/>
        <v>174</v>
      </c>
      <c r="F199" t="b">
        <f t="shared" si="11"/>
        <v>1</v>
      </c>
    </row>
    <row r="200" spans="1:6" x14ac:dyDescent="0.2">
      <c r="A200">
        <v>169</v>
      </c>
      <c r="B200" t="str">
        <f t="shared" si="8"/>
        <v>©</v>
      </c>
      <c r="C200">
        <f t="shared" si="9"/>
        <v>169</v>
      </c>
      <c r="E200">
        <f t="shared" si="10"/>
        <v>169</v>
      </c>
      <c r="F200" t="b">
        <f t="shared" si="11"/>
        <v>1</v>
      </c>
    </row>
    <row r="201" spans="1:6" x14ac:dyDescent="0.2">
      <c r="A201">
        <v>170</v>
      </c>
      <c r="B201" t="str">
        <f t="shared" si="8"/>
        <v>™</v>
      </c>
      <c r="C201">
        <f t="shared" si="9"/>
        <v>170</v>
      </c>
      <c r="E201">
        <f>_xlfn.UNICODE(B201)</f>
        <v>8482</v>
      </c>
      <c r="F201" t="b">
        <f t="shared" si="11"/>
        <v>1</v>
      </c>
    </row>
    <row r="202" spans="1:6" x14ac:dyDescent="0.2">
      <c r="A202">
        <v>171</v>
      </c>
      <c r="B202" t="str">
        <f t="shared" si="8"/>
        <v>´</v>
      </c>
      <c r="C202">
        <f t="shared" si="9"/>
        <v>171</v>
      </c>
      <c r="E202">
        <f t="shared" si="10"/>
        <v>180</v>
      </c>
      <c r="F202" t="b">
        <f t="shared" si="11"/>
        <v>1</v>
      </c>
    </row>
    <row r="203" spans="1:6" x14ac:dyDescent="0.2">
      <c r="A203">
        <v>172</v>
      </c>
      <c r="B203" t="str">
        <f t="shared" si="8"/>
        <v>¨</v>
      </c>
      <c r="C203">
        <f t="shared" si="9"/>
        <v>172</v>
      </c>
      <c r="E203">
        <f t="shared" si="10"/>
        <v>168</v>
      </c>
      <c r="F203" t="b">
        <f t="shared" si="11"/>
        <v>1</v>
      </c>
    </row>
    <row r="204" spans="1:6" x14ac:dyDescent="0.2">
      <c r="A204">
        <v>173</v>
      </c>
      <c r="B204" t="str">
        <f t="shared" si="8"/>
        <v>≠</v>
      </c>
      <c r="C204">
        <f t="shared" si="9"/>
        <v>173</v>
      </c>
      <c r="E204">
        <f t="shared" si="10"/>
        <v>8800</v>
      </c>
      <c r="F204" t="b">
        <f t="shared" si="11"/>
        <v>1</v>
      </c>
    </row>
    <row r="205" spans="1:6" x14ac:dyDescent="0.2">
      <c r="A205">
        <v>174</v>
      </c>
      <c r="B205" t="str">
        <f t="shared" si="8"/>
        <v>Æ</v>
      </c>
      <c r="C205">
        <f t="shared" si="9"/>
        <v>174</v>
      </c>
      <c r="E205">
        <f t="shared" si="10"/>
        <v>198</v>
      </c>
      <c r="F205" t="b">
        <f t="shared" si="11"/>
        <v>1</v>
      </c>
    </row>
    <row r="206" spans="1:6" x14ac:dyDescent="0.2">
      <c r="A206">
        <v>175</v>
      </c>
      <c r="B206" t="str">
        <f t="shared" si="8"/>
        <v>Ø</v>
      </c>
      <c r="C206">
        <f t="shared" si="9"/>
        <v>175</v>
      </c>
      <c r="E206">
        <f t="shared" si="10"/>
        <v>216</v>
      </c>
      <c r="F206" t="b">
        <f t="shared" si="11"/>
        <v>1</v>
      </c>
    </row>
    <row r="207" spans="1:6" x14ac:dyDescent="0.2">
      <c r="A207">
        <v>176</v>
      </c>
      <c r="B207" t="str">
        <f t="shared" si="8"/>
        <v>∞</v>
      </c>
      <c r="C207">
        <f t="shared" si="9"/>
        <v>176</v>
      </c>
      <c r="E207">
        <f t="shared" si="10"/>
        <v>8734</v>
      </c>
      <c r="F207" t="b">
        <f t="shared" si="11"/>
        <v>1</v>
      </c>
    </row>
    <row r="208" spans="1:6" x14ac:dyDescent="0.2">
      <c r="A208">
        <v>177</v>
      </c>
      <c r="B208" t="str">
        <f t="shared" si="8"/>
        <v>±</v>
      </c>
      <c r="C208">
        <f t="shared" si="9"/>
        <v>177</v>
      </c>
      <c r="E208">
        <f t="shared" si="10"/>
        <v>177</v>
      </c>
      <c r="F208" t="b">
        <f t="shared" si="11"/>
        <v>1</v>
      </c>
    </row>
    <row r="209" spans="1:6" x14ac:dyDescent="0.2">
      <c r="A209">
        <v>178</v>
      </c>
      <c r="B209" t="str">
        <f t="shared" si="8"/>
        <v>≤</v>
      </c>
      <c r="C209">
        <f t="shared" si="9"/>
        <v>178</v>
      </c>
      <c r="E209">
        <f t="shared" si="10"/>
        <v>8804</v>
      </c>
      <c r="F209" t="b">
        <f t="shared" si="11"/>
        <v>1</v>
      </c>
    </row>
    <row r="210" spans="1:6" x14ac:dyDescent="0.2">
      <c r="A210">
        <v>179</v>
      </c>
      <c r="B210" t="str">
        <f t="shared" si="8"/>
        <v>≥</v>
      </c>
      <c r="C210">
        <f t="shared" si="9"/>
        <v>179</v>
      </c>
      <c r="E210">
        <f t="shared" si="10"/>
        <v>8805</v>
      </c>
      <c r="F210" t="b">
        <f t="shared" si="11"/>
        <v>1</v>
      </c>
    </row>
    <row r="211" spans="1:6" x14ac:dyDescent="0.2">
      <c r="A211">
        <v>180</v>
      </c>
      <c r="B211" t="str">
        <f t="shared" si="8"/>
        <v>¥</v>
      </c>
      <c r="C211">
        <f t="shared" si="9"/>
        <v>180</v>
      </c>
      <c r="E211">
        <f t="shared" si="10"/>
        <v>165</v>
      </c>
      <c r="F211" t="b">
        <f t="shared" si="11"/>
        <v>1</v>
      </c>
    </row>
    <row r="212" spans="1:6" x14ac:dyDescent="0.2">
      <c r="A212">
        <v>181</v>
      </c>
      <c r="B212" t="str">
        <f t="shared" si="8"/>
        <v>µ</v>
      </c>
      <c r="C212">
        <f t="shared" si="9"/>
        <v>181</v>
      </c>
      <c r="E212">
        <f t="shared" si="10"/>
        <v>181</v>
      </c>
      <c r="F212" t="b">
        <f t="shared" si="11"/>
        <v>1</v>
      </c>
    </row>
    <row r="213" spans="1:6" x14ac:dyDescent="0.2">
      <c r="A213">
        <v>182</v>
      </c>
      <c r="B213" t="str">
        <f t="shared" si="8"/>
        <v>∂</v>
      </c>
      <c r="C213">
        <f t="shared" si="9"/>
        <v>182</v>
      </c>
      <c r="E213">
        <f t="shared" si="10"/>
        <v>8706</v>
      </c>
      <c r="F213" t="b">
        <f t="shared" si="11"/>
        <v>1</v>
      </c>
    </row>
    <row r="214" spans="1:6" x14ac:dyDescent="0.2">
      <c r="A214">
        <v>183</v>
      </c>
      <c r="B214" t="str">
        <f t="shared" si="8"/>
        <v>∑</v>
      </c>
      <c r="C214">
        <f t="shared" si="9"/>
        <v>183</v>
      </c>
      <c r="E214">
        <f t="shared" si="10"/>
        <v>8721</v>
      </c>
      <c r="F214" t="b">
        <f t="shared" si="11"/>
        <v>1</v>
      </c>
    </row>
    <row r="215" spans="1:6" x14ac:dyDescent="0.2">
      <c r="A215">
        <v>184</v>
      </c>
      <c r="B215" t="str">
        <f t="shared" si="8"/>
        <v>∏</v>
      </c>
      <c r="C215">
        <f t="shared" si="9"/>
        <v>184</v>
      </c>
      <c r="E215">
        <f t="shared" si="10"/>
        <v>8719</v>
      </c>
      <c r="F215" t="b">
        <f t="shared" si="11"/>
        <v>1</v>
      </c>
    </row>
    <row r="216" spans="1:6" x14ac:dyDescent="0.2">
      <c r="A216">
        <v>185</v>
      </c>
      <c r="B216" t="str">
        <f t="shared" si="8"/>
        <v>π</v>
      </c>
      <c r="C216">
        <f t="shared" si="9"/>
        <v>185</v>
      </c>
      <c r="E216">
        <f t="shared" si="10"/>
        <v>960</v>
      </c>
      <c r="F216" t="b">
        <f t="shared" si="11"/>
        <v>1</v>
      </c>
    </row>
    <row r="217" spans="1:6" x14ac:dyDescent="0.2">
      <c r="A217">
        <v>186</v>
      </c>
      <c r="B217" t="str">
        <f t="shared" si="8"/>
        <v>∫</v>
      </c>
      <c r="C217">
        <f t="shared" si="9"/>
        <v>186</v>
      </c>
      <c r="E217">
        <f t="shared" si="10"/>
        <v>8747</v>
      </c>
      <c r="F217" t="b">
        <f t="shared" si="11"/>
        <v>1</v>
      </c>
    </row>
    <row r="218" spans="1:6" x14ac:dyDescent="0.2">
      <c r="A218">
        <v>187</v>
      </c>
      <c r="B218" t="str">
        <f t="shared" si="8"/>
        <v>ª</v>
      </c>
      <c r="C218">
        <f t="shared" si="9"/>
        <v>187</v>
      </c>
      <c r="E218">
        <f t="shared" si="10"/>
        <v>170</v>
      </c>
      <c r="F218" t="b">
        <f t="shared" si="11"/>
        <v>1</v>
      </c>
    </row>
    <row r="219" spans="1:6" x14ac:dyDescent="0.2">
      <c r="A219">
        <v>188</v>
      </c>
      <c r="B219" t="str">
        <f t="shared" si="8"/>
        <v>º</v>
      </c>
      <c r="C219">
        <f t="shared" si="9"/>
        <v>188</v>
      </c>
      <c r="E219">
        <f t="shared" si="10"/>
        <v>186</v>
      </c>
      <c r="F219" t="b">
        <f t="shared" si="11"/>
        <v>1</v>
      </c>
    </row>
    <row r="220" spans="1:6" x14ac:dyDescent="0.2">
      <c r="A220">
        <v>189</v>
      </c>
      <c r="B220" t="str">
        <f t="shared" si="8"/>
        <v>Ω</v>
      </c>
      <c r="C220">
        <f t="shared" si="9"/>
        <v>189</v>
      </c>
      <c r="E220">
        <f t="shared" si="10"/>
        <v>937</v>
      </c>
      <c r="F220" t="b">
        <f t="shared" si="11"/>
        <v>1</v>
      </c>
    </row>
    <row r="221" spans="1:6" x14ac:dyDescent="0.2">
      <c r="A221">
        <v>190</v>
      </c>
      <c r="B221" t="str">
        <f t="shared" si="8"/>
        <v>æ</v>
      </c>
      <c r="C221">
        <f t="shared" si="9"/>
        <v>190</v>
      </c>
      <c r="E221">
        <f t="shared" si="10"/>
        <v>230</v>
      </c>
      <c r="F221" t="b">
        <f t="shared" si="11"/>
        <v>1</v>
      </c>
    </row>
    <row r="222" spans="1:6" x14ac:dyDescent="0.2">
      <c r="A222">
        <v>191</v>
      </c>
      <c r="B222" t="str">
        <f t="shared" si="8"/>
        <v>ø</v>
      </c>
      <c r="C222">
        <f t="shared" si="9"/>
        <v>191</v>
      </c>
      <c r="E222">
        <f t="shared" si="10"/>
        <v>248</v>
      </c>
      <c r="F222" t="b">
        <f t="shared" si="11"/>
        <v>1</v>
      </c>
    </row>
    <row r="223" spans="1:6" x14ac:dyDescent="0.2">
      <c r="A223">
        <v>192</v>
      </c>
      <c r="B223" t="str">
        <f t="shared" si="8"/>
        <v>¿</v>
      </c>
      <c r="C223">
        <f t="shared" si="9"/>
        <v>192</v>
      </c>
      <c r="E223">
        <f t="shared" si="10"/>
        <v>191</v>
      </c>
      <c r="F223" t="b">
        <f t="shared" si="11"/>
        <v>1</v>
      </c>
    </row>
    <row r="224" spans="1:6" x14ac:dyDescent="0.2">
      <c r="A224">
        <v>193</v>
      </c>
      <c r="B224" t="str">
        <f t="shared" si="8"/>
        <v>¡</v>
      </c>
      <c r="C224">
        <f t="shared" si="9"/>
        <v>193</v>
      </c>
      <c r="E224">
        <f t="shared" si="10"/>
        <v>161</v>
      </c>
      <c r="F224" t="b">
        <f t="shared" si="11"/>
        <v>1</v>
      </c>
    </row>
    <row r="225" spans="1:6" x14ac:dyDescent="0.2">
      <c r="A225">
        <v>194</v>
      </c>
      <c r="B225" t="str">
        <f t="shared" ref="B225:B286" si="12">CHAR(A225)</f>
        <v>¬</v>
      </c>
      <c r="C225">
        <f t="shared" ref="C225:C286" si="13">CODE(B225)</f>
        <v>194</v>
      </c>
      <c r="E225">
        <f t="shared" ref="E225:E286" si="14">_xlfn.UNICODE(B225)</f>
        <v>172</v>
      </c>
      <c r="F225" t="b">
        <f t="shared" ref="F225:F286" si="15">_xlfn.UNICHAR(E225)=B225</f>
        <v>1</v>
      </c>
    </row>
    <row r="226" spans="1:6" x14ac:dyDescent="0.2">
      <c r="A226">
        <v>195</v>
      </c>
      <c r="B226" t="str">
        <f t="shared" si="12"/>
        <v>√</v>
      </c>
      <c r="C226">
        <f t="shared" si="13"/>
        <v>195</v>
      </c>
      <c r="E226">
        <f t="shared" si="14"/>
        <v>8730</v>
      </c>
      <c r="F226" t="b">
        <f t="shared" si="15"/>
        <v>1</v>
      </c>
    </row>
    <row r="227" spans="1:6" x14ac:dyDescent="0.2">
      <c r="A227">
        <v>196</v>
      </c>
      <c r="B227" t="str">
        <f t="shared" si="12"/>
        <v>ƒ</v>
      </c>
      <c r="C227">
        <f t="shared" si="13"/>
        <v>196</v>
      </c>
      <c r="E227">
        <f t="shared" si="14"/>
        <v>402</v>
      </c>
      <c r="F227" t="b">
        <f t="shared" si="15"/>
        <v>1</v>
      </c>
    </row>
    <row r="228" spans="1:6" x14ac:dyDescent="0.2">
      <c r="A228">
        <v>197</v>
      </c>
      <c r="B228" t="str">
        <f t="shared" si="12"/>
        <v>≈</v>
      </c>
      <c r="C228">
        <f t="shared" si="13"/>
        <v>197</v>
      </c>
      <c r="E228">
        <f t="shared" si="14"/>
        <v>8776</v>
      </c>
      <c r="F228" t="b">
        <f t="shared" si="15"/>
        <v>1</v>
      </c>
    </row>
    <row r="229" spans="1:6" x14ac:dyDescent="0.2">
      <c r="A229">
        <v>198</v>
      </c>
      <c r="B229" t="str">
        <f t="shared" si="12"/>
        <v>∆</v>
      </c>
      <c r="C229">
        <f t="shared" si="13"/>
        <v>198</v>
      </c>
      <c r="E229">
        <f t="shared" si="14"/>
        <v>8710</v>
      </c>
      <c r="F229" t="b">
        <f t="shared" si="15"/>
        <v>1</v>
      </c>
    </row>
    <row r="230" spans="1:6" x14ac:dyDescent="0.2">
      <c r="A230">
        <v>199</v>
      </c>
      <c r="B230" t="str">
        <f t="shared" si="12"/>
        <v>«</v>
      </c>
      <c r="C230">
        <f t="shared" si="13"/>
        <v>199</v>
      </c>
      <c r="E230">
        <f t="shared" si="14"/>
        <v>171</v>
      </c>
      <c r="F230" t="b">
        <f t="shared" si="15"/>
        <v>1</v>
      </c>
    </row>
    <row r="231" spans="1:6" x14ac:dyDescent="0.2">
      <c r="A231">
        <v>200</v>
      </c>
      <c r="B231" t="str">
        <f t="shared" si="12"/>
        <v>»</v>
      </c>
      <c r="C231">
        <f t="shared" si="13"/>
        <v>200</v>
      </c>
      <c r="E231">
        <f t="shared" si="14"/>
        <v>187</v>
      </c>
      <c r="F231" t="b">
        <f t="shared" si="15"/>
        <v>1</v>
      </c>
    </row>
    <row r="232" spans="1:6" x14ac:dyDescent="0.2">
      <c r="A232">
        <v>201</v>
      </c>
      <c r="B232" t="str">
        <f t="shared" si="12"/>
        <v>…</v>
      </c>
      <c r="C232">
        <f t="shared" si="13"/>
        <v>201</v>
      </c>
      <c r="E232">
        <f t="shared" si="14"/>
        <v>8230</v>
      </c>
      <c r="F232" t="b">
        <f t="shared" si="15"/>
        <v>1</v>
      </c>
    </row>
    <row r="233" spans="1:6" x14ac:dyDescent="0.2">
      <c r="A233">
        <v>202</v>
      </c>
      <c r="B233" t="str">
        <f t="shared" si="12"/>
        <v> </v>
      </c>
      <c r="C233">
        <f t="shared" si="13"/>
        <v>202</v>
      </c>
      <c r="E233">
        <f t="shared" si="14"/>
        <v>160</v>
      </c>
      <c r="F233" t="b">
        <f t="shared" si="15"/>
        <v>1</v>
      </c>
    </row>
    <row r="234" spans="1:6" x14ac:dyDescent="0.2">
      <c r="A234">
        <v>203</v>
      </c>
      <c r="B234" t="str">
        <f t="shared" si="12"/>
        <v>À</v>
      </c>
      <c r="C234">
        <f t="shared" si="13"/>
        <v>203</v>
      </c>
      <c r="E234">
        <f t="shared" si="14"/>
        <v>192</v>
      </c>
      <c r="F234" t="b">
        <f t="shared" si="15"/>
        <v>1</v>
      </c>
    </row>
    <row r="235" spans="1:6" x14ac:dyDescent="0.2">
      <c r="A235">
        <v>204</v>
      </c>
      <c r="B235" t="str">
        <f t="shared" si="12"/>
        <v>Ã</v>
      </c>
      <c r="C235">
        <f t="shared" si="13"/>
        <v>204</v>
      </c>
      <c r="E235">
        <f t="shared" si="14"/>
        <v>195</v>
      </c>
      <c r="F235" t="b">
        <f t="shared" si="15"/>
        <v>1</v>
      </c>
    </row>
    <row r="236" spans="1:6" x14ac:dyDescent="0.2">
      <c r="A236">
        <v>205</v>
      </c>
      <c r="B236" t="str">
        <f t="shared" si="12"/>
        <v>Õ</v>
      </c>
      <c r="C236">
        <f t="shared" si="13"/>
        <v>205</v>
      </c>
      <c r="E236">
        <f t="shared" si="14"/>
        <v>213</v>
      </c>
      <c r="F236" t="b">
        <f t="shared" si="15"/>
        <v>1</v>
      </c>
    </row>
    <row r="237" spans="1:6" x14ac:dyDescent="0.2">
      <c r="A237">
        <v>206</v>
      </c>
      <c r="B237" t="str">
        <f t="shared" si="12"/>
        <v>Œ</v>
      </c>
      <c r="C237">
        <f t="shared" si="13"/>
        <v>206</v>
      </c>
      <c r="E237">
        <f t="shared" si="14"/>
        <v>338</v>
      </c>
      <c r="F237" t="b">
        <f t="shared" si="15"/>
        <v>1</v>
      </c>
    </row>
    <row r="238" spans="1:6" x14ac:dyDescent="0.2">
      <c r="A238">
        <v>207</v>
      </c>
      <c r="B238" t="str">
        <f t="shared" si="12"/>
        <v>œ</v>
      </c>
      <c r="C238">
        <f t="shared" si="13"/>
        <v>207</v>
      </c>
      <c r="E238">
        <f t="shared" si="14"/>
        <v>339</v>
      </c>
      <c r="F238" t="b">
        <f t="shared" si="15"/>
        <v>1</v>
      </c>
    </row>
    <row r="239" spans="1:6" x14ac:dyDescent="0.2">
      <c r="A239">
        <v>208</v>
      </c>
      <c r="B239" t="str">
        <f t="shared" si="12"/>
        <v>–</v>
      </c>
      <c r="C239">
        <f t="shared" si="13"/>
        <v>208</v>
      </c>
      <c r="E239">
        <f t="shared" si="14"/>
        <v>8211</v>
      </c>
      <c r="F239" t="b">
        <f t="shared" si="15"/>
        <v>1</v>
      </c>
    </row>
    <row r="240" spans="1:6" x14ac:dyDescent="0.2">
      <c r="A240">
        <v>209</v>
      </c>
      <c r="B240" t="str">
        <f t="shared" si="12"/>
        <v>—</v>
      </c>
      <c r="C240">
        <f t="shared" si="13"/>
        <v>209</v>
      </c>
      <c r="E240">
        <f t="shared" si="14"/>
        <v>8212</v>
      </c>
      <c r="F240" t="b">
        <f t="shared" si="15"/>
        <v>1</v>
      </c>
    </row>
    <row r="241" spans="1:6" x14ac:dyDescent="0.2">
      <c r="A241">
        <v>210</v>
      </c>
      <c r="B241" t="str">
        <f t="shared" si="12"/>
        <v>“</v>
      </c>
      <c r="C241">
        <f t="shared" si="13"/>
        <v>210</v>
      </c>
      <c r="E241">
        <f t="shared" si="14"/>
        <v>8220</v>
      </c>
      <c r="F241" t="b">
        <f t="shared" si="15"/>
        <v>1</v>
      </c>
    </row>
    <row r="242" spans="1:6" x14ac:dyDescent="0.2">
      <c r="A242">
        <v>211</v>
      </c>
      <c r="B242" t="str">
        <f t="shared" si="12"/>
        <v>”</v>
      </c>
      <c r="C242">
        <f t="shared" si="13"/>
        <v>211</v>
      </c>
      <c r="E242">
        <f t="shared" si="14"/>
        <v>8221</v>
      </c>
      <c r="F242" t="b">
        <f t="shared" si="15"/>
        <v>1</v>
      </c>
    </row>
    <row r="243" spans="1:6" x14ac:dyDescent="0.2">
      <c r="A243">
        <v>212</v>
      </c>
      <c r="B243" t="str">
        <f t="shared" si="12"/>
        <v>‘</v>
      </c>
      <c r="C243">
        <f t="shared" si="13"/>
        <v>212</v>
      </c>
      <c r="E243">
        <f t="shared" si="14"/>
        <v>8216</v>
      </c>
      <c r="F243" t="b">
        <f t="shared" si="15"/>
        <v>1</v>
      </c>
    </row>
    <row r="244" spans="1:6" x14ac:dyDescent="0.2">
      <c r="A244">
        <v>213</v>
      </c>
      <c r="B244" t="str">
        <f t="shared" si="12"/>
        <v>’</v>
      </c>
      <c r="C244">
        <f t="shared" si="13"/>
        <v>213</v>
      </c>
      <c r="E244">
        <f t="shared" si="14"/>
        <v>8217</v>
      </c>
      <c r="F244" t="b">
        <f t="shared" si="15"/>
        <v>1</v>
      </c>
    </row>
    <row r="245" spans="1:6" x14ac:dyDescent="0.2">
      <c r="A245">
        <v>214</v>
      </c>
      <c r="B245" t="str">
        <f t="shared" si="12"/>
        <v>÷</v>
      </c>
      <c r="C245">
        <f t="shared" si="13"/>
        <v>214</v>
      </c>
      <c r="E245">
        <f t="shared" si="14"/>
        <v>247</v>
      </c>
      <c r="F245" t="b">
        <f t="shared" si="15"/>
        <v>1</v>
      </c>
    </row>
    <row r="246" spans="1:6" x14ac:dyDescent="0.2">
      <c r="A246">
        <v>215</v>
      </c>
      <c r="B246" t="str">
        <f t="shared" si="12"/>
        <v>◊</v>
      </c>
      <c r="C246">
        <f t="shared" si="13"/>
        <v>215</v>
      </c>
      <c r="E246">
        <f t="shared" si="14"/>
        <v>9674</v>
      </c>
      <c r="F246" t="b">
        <f t="shared" si="15"/>
        <v>1</v>
      </c>
    </row>
    <row r="247" spans="1:6" x14ac:dyDescent="0.2">
      <c r="A247">
        <v>216</v>
      </c>
      <c r="B247" t="str">
        <f t="shared" si="12"/>
        <v>ÿ</v>
      </c>
      <c r="C247">
        <f t="shared" si="13"/>
        <v>216</v>
      </c>
      <c r="E247">
        <f t="shared" si="14"/>
        <v>255</v>
      </c>
      <c r="F247" t="b">
        <f t="shared" si="15"/>
        <v>1</v>
      </c>
    </row>
    <row r="248" spans="1:6" x14ac:dyDescent="0.2">
      <c r="A248">
        <v>217</v>
      </c>
      <c r="B248" t="str">
        <f t="shared" si="12"/>
        <v>Ÿ</v>
      </c>
      <c r="C248">
        <f t="shared" si="13"/>
        <v>217</v>
      </c>
      <c r="E248">
        <f t="shared" si="14"/>
        <v>376</v>
      </c>
      <c r="F248" t="b">
        <f t="shared" si="15"/>
        <v>1</v>
      </c>
    </row>
    <row r="249" spans="1:6" x14ac:dyDescent="0.2">
      <c r="A249">
        <v>218</v>
      </c>
      <c r="B249" t="str">
        <f t="shared" si="12"/>
        <v>⁄</v>
      </c>
      <c r="C249">
        <f t="shared" si="13"/>
        <v>218</v>
      </c>
      <c r="E249">
        <f t="shared" si="14"/>
        <v>8260</v>
      </c>
      <c r="F249" t="b">
        <f t="shared" si="15"/>
        <v>1</v>
      </c>
    </row>
    <row r="250" spans="1:6" x14ac:dyDescent="0.2">
      <c r="A250">
        <v>219</v>
      </c>
      <c r="B250" t="str">
        <f t="shared" si="12"/>
        <v>€</v>
      </c>
      <c r="C250">
        <f t="shared" si="13"/>
        <v>219</v>
      </c>
      <c r="E250">
        <f t="shared" si="14"/>
        <v>8364</v>
      </c>
      <c r="F250" t="b">
        <f t="shared" si="15"/>
        <v>1</v>
      </c>
    </row>
    <row r="251" spans="1:6" x14ac:dyDescent="0.2">
      <c r="A251">
        <v>220</v>
      </c>
      <c r="B251" t="str">
        <f t="shared" si="12"/>
        <v>‹</v>
      </c>
      <c r="C251">
        <f t="shared" si="13"/>
        <v>220</v>
      </c>
      <c r="E251">
        <f t="shared" si="14"/>
        <v>8249</v>
      </c>
      <c r="F251" t="b">
        <f t="shared" si="15"/>
        <v>1</v>
      </c>
    </row>
    <row r="252" spans="1:6" x14ac:dyDescent="0.2">
      <c r="A252">
        <v>221</v>
      </c>
      <c r="B252" t="str">
        <f t="shared" si="12"/>
        <v>›</v>
      </c>
      <c r="C252">
        <f t="shared" si="13"/>
        <v>221</v>
      </c>
      <c r="E252">
        <f t="shared" si="14"/>
        <v>8250</v>
      </c>
      <c r="F252" t="b">
        <f t="shared" si="15"/>
        <v>1</v>
      </c>
    </row>
    <row r="253" spans="1:6" x14ac:dyDescent="0.2">
      <c r="A253">
        <v>222</v>
      </c>
      <c r="B253" t="str">
        <f t="shared" si="12"/>
        <v>ﬁ</v>
      </c>
      <c r="C253">
        <f t="shared" si="13"/>
        <v>222</v>
      </c>
      <c r="E253">
        <f t="shared" si="14"/>
        <v>64257</v>
      </c>
      <c r="F253" t="b">
        <f t="shared" si="15"/>
        <v>1</v>
      </c>
    </row>
    <row r="254" spans="1:6" x14ac:dyDescent="0.2">
      <c r="A254">
        <v>223</v>
      </c>
      <c r="B254" t="str">
        <f t="shared" si="12"/>
        <v>ﬂ</v>
      </c>
      <c r="C254">
        <f t="shared" si="13"/>
        <v>223</v>
      </c>
      <c r="E254">
        <f t="shared" si="14"/>
        <v>64258</v>
      </c>
      <c r="F254" t="b">
        <f t="shared" si="15"/>
        <v>1</v>
      </c>
    </row>
    <row r="255" spans="1:6" x14ac:dyDescent="0.2">
      <c r="A255">
        <v>224</v>
      </c>
      <c r="B255" t="str">
        <f t="shared" si="12"/>
        <v>‡</v>
      </c>
      <c r="C255">
        <f t="shared" si="13"/>
        <v>224</v>
      </c>
      <c r="E255">
        <f t="shared" si="14"/>
        <v>8225</v>
      </c>
      <c r="F255" t="b">
        <f t="shared" si="15"/>
        <v>1</v>
      </c>
    </row>
    <row r="256" spans="1:6" x14ac:dyDescent="0.2">
      <c r="A256">
        <v>225</v>
      </c>
      <c r="B256" t="str">
        <f t="shared" si="12"/>
        <v>·</v>
      </c>
      <c r="C256">
        <f t="shared" si="13"/>
        <v>225</v>
      </c>
      <c r="E256">
        <f t="shared" si="14"/>
        <v>183</v>
      </c>
      <c r="F256" t="b">
        <f t="shared" si="15"/>
        <v>1</v>
      </c>
    </row>
    <row r="257" spans="1:6" x14ac:dyDescent="0.2">
      <c r="A257">
        <v>226</v>
      </c>
      <c r="B257" t="str">
        <f t="shared" si="12"/>
        <v>‚</v>
      </c>
      <c r="C257">
        <f t="shared" si="13"/>
        <v>226</v>
      </c>
      <c r="E257">
        <f t="shared" si="14"/>
        <v>8218</v>
      </c>
      <c r="F257" t="b">
        <f t="shared" si="15"/>
        <v>1</v>
      </c>
    </row>
    <row r="258" spans="1:6" x14ac:dyDescent="0.2">
      <c r="A258">
        <v>227</v>
      </c>
      <c r="B258" t="str">
        <f t="shared" si="12"/>
        <v>„</v>
      </c>
      <c r="C258">
        <f t="shared" si="13"/>
        <v>227</v>
      </c>
      <c r="E258">
        <f t="shared" si="14"/>
        <v>8222</v>
      </c>
      <c r="F258" t="b">
        <f t="shared" si="15"/>
        <v>1</v>
      </c>
    </row>
    <row r="259" spans="1:6" x14ac:dyDescent="0.2">
      <c r="A259">
        <v>228</v>
      </c>
      <c r="B259" t="str">
        <f t="shared" si="12"/>
        <v>‰</v>
      </c>
      <c r="C259">
        <f t="shared" si="13"/>
        <v>228</v>
      </c>
      <c r="E259">
        <f t="shared" si="14"/>
        <v>8240</v>
      </c>
      <c r="F259" t="b">
        <f t="shared" si="15"/>
        <v>1</v>
      </c>
    </row>
    <row r="260" spans="1:6" x14ac:dyDescent="0.2">
      <c r="A260">
        <v>229</v>
      </c>
      <c r="B260" t="str">
        <f t="shared" si="12"/>
        <v>Â</v>
      </c>
      <c r="C260">
        <f t="shared" si="13"/>
        <v>229</v>
      </c>
      <c r="E260">
        <f t="shared" si="14"/>
        <v>194</v>
      </c>
      <c r="F260" t="b">
        <f t="shared" si="15"/>
        <v>1</v>
      </c>
    </row>
    <row r="261" spans="1:6" x14ac:dyDescent="0.2">
      <c r="A261">
        <v>230</v>
      </c>
      <c r="B261" t="str">
        <f t="shared" si="12"/>
        <v>Ê</v>
      </c>
      <c r="C261">
        <f t="shared" si="13"/>
        <v>230</v>
      </c>
      <c r="E261">
        <f t="shared" si="14"/>
        <v>202</v>
      </c>
      <c r="F261" t="b">
        <f t="shared" si="15"/>
        <v>1</v>
      </c>
    </row>
    <row r="262" spans="1:6" x14ac:dyDescent="0.2">
      <c r="A262">
        <v>231</v>
      </c>
      <c r="B262" t="str">
        <f t="shared" si="12"/>
        <v>Á</v>
      </c>
      <c r="C262">
        <f t="shared" si="13"/>
        <v>231</v>
      </c>
      <c r="E262">
        <f t="shared" si="14"/>
        <v>193</v>
      </c>
      <c r="F262" t="b">
        <f t="shared" si="15"/>
        <v>1</v>
      </c>
    </row>
    <row r="263" spans="1:6" x14ac:dyDescent="0.2">
      <c r="A263">
        <v>232</v>
      </c>
      <c r="B263" t="str">
        <f t="shared" si="12"/>
        <v>Ë</v>
      </c>
      <c r="C263">
        <f t="shared" si="13"/>
        <v>232</v>
      </c>
      <c r="E263">
        <f t="shared" si="14"/>
        <v>203</v>
      </c>
      <c r="F263" t="b">
        <f t="shared" si="15"/>
        <v>1</v>
      </c>
    </row>
    <row r="264" spans="1:6" x14ac:dyDescent="0.2">
      <c r="A264">
        <v>233</v>
      </c>
      <c r="B264" t="str">
        <f t="shared" si="12"/>
        <v>È</v>
      </c>
      <c r="C264">
        <f t="shared" si="13"/>
        <v>233</v>
      </c>
      <c r="E264">
        <f t="shared" si="14"/>
        <v>200</v>
      </c>
      <c r="F264" t="b">
        <f t="shared" si="15"/>
        <v>1</v>
      </c>
    </row>
    <row r="265" spans="1:6" x14ac:dyDescent="0.2">
      <c r="A265">
        <v>234</v>
      </c>
      <c r="B265" t="str">
        <f t="shared" si="12"/>
        <v>Í</v>
      </c>
      <c r="C265">
        <f t="shared" si="13"/>
        <v>234</v>
      </c>
      <c r="E265">
        <f t="shared" si="14"/>
        <v>205</v>
      </c>
      <c r="F265" t="b">
        <f t="shared" si="15"/>
        <v>1</v>
      </c>
    </row>
    <row r="266" spans="1:6" x14ac:dyDescent="0.2">
      <c r="A266">
        <v>235</v>
      </c>
      <c r="B266" t="str">
        <f t="shared" si="12"/>
        <v>Î</v>
      </c>
      <c r="C266">
        <f t="shared" si="13"/>
        <v>235</v>
      </c>
      <c r="E266">
        <f t="shared" si="14"/>
        <v>206</v>
      </c>
      <c r="F266" t="b">
        <f t="shared" si="15"/>
        <v>1</v>
      </c>
    </row>
    <row r="267" spans="1:6" x14ac:dyDescent="0.2">
      <c r="A267">
        <v>236</v>
      </c>
      <c r="B267" t="str">
        <f t="shared" si="12"/>
        <v>Ï</v>
      </c>
      <c r="C267">
        <f t="shared" si="13"/>
        <v>236</v>
      </c>
      <c r="E267">
        <f t="shared" si="14"/>
        <v>207</v>
      </c>
      <c r="F267" t="b">
        <f t="shared" si="15"/>
        <v>1</v>
      </c>
    </row>
    <row r="268" spans="1:6" x14ac:dyDescent="0.2">
      <c r="A268">
        <v>237</v>
      </c>
      <c r="B268" t="str">
        <f t="shared" si="12"/>
        <v>Ì</v>
      </c>
      <c r="C268">
        <f t="shared" si="13"/>
        <v>237</v>
      </c>
      <c r="E268">
        <f t="shared" si="14"/>
        <v>204</v>
      </c>
      <c r="F268" t="b">
        <f t="shared" si="15"/>
        <v>1</v>
      </c>
    </row>
    <row r="269" spans="1:6" x14ac:dyDescent="0.2">
      <c r="A269">
        <v>238</v>
      </c>
      <c r="B269" t="str">
        <f t="shared" si="12"/>
        <v>Ó</v>
      </c>
      <c r="C269">
        <f t="shared" si="13"/>
        <v>238</v>
      </c>
      <c r="E269">
        <f t="shared" si="14"/>
        <v>211</v>
      </c>
      <c r="F269" t="b">
        <f t="shared" si="15"/>
        <v>1</v>
      </c>
    </row>
    <row r="270" spans="1:6" x14ac:dyDescent="0.2">
      <c r="A270">
        <v>239</v>
      </c>
      <c r="B270" t="str">
        <f t="shared" si="12"/>
        <v>Ô</v>
      </c>
      <c r="C270">
        <f t="shared" si="13"/>
        <v>239</v>
      </c>
      <c r="E270">
        <f t="shared" si="14"/>
        <v>212</v>
      </c>
      <c r="F270" t="b">
        <f t="shared" si="15"/>
        <v>1</v>
      </c>
    </row>
    <row r="271" spans="1:6" x14ac:dyDescent="0.2">
      <c r="A271">
        <v>240</v>
      </c>
      <c r="B271" t="str">
        <f t="shared" si="12"/>
        <v></v>
      </c>
      <c r="C271">
        <f t="shared" si="13"/>
        <v>240</v>
      </c>
      <c r="E271">
        <f t="shared" si="14"/>
        <v>63743</v>
      </c>
      <c r="F271" t="b">
        <f t="shared" si="15"/>
        <v>1</v>
      </c>
    </row>
    <row r="272" spans="1:6" x14ac:dyDescent="0.2">
      <c r="A272">
        <v>241</v>
      </c>
      <c r="B272" t="str">
        <f t="shared" si="12"/>
        <v>Ò</v>
      </c>
      <c r="C272">
        <f t="shared" si="13"/>
        <v>241</v>
      </c>
      <c r="E272">
        <f t="shared" si="14"/>
        <v>210</v>
      </c>
      <c r="F272" t="b">
        <f t="shared" si="15"/>
        <v>1</v>
      </c>
    </row>
    <row r="273" spans="1:6" x14ac:dyDescent="0.2">
      <c r="A273">
        <v>242</v>
      </c>
      <c r="B273" t="str">
        <f t="shared" si="12"/>
        <v>Ú</v>
      </c>
      <c r="C273">
        <f t="shared" si="13"/>
        <v>242</v>
      </c>
      <c r="E273">
        <f t="shared" si="14"/>
        <v>218</v>
      </c>
      <c r="F273" t="b">
        <f t="shared" si="15"/>
        <v>1</v>
      </c>
    </row>
    <row r="274" spans="1:6" x14ac:dyDescent="0.2">
      <c r="A274">
        <v>243</v>
      </c>
      <c r="B274" t="str">
        <f t="shared" si="12"/>
        <v>Û</v>
      </c>
      <c r="C274">
        <f t="shared" si="13"/>
        <v>243</v>
      </c>
      <c r="E274">
        <f t="shared" si="14"/>
        <v>219</v>
      </c>
      <c r="F274" t="b">
        <f t="shared" si="15"/>
        <v>1</v>
      </c>
    </row>
    <row r="275" spans="1:6" x14ac:dyDescent="0.2">
      <c r="A275">
        <v>244</v>
      </c>
      <c r="B275" t="str">
        <f t="shared" si="12"/>
        <v>Ù</v>
      </c>
      <c r="C275">
        <f t="shared" si="13"/>
        <v>244</v>
      </c>
      <c r="E275">
        <f t="shared" si="14"/>
        <v>217</v>
      </c>
      <c r="F275" t="b">
        <f t="shared" si="15"/>
        <v>1</v>
      </c>
    </row>
    <row r="276" spans="1:6" x14ac:dyDescent="0.2">
      <c r="A276">
        <v>245</v>
      </c>
      <c r="B276" t="str">
        <f t="shared" si="12"/>
        <v>ı</v>
      </c>
      <c r="C276">
        <f t="shared" si="13"/>
        <v>245</v>
      </c>
      <c r="E276">
        <f t="shared" si="14"/>
        <v>305</v>
      </c>
      <c r="F276" t="b">
        <f t="shared" si="15"/>
        <v>1</v>
      </c>
    </row>
    <row r="277" spans="1:6" x14ac:dyDescent="0.2">
      <c r="A277">
        <v>246</v>
      </c>
      <c r="B277" t="str">
        <f t="shared" si="12"/>
        <v>ˆ</v>
      </c>
      <c r="C277">
        <f t="shared" si="13"/>
        <v>246</v>
      </c>
      <c r="E277">
        <f t="shared" si="14"/>
        <v>710</v>
      </c>
      <c r="F277" t="b">
        <f t="shared" si="15"/>
        <v>1</v>
      </c>
    </row>
    <row r="278" spans="1:6" x14ac:dyDescent="0.2">
      <c r="A278">
        <v>247</v>
      </c>
      <c r="B278" t="str">
        <f t="shared" si="12"/>
        <v>˜</v>
      </c>
      <c r="C278">
        <f t="shared" si="13"/>
        <v>247</v>
      </c>
      <c r="E278">
        <f t="shared" si="14"/>
        <v>732</v>
      </c>
      <c r="F278" t="b">
        <f t="shared" si="15"/>
        <v>1</v>
      </c>
    </row>
    <row r="279" spans="1:6" x14ac:dyDescent="0.2">
      <c r="A279">
        <v>248</v>
      </c>
      <c r="B279" t="str">
        <f t="shared" si="12"/>
        <v>¯</v>
      </c>
      <c r="C279">
        <f t="shared" si="13"/>
        <v>248</v>
      </c>
      <c r="E279">
        <f t="shared" si="14"/>
        <v>175</v>
      </c>
      <c r="F279" t="b">
        <f t="shared" si="15"/>
        <v>1</v>
      </c>
    </row>
    <row r="280" spans="1:6" x14ac:dyDescent="0.2">
      <c r="A280">
        <v>249</v>
      </c>
      <c r="B280" t="str">
        <f t="shared" si="12"/>
        <v>˘</v>
      </c>
      <c r="C280">
        <f t="shared" si="13"/>
        <v>249</v>
      </c>
      <c r="E280">
        <f t="shared" si="14"/>
        <v>728</v>
      </c>
      <c r="F280" t="b">
        <f t="shared" si="15"/>
        <v>1</v>
      </c>
    </row>
    <row r="281" spans="1:6" x14ac:dyDescent="0.2">
      <c r="A281">
        <v>250</v>
      </c>
      <c r="B281" t="str">
        <f t="shared" si="12"/>
        <v>˙</v>
      </c>
      <c r="C281">
        <f t="shared" si="13"/>
        <v>250</v>
      </c>
      <c r="E281">
        <f t="shared" si="14"/>
        <v>729</v>
      </c>
      <c r="F281" t="b">
        <f t="shared" si="15"/>
        <v>1</v>
      </c>
    </row>
    <row r="282" spans="1:6" x14ac:dyDescent="0.2">
      <c r="A282">
        <v>251</v>
      </c>
      <c r="B282" t="str">
        <f t="shared" si="12"/>
        <v>˚</v>
      </c>
      <c r="C282">
        <f t="shared" si="13"/>
        <v>251</v>
      </c>
      <c r="E282">
        <f t="shared" si="14"/>
        <v>730</v>
      </c>
      <c r="F282" t="b">
        <f t="shared" si="15"/>
        <v>1</v>
      </c>
    </row>
    <row r="283" spans="1:6" x14ac:dyDescent="0.2">
      <c r="A283">
        <v>252</v>
      </c>
      <c r="B283" t="str">
        <f t="shared" si="12"/>
        <v>¸</v>
      </c>
      <c r="C283">
        <f t="shared" si="13"/>
        <v>252</v>
      </c>
      <c r="E283">
        <f t="shared" si="14"/>
        <v>184</v>
      </c>
      <c r="F283" t="b">
        <f t="shared" si="15"/>
        <v>1</v>
      </c>
    </row>
    <row r="284" spans="1:6" x14ac:dyDescent="0.2">
      <c r="A284">
        <v>253</v>
      </c>
      <c r="B284" t="str">
        <f t="shared" si="12"/>
        <v>˝</v>
      </c>
      <c r="C284">
        <f t="shared" si="13"/>
        <v>253</v>
      </c>
      <c r="E284">
        <f t="shared" si="14"/>
        <v>733</v>
      </c>
      <c r="F284" t="b">
        <f t="shared" si="15"/>
        <v>1</v>
      </c>
    </row>
    <row r="285" spans="1:6" x14ac:dyDescent="0.2">
      <c r="A285">
        <v>254</v>
      </c>
      <c r="B285" t="str">
        <f t="shared" si="12"/>
        <v>˛</v>
      </c>
      <c r="C285">
        <f t="shared" si="13"/>
        <v>254</v>
      </c>
      <c r="E285">
        <f t="shared" si="14"/>
        <v>731</v>
      </c>
      <c r="F285" t="b">
        <f t="shared" si="15"/>
        <v>1</v>
      </c>
    </row>
    <row r="286" spans="1:6" x14ac:dyDescent="0.2">
      <c r="A286">
        <v>255</v>
      </c>
      <c r="B286" t="str">
        <f t="shared" si="12"/>
        <v>ˇ</v>
      </c>
      <c r="C286">
        <f t="shared" si="13"/>
        <v>255</v>
      </c>
      <c r="E286">
        <f t="shared" si="14"/>
        <v>711</v>
      </c>
      <c r="F286" t="b">
        <f t="shared" si="15"/>
        <v>1</v>
      </c>
    </row>
  </sheetData>
  <mergeCells count="2">
    <mergeCell ref="M25:O25"/>
    <mergeCell ref="M20:O20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C48B-2D77-2542-8BB6-71EF8476BBAF}">
  <sheetPr codeName="Sheet18"/>
  <dimension ref="A1:BV183"/>
  <sheetViews>
    <sheetView topLeftCell="AX65" zoomScale="75" workbookViewId="0">
      <selection activeCell="BM76" sqref="BM76"/>
    </sheetView>
  </sheetViews>
  <sheetFormatPr baseColWidth="10" defaultRowHeight="16" x14ac:dyDescent="0.2"/>
  <cols>
    <col min="1" max="1" width="35" bestFit="1" customWidth="1"/>
    <col min="2" max="2" width="14" bestFit="1" customWidth="1"/>
    <col min="3" max="4" width="14" customWidth="1"/>
    <col min="5" max="5" width="14" bestFit="1" customWidth="1"/>
    <col min="8" max="8" width="31.33203125" customWidth="1"/>
    <col min="16" max="16" width="28.6640625" customWidth="1"/>
    <col min="21" max="21" width="105.6640625" bestFit="1" customWidth="1"/>
    <col min="24" max="25" width="32.33203125" bestFit="1" customWidth="1"/>
    <col min="26" max="26" width="25" bestFit="1" customWidth="1"/>
    <col min="27" max="27" width="24" bestFit="1" customWidth="1"/>
    <col min="28" max="28" width="25" bestFit="1" customWidth="1"/>
    <col min="65" max="65" width="11" bestFit="1" customWidth="1"/>
    <col min="66" max="69" width="11.6640625" bestFit="1" customWidth="1"/>
    <col min="70" max="70" width="7.33203125" bestFit="1" customWidth="1"/>
    <col min="71" max="74" width="11.6640625" bestFit="1" customWidth="1"/>
  </cols>
  <sheetData>
    <row r="1" spans="1:50" x14ac:dyDescent="0.2">
      <c r="A1" t="s">
        <v>313</v>
      </c>
      <c r="B1" s="97" t="s">
        <v>93</v>
      </c>
      <c r="C1" s="97"/>
      <c r="D1" s="97"/>
      <c r="E1" s="97"/>
      <c r="F1">
        <v>3</v>
      </c>
      <c r="G1">
        <v>5</v>
      </c>
      <c r="H1">
        <v>1</v>
      </c>
      <c r="I1">
        <v>3</v>
      </c>
      <c r="J1">
        <f>SUM(H1:I1)</f>
        <v>4</v>
      </c>
      <c r="K1">
        <f>H1</f>
        <v>1</v>
      </c>
      <c r="L1">
        <f>I1</f>
        <v>3</v>
      </c>
      <c r="X1" t="s">
        <v>765</v>
      </c>
      <c r="Y1" t="s">
        <v>766</v>
      </c>
      <c r="Z1" t="s">
        <v>767</v>
      </c>
      <c r="AA1" t="s">
        <v>761</v>
      </c>
      <c r="AB1" t="s">
        <v>312</v>
      </c>
      <c r="AC1" t="s">
        <v>768</v>
      </c>
      <c r="AD1" t="s">
        <v>769</v>
      </c>
      <c r="AE1" t="s">
        <v>762</v>
      </c>
      <c r="AF1" t="s">
        <v>677</v>
      </c>
      <c r="AG1" t="s">
        <v>764</v>
      </c>
      <c r="AH1" t="s">
        <v>665</v>
      </c>
      <c r="AI1" t="s">
        <v>612</v>
      </c>
      <c r="AJ1" t="s">
        <v>413</v>
      </c>
      <c r="AK1" t="s">
        <v>632</v>
      </c>
      <c r="AL1" t="s">
        <v>619</v>
      </c>
      <c r="AM1" t="s">
        <v>770</v>
      </c>
      <c r="AN1" t="s">
        <v>655</v>
      </c>
      <c r="AO1" t="s">
        <v>498</v>
      </c>
      <c r="AP1" t="s">
        <v>411</v>
      </c>
      <c r="AQ1" t="s">
        <v>771</v>
      </c>
      <c r="AR1" t="s">
        <v>763</v>
      </c>
    </row>
    <row r="2" spans="1:50" ht="136" x14ac:dyDescent="0.2">
      <c r="A2" t="str">
        <f>TEXT(1.000000001,"00###.##.0000.00")</f>
        <v>001..0000.00</v>
      </c>
      <c r="B2">
        <f>TRUNC(E2)</f>
        <v>-1</v>
      </c>
      <c r="C2">
        <f>TRUNC(E2,1)</f>
        <v>-1</v>
      </c>
      <c r="D2">
        <f>TRUNC(E2,-1)</f>
        <v>0</v>
      </c>
      <c r="E2">
        <v>-1.02</v>
      </c>
      <c r="G2">
        <v>1</v>
      </c>
      <c r="H2" s="2" t="s">
        <v>781</v>
      </c>
      <c r="I2" t="str">
        <f t="array" ref="I2:P2">_xlfn.REGEXEXTRACT(H2,"[0-9()]+ [0-9-]+", 1)</f>
        <v>(378) 555-4195</v>
      </c>
      <c r="J2" t="str">
        <v>(878) 555-8622</v>
      </c>
      <c r="K2" t="str">
        <v>(437) 555-8987</v>
      </c>
      <c r="L2" t="str">
        <v>(619) 555-4212</v>
      </c>
      <c r="M2" t="str">
        <v>(579) 555-5658</v>
      </c>
      <c r="N2" t="str">
        <v>(346) 555-0925</v>
      </c>
      <c r="O2" t="str">
        <v>(405) 555-0887</v>
      </c>
      <c r="P2" t="str">
        <v>(666) 555-1872</v>
      </c>
      <c r="T2" s="62" t="s">
        <v>616</v>
      </c>
      <c r="U2">
        <f>CONVERT(1,T2,"g")</f>
        <v>1</v>
      </c>
      <c r="V2">
        <f>CONVERT(2,T2,"g")/U2</f>
        <v>2</v>
      </c>
      <c r="W2">
        <f>CONVERT(U2,"g",T2)</f>
        <v>1</v>
      </c>
      <c r="X2">
        <f t="shared" ref="X2:X17" si="0">CONVERT(1,X$1&amp;$T2,"g")</f>
        <v>9.9999999999999998E+23</v>
      </c>
      <c r="Y2">
        <f t="shared" ref="Y2:AR15" si="1">CONVERT(1,Y$1&amp;$T2,"g")</f>
        <v>1E+21</v>
      </c>
      <c r="Z2">
        <f t="shared" si="1"/>
        <v>1E+18</v>
      </c>
      <c r="AA2">
        <f t="shared" si="1"/>
        <v>1000000000000000</v>
      </c>
      <c r="AB2">
        <f t="shared" si="1"/>
        <v>1000000000000</v>
      </c>
      <c r="AC2">
        <f t="shared" si="1"/>
        <v>1000000000</v>
      </c>
      <c r="AD2">
        <f t="shared" si="1"/>
        <v>1000000</v>
      </c>
      <c r="AE2">
        <f t="shared" si="1"/>
        <v>1000</v>
      </c>
      <c r="AF2">
        <f t="shared" si="1"/>
        <v>100</v>
      </c>
      <c r="AG2">
        <f t="shared" si="1"/>
        <v>10</v>
      </c>
      <c r="AH2">
        <f t="shared" si="1"/>
        <v>10</v>
      </c>
      <c r="AI2">
        <f t="shared" si="1"/>
        <v>0.1</v>
      </c>
      <c r="AJ2">
        <f t="shared" si="1"/>
        <v>0.01</v>
      </c>
      <c r="AK2">
        <f t="shared" si="1"/>
        <v>1E-3</v>
      </c>
      <c r="AL2">
        <f t="shared" si="1"/>
        <v>9.9999999999999995E-7</v>
      </c>
      <c r="AM2">
        <f t="shared" si="1"/>
        <v>1.0000000000000001E-9</v>
      </c>
      <c r="AN2">
        <f t="shared" si="1"/>
        <v>9.9999999999999998E-13</v>
      </c>
      <c r="AO2">
        <f t="shared" si="1"/>
        <v>1.0000000000000001E-15</v>
      </c>
      <c r="AP2">
        <f t="shared" si="1"/>
        <v>1.0000000000000001E-18</v>
      </c>
      <c r="AQ2">
        <f t="shared" si="1"/>
        <v>9.9999999999999991E-22</v>
      </c>
      <c r="AR2">
        <f t="shared" si="1"/>
        <v>9.9999999999999992E-25</v>
      </c>
    </row>
    <row r="3" spans="1:50" ht="17" x14ac:dyDescent="0.2">
      <c r="A3" t="str">
        <f>TEXT(10.93,"#"".505#""°F""#""")</f>
        <v>11.505#°F#</v>
      </c>
      <c r="B3">
        <f t="shared" ref="B3:B66" si="2">TRUNC(E3)</f>
        <v>-1</v>
      </c>
      <c r="C3">
        <f t="shared" ref="C3:C66" si="3">TRUNC(E3,1)</f>
        <v>-1</v>
      </c>
      <c r="D3">
        <f t="shared" ref="D3:D66" si="4">TRUNC(E3,-1)</f>
        <v>0</v>
      </c>
      <c r="E3">
        <v>-1.01</v>
      </c>
      <c r="G3">
        <v>2</v>
      </c>
      <c r="H3" s="2" t="s">
        <v>782</v>
      </c>
      <c r="I3" t="str" cm="1">
        <f t="array" ref="I3">_xlfn.REGEXEXTRACT(H2,"[0-9()]+ [0-9-]+", 0)</f>
        <v>(378) 555-4195</v>
      </c>
      <c r="J3" t="str" cm="1">
        <f t="array" ref="J3:J4">_xlfn.REGEXEXTRACT(H2:H3,"[0-9()]+ [0-9-]+", G2:G3)</f>
        <v>(378) 555-4195</v>
      </c>
      <c r="K3" t="e" cm="1" vm="142">
        <f t="array" ref="K3">_xlfn.REGEXEXTRACT("Sonia Rees    (378) 555-4197","[0-9()]+ [0-9-]+", 2)</f>
        <v>#VALUE!</v>
      </c>
      <c r="M3" t="str" cm="1">
        <f t="array" ref="M3:O3">_xlfn.REGEXEXTRACT("1a2b3c","((\d)[bc]+|(3c))", 2)</f>
        <v>2b</v>
      </c>
      <c r="N3" t="str">
        <v>2</v>
      </c>
      <c r="O3" t="e" vm="143">
        <v>#N/A</v>
      </c>
      <c r="Q3" t="e" vm="119">
        <f>FIXED("123456789076754345682.2121234567832131341","3", "1")</f>
        <v>#VALUE!</v>
      </c>
      <c r="R3" t="e" vm="144">
        <f>FIXED("123456789076754345682.2121234567832131341","3", "d")</f>
        <v>#VALUE!</v>
      </c>
      <c r="T3" s="62" t="s">
        <v>617</v>
      </c>
      <c r="U3" s="66">
        <f t="shared" ref="U3:U17" si="5">CONVERT(1,T3,"g")</f>
        <v>14593.902937206363</v>
      </c>
      <c r="V3">
        <f t="shared" ref="V3:V17" si="6">CONVERT(2,T3,"g")/U3</f>
        <v>2</v>
      </c>
      <c r="W3">
        <f t="shared" ref="W3:W17" si="7">CONVERT(U3,"g",T3)</f>
        <v>1</v>
      </c>
      <c r="X3" t="e">
        <f t="shared" si="0"/>
        <v>#N/A</v>
      </c>
      <c r="Y3" t="e">
        <f t="shared" ref="Y3:AM3" si="8">CONVERT(1,Y$1&amp;$T3,"g")</f>
        <v>#N/A</v>
      </c>
      <c r="Z3" t="e">
        <f t="shared" si="8"/>
        <v>#N/A</v>
      </c>
      <c r="AA3" t="e">
        <f t="shared" si="8"/>
        <v>#N/A</v>
      </c>
      <c r="AB3" t="e">
        <f t="shared" si="8"/>
        <v>#N/A</v>
      </c>
      <c r="AC3" t="e">
        <f t="shared" si="8"/>
        <v>#N/A</v>
      </c>
      <c r="AD3" t="e">
        <f t="shared" si="8"/>
        <v>#N/A</v>
      </c>
      <c r="AE3" t="e">
        <f t="shared" si="8"/>
        <v>#N/A</v>
      </c>
      <c r="AF3" t="e">
        <f t="shared" si="8"/>
        <v>#N/A</v>
      </c>
      <c r="AG3" t="e">
        <f t="shared" si="8"/>
        <v>#N/A</v>
      </c>
      <c r="AH3" t="e">
        <f t="shared" si="8"/>
        <v>#N/A</v>
      </c>
      <c r="AI3" t="e">
        <f t="shared" si="8"/>
        <v>#N/A</v>
      </c>
      <c r="AJ3" t="e">
        <f t="shared" si="8"/>
        <v>#N/A</v>
      </c>
      <c r="AK3" t="e">
        <f t="shared" si="8"/>
        <v>#N/A</v>
      </c>
      <c r="AL3" t="e">
        <f t="shared" si="8"/>
        <v>#N/A</v>
      </c>
      <c r="AM3" t="e">
        <f t="shared" si="8"/>
        <v>#N/A</v>
      </c>
      <c r="AN3" t="e">
        <f t="shared" si="1"/>
        <v>#N/A</v>
      </c>
      <c r="AO3" t="e">
        <f t="shared" si="1"/>
        <v>#N/A</v>
      </c>
      <c r="AP3" t="e">
        <f t="shared" si="1"/>
        <v>#N/A</v>
      </c>
      <c r="AQ3" t="e">
        <f t="shared" si="1"/>
        <v>#N/A</v>
      </c>
      <c r="AR3" t="e">
        <f t="shared" si="1"/>
        <v>#N/A</v>
      </c>
      <c r="AX3" s="4" t="e" cm="1" vm="145">
        <f t="array" ref="AX3">_xlfn.PIVOTBY(LOOKUP!C93:C111,LOOKUP!F93:F111,LOOKUP!I93:I111,_xleta.PERCENTOF,1,3,1,3,1,LOOKUP!K93:K111,0)</f>
        <v>#VALUE!</v>
      </c>
    </row>
    <row r="4" spans="1:50" x14ac:dyDescent="0.2">
      <c r="A4" t="e">
        <f>TEXT(1.23,"#""°F""""")</f>
        <v>#VALUE!</v>
      </c>
      <c r="B4">
        <f t="shared" si="2"/>
        <v>-1</v>
      </c>
      <c r="C4">
        <f t="shared" si="3"/>
        <v>-1</v>
      </c>
      <c r="D4">
        <f t="shared" si="4"/>
        <v>0</v>
      </c>
      <c r="E4">
        <v>-1</v>
      </c>
      <c r="I4" t="str" cm="1">
        <f t="array" ref="I4">_xlfn.REGEXEXTRACT(H2,"([0-9()]+) [0-9-]+", 2)</f>
        <v>(378)</v>
      </c>
      <c r="J4" t="e" vm="142">
        <v>#VALUE!</v>
      </c>
      <c r="N4" t="str">
        <f>FIXED("123456789076754345682.2121234567832131341","3", 0)</f>
        <v>123,456,789,076,754,000,000.000</v>
      </c>
      <c r="O4" t="e" vm="146">
        <f>FIXED("123456789076754345682.2121234567832131341","3", "0")</f>
        <v>#VALUE!</v>
      </c>
      <c r="P4" t="str">
        <f>FIXED("123456789076754345682.2121234567832131341","3", 2)</f>
        <v>123456789076754000000.000</v>
      </c>
      <c r="Q4" t="str">
        <f>FIXED("123456789076754345682.2121234567832131341","3", "TRuE")</f>
        <v>123456789076754000000.000</v>
      </c>
      <c r="R4" t="str">
        <f>FIXED("123456789076754345682.2121234567832131341","3", "FALSE")</f>
        <v>123,456,789,076,754,000,000.000</v>
      </c>
      <c r="T4" s="62" t="s">
        <v>618</v>
      </c>
      <c r="U4" s="66">
        <f t="shared" si="5"/>
        <v>453.59237000000002</v>
      </c>
      <c r="V4">
        <f t="shared" si="6"/>
        <v>2</v>
      </c>
      <c r="W4">
        <f t="shared" si="7"/>
        <v>1</v>
      </c>
      <c r="X4" t="e">
        <f t="shared" si="0"/>
        <v>#N/A</v>
      </c>
      <c r="Y4" t="e">
        <f t="shared" si="1"/>
        <v>#N/A</v>
      </c>
      <c r="Z4" t="e">
        <f t="shared" si="1"/>
        <v>#N/A</v>
      </c>
      <c r="AA4" t="e">
        <f t="shared" si="1"/>
        <v>#N/A</v>
      </c>
      <c r="AB4" t="e">
        <f t="shared" si="1"/>
        <v>#N/A</v>
      </c>
      <c r="AC4" t="e">
        <f t="shared" si="1"/>
        <v>#N/A</v>
      </c>
      <c r="AD4" t="e">
        <f t="shared" si="1"/>
        <v>#N/A</v>
      </c>
      <c r="AE4" t="e">
        <f t="shared" si="1"/>
        <v>#N/A</v>
      </c>
      <c r="AF4" t="e">
        <f t="shared" si="1"/>
        <v>#N/A</v>
      </c>
      <c r="AG4" t="e">
        <f t="shared" si="1"/>
        <v>#N/A</v>
      </c>
      <c r="AH4" t="e">
        <f t="shared" si="1"/>
        <v>#N/A</v>
      </c>
      <c r="AI4" t="e">
        <f t="shared" si="1"/>
        <v>#N/A</v>
      </c>
      <c r="AJ4" t="e">
        <f t="shared" si="1"/>
        <v>#N/A</v>
      </c>
      <c r="AK4" t="e">
        <f t="shared" si="1"/>
        <v>#N/A</v>
      </c>
      <c r="AL4" t="e">
        <f t="shared" si="1"/>
        <v>#N/A</v>
      </c>
      <c r="AM4" t="e">
        <f t="shared" si="1"/>
        <v>#N/A</v>
      </c>
      <c r="AN4" t="e">
        <f t="shared" si="1"/>
        <v>#N/A</v>
      </c>
      <c r="AO4" t="e">
        <f t="shared" si="1"/>
        <v>#N/A</v>
      </c>
      <c r="AP4" t="e">
        <f t="shared" si="1"/>
        <v>#N/A</v>
      </c>
      <c r="AQ4" t="e">
        <f t="shared" si="1"/>
        <v>#N/A</v>
      </c>
      <c r="AR4" t="e">
        <f t="shared" si="1"/>
        <v>#N/A</v>
      </c>
    </row>
    <row r="5" spans="1:50" x14ac:dyDescent="0.2">
      <c r="A5" t="str">
        <f>TEXT(1000000,"##,00.00")</f>
        <v>1,000,000.00</v>
      </c>
      <c r="B5">
        <f t="shared" si="2"/>
        <v>0</v>
      </c>
      <c r="C5">
        <f t="shared" si="3"/>
        <v>-0.9</v>
      </c>
      <c r="D5">
        <f t="shared" si="4"/>
        <v>0</v>
      </c>
      <c r="E5">
        <v>-0.99</v>
      </c>
      <c r="I5" t="e" cm="1" vm="124">
        <f t="array" ref="I5">_xlfn.REGEXEXTRACT(H5,"[0-9()]+ [0-9-]+", 1)</f>
        <v>#N/A</v>
      </c>
      <c r="P5" t="str">
        <f>FIXED("123456789076754345682.2121234567832131341",O5, 2)</f>
        <v>123456789076754000000</v>
      </c>
      <c r="Q5" t="str">
        <f>FIXED(10001,"36", "FALSe")</f>
        <v>10,001.000000000000000000000000000000000000</v>
      </c>
      <c r="T5" s="62" t="s">
        <v>619</v>
      </c>
      <c r="U5" s="66">
        <f t="shared" si="5"/>
        <v>1.660538782E-24</v>
      </c>
      <c r="V5">
        <f t="shared" si="6"/>
        <v>2</v>
      </c>
      <c r="W5">
        <f t="shared" si="7"/>
        <v>1</v>
      </c>
      <c r="X5">
        <f t="shared" si="0"/>
        <v>1.6605387819999999</v>
      </c>
      <c r="Y5">
        <f t="shared" si="1"/>
        <v>1.6605387819999999E-3</v>
      </c>
      <c r="Z5">
        <f t="shared" si="1"/>
        <v>1.6605387820000001E-6</v>
      </c>
      <c r="AA5">
        <f t="shared" si="1"/>
        <v>1.660538782E-9</v>
      </c>
      <c r="AB5">
        <f t="shared" si="1"/>
        <v>1.660538782E-12</v>
      </c>
      <c r="AC5">
        <f t="shared" si="1"/>
        <v>1.660538782E-15</v>
      </c>
      <c r="AD5">
        <f t="shared" si="1"/>
        <v>1.660538782E-18</v>
      </c>
      <c r="AE5">
        <f t="shared" si="1"/>
        <v>1.6605387819999999E-21</v>
      </c>
      <c r="AF5">
        <f t="shared" si="1"/>
        <v>1.660538782E-22</v>
      </c>
      <c r="AG5">
        <f t="shared" si="1"/>
        <v>1.6605387819999999E-23</v>
      </c>
      <c r="AH5">
        <f t="shared" si="1"/>
        <v>1.6605387819999999E-23</v>
      </c>
      <c r="AI5">
        <f t="shared" si="1"/>
        <v>1.6605387820000001E-25</v>
      </c>
      <c r="AJ5">
        <f t="shared" si="1"/>
        <v>1.6605387820000001E-26</v>
      </c>
      <c r="AK5">
        <f t="shared" si="1"/>
        <v>1.6605387820000001E-27</v>
      </c>
      <c r="AL5">
        <f t="shared" si="1"/>
        <v>1.6605387820000001E-30</v>
      </c>
      <c r="AM5">
        <f t="shared" si="1"/>
        <v>1.6605387820000002E-33</v>
      </c>
      <c r="AN5">
        <f t="shared" si="1"/>
        <v>1.6605387820000001E-36</v>
      </c>
      <c r="AO5">
        <f t="shared" si="1"/>
        <v>1.6605387820000001E-39</v>
      </c>
      <c r="AP5">
        <f t="shared" si="1"/>
        <v>1.6605387820000001E-42</v>
      </c>
      <c r="AQ5">
        <f t="shared" si="1"/>
        <v>1.6605387819999998E-45</v>
      </c>
      <c r="AR5">
        <f t="shared" si="1"/>
        <v>1.6605387819999999E-48</v>
      </c>
    </row>
    <row r="6" spans="1:50" x14ac:dyDescent="0.2">
      <c r="A6" t="str">
        <f>TEXT(1.23,"#%%%")</f>
        <v>1230000%%%</v>
      </c>
      <c r="B6">
        <f t="shared" si="2"/>
        <v>0</v>
      </c>
      <c r="C6">
        <f t="shared" si="3"/>
        <v>-0.9</v>
      </c>
      <c r="D6">
        <f t="shared" si="4"/>
        <v>0</v>
      </c>
      <c r="E6">
        <v>-0.98</v>
      </c>
      <c r="I6" t="e" cm="1" vm="124">
        <f t="array" ref="I6">_xlfn.REGEXEXTRACT(H5,"[0-9()]+ [0-9-]+", 0)</f>
        <v>#N/A</v>
      </c>
      <c r="K6" t="str">
        <f t="array" ref="K6:L6">_xlfn.REGEXEXTRACT("abc","([ac]+)", 1)</f>
        <v>a</v>
      </c>
      <c r="L6" t="str">
        <v>c</v>
      </c>
      <c r="T6" s="62" t="s">
        <v>620</v>
      </c>
      <c r="U6" s="66">
        <f t="shared" si="5"/>
        <v>28.349523125000001</v>
      </c>
      <c r="V6">
        <f t="shared" si="6"/>
        <v>2</v>
      </c>
      <c r="W6">
        <f t="shared" si="7"/>
        <v>1</v>
      </c>
      <c r="X6" t="e">
        <f t="shared" si="0"/>
        <v>#N/A</v>
      </c>
      <c r="Y6" t="e">
        <f t="shared" si="1"/>
        <v>#N/A</v>
      </c>
      <c r="Z6" t="e">
        <f t="shared" si="1"/>
        <v>#N/A</v>
      </c>
      <c r="AA6" t="e">
        <f t="shared" si="1"/>
        <v>#N/A</v>
      </c>
      <c r="AB6" t="e">
        <f t="shared" si="1"/>
        <v>#N/A</v>
      </c>
      <c r="AC6" t="e">
        <f t="shared" si="1"/>
        <v>#N/A</v>
      </c>
      <c r="AD6" t="e">
        <f t="shared" si="1"/>
        <v>#N/A</v>
      </c>
      <c r="AE6" t="e">
        <f t="shared" si="1"/>
        <v>#N/A</v>
      </c>
      <c r="AF6" t="e">
        <f t="shared" si="1"/>
        <v>#N/A</v>
      </c>
      <c r="AG6" t="e">
        <f t="shared" si="1"/>
        <v>#N/A</v>
      </c>
      <c r="AH6" t="e">
        <f t="shared" si="1"/>
        <v>#N/A</v>
      </c>
      <c r="AI6" t="e">
        <f t="shared" si="1"/>
        <v>#N/A</v>
      </c>
      <c r="AJ6" t="e">
        <f t="shared" si="1"/>
        <v>#N/A</v>
      </c>
      <c r="AK6" t="e">
        <f t="shared" si="1"/>
        <v>#N/A</v>
      </c>
      <c r="AL6" t="e">
        <f t="shared" si="1"/>
        <v>#N/A</v>
      </c>
      <c r="AM6" t="e">
        <f t="shared" si="1"/>
        <v>#N/A</v>
      </c>
      <c r="AN6" t="e">
        <f t="shared" si="1"/>
        <v>#N/A</v>
      </c>
      <c r="AO6" t="e">
        <f t="shared" si="1"/>
        <v>#N/A</v>
      </c>
      <c r="AP6" t="e">
        <f t="shared" si="1"/>
        <v>#N/A</v>
      </c>
      <c r="AQ6" t="e">
        <f t="shared" si="1"/>
        <v>#N/A</v>
      </c>
      <c r="AR6" t="e">
        <f t="shared" si="1"/>
        <v>#N/A</v>
      </c>
    </row>
    <row r="7" spans="1:50" x14ac:dyDescent="0.2">
      <c r="A7" t="str">
        <f>TEXT(1.23,0)</f>
        <v>1</v>
      </c>
      <c r="B7">
        <f t="shared" si="2"/>
        <v>0</v>
      </c>
      <c r="C7">
        <f t="shared" si="3"/>
        <v>-0.9</v>
      </c>
      <c r="D7">
        <f t="shared" si="4"/>
        <v>0</v>
      </c>
      <c r="E7">
        <v>-0.97</v>
      </c>
      <c r="I7" t="e" cm="1" vm="124">
        <f t="array" ref="I7">_xlfn.REGEXEXTRACT(H5,"([0-9()]+) [0-9-]+", 2)</f>
        <v>#N/A</v>
      </c>
      <c r="T7" s="62" t="s">
        <v>621</v>
      </c>
      <c r="U7" s="66">
        <f t="shared" si="5"/>
        <v>6.4798910000000001E-2</v>
      </c>
      <c r="V7">
        <f t="shared" si="6"/>
        <v>2</v>
      </c>
      <c r="W7">
        <f t="shared" si="7"/>
        <v>1</v>
      </c>
      <c r="X7" t="e">
        <f t="shared" si="0"/>
        <v>#N/A</v>
      </c>
      <c r="Y7" t="e">
        <f t="shared" si="1"/>
        <v>#N/A</v>
      </c>
      <c r="Z7" t="e">
        <f t="shared" si="1"/>
        <v>#N/A</v>
      </c>
      <c r="AA7" t="e">
        <f t="shared" si="1"/>
        <v>#N/A</v>
      </c>
      <c r="AB7" t="e">
        <f t="shared" si="1"/>
        <v>#N/A</v>
      </c>
      <c r="AC7" t="e">
        <f t="shared" si="1"/>
        <v>#N/A</v>
      </c>
      <c r="AD7" t="e">
        <f t="shared" si="1"/>
        <v>#N/A</v>
      </c>
      <c r="AE7" t="e">
        <f t="shared" si="1"/>
        <v>#N/A</v>
      </c>
      <c r="AF7" t="e">
        <f t="shared" si="1"/>
        <v>#N/A</v>
      </c>
      <c r="AG7" t="e">
        <f t="shared" si="1"/>
        <v>#N/A</v>
      </c>
      <c r="AH7" t="e">
        <f t="shared" si="1"/>
        <v>#N/A</v>
      </c>
      <c r="AI7" t="e">
        <f t="shared" si="1"/>
        <v>#N/A</v>
      </c>
      <c r="AJ7" t="e">
        <f t="shared" si="1"/>
        <v>#N/A</v>
      </c>
      <c r="AK7" t="e">
        <f t="shared" si="1"/>
        <v>#N/A</v>
      </c>
      <c r="AL7" t="e">
        <f t="shared" si="1"/>
        <v>#N/A</v>
      </c>
      <c r="AM7" t="e">
        <f t="shared" si="1"/>
        <v>#N/A</v>
      </c>
      <c r="AN7" t="e">
        <f t="shared" si="1"/>
        <v>#N/A</v>
      </c>
      <c r="AO7" t="e">
        <f t="shared" si="1"/>
        <v>#N/A</v>
      </c>
      <c r="AP7" t="e">
        <f t="shared" si="1"/>
        <v>#N/A</v>
      </c>
      <c r="AQ7" t="e">
        <f t="shared" si="1"/>
        <v>#N/A</v>
      </c>
      <c r="AR7" t="e">
        <f t="shared" si="1"/>
        <v>#N/A</v>
      </c>
    </row>
    <row r="8" spans="1:50" x14ac:dyDescent="0.2">
      <c r="A8" t="str">
        <f>TEXT(5.23,0)</f>
        <v>5</v>
      </c>
      <c r="B8">
        <f t="shared" si="2"/>
        <v>0</v>
      </c>
      <c r="C8">
        <f t="shared" si="3"/>
        <v>-0.9</v>
      </c>
      <c r="D8">
        <f t="shared" si="4"/>
        <v>0</v>
      </c>
      <c r="E8">
        <v>-0.96</v>
      </c>
      <c r="T8" s="62" t="s">
        <v>622</v>
      </c>
      <c r="U8" s="66">
        <f t="shared" si="5"/>
        <v>45359.237000000001</v>
      </c>
      <c r="V8">
        <f t="shared" si="6"/>
        <v>2</v>
      </c>
      <c r="W8">
        <f t="shared" si="7"/>
        <v>1</v>
      </c>
      <c r="X8" t="e">
        <f t="shared" si="0"/>
        <v>#N/A</v>
      </c>
      <c r="Y8" t="e">
        <f t="shared" si="1"/>
        <v>#N/A</v>
      </c>
      <c r="Z8" t="e">
        <f t="shared" si="1"/>
        <v>#N/A</v>
      </c>
      <c r="AA8" t="e">
        <f t="shared" si="1"/>
        <v>#N/A</v>
      </c>
      <c r="AB8" t="e">
        <f t="shared" si="1"/>
        <v>#N/A</v>
      </c>
      <c r="AC8" t="e">
        <f t="shared" si="1"/>
        <v>#N/A</v>
      </c>
      <c r="AD8" t="e">
        <f t="shared" si="1"/>
        <v>#N/A</v>
      </c>
      <c r="AE8" t="e">
        <f t="shared" si="1"/>
        <v>#N/A</v>
      </c>
      <c r="AF8" t="e">
        <f t="shared" si="1"/>
        <v>#N/A</v>
      </c>
      <c r="AG8" t="e">
        <f t="shared" si="1"/>
        <v>#N/A</v>
      </c>
      <c r="AH8" t="e">
        <f t="shared" si="1"/>
        <v>#N/A</v>
      </c>
      <c r="AI8" t="e">
        <f t="shared" si="1"/>
        <v>#N/A</v>
      </c>
      <c r="AJ8" t="e">
        <f t="shared" si="1"/>
        <v>#N/A</v>
      </c>
      <c r="AK8" t="e">
        <f t="shared" si="1"/>
        <v>#N/A</v>
      </c>
      <c r="AL8" t="e">
        <f t="shared" si="1"/>
        <v>#N/A</v>
      </c>
      <c r="AM8" t="e">
        <f t="shared" si="1"/>
        <v>#N/A</v>
      </c>
      <c r="AN8" t="e">
        <f t="shared" si="1"/>
        <v>#N/A</v>
      </c>
      <c r="AO8" t="e">
        <f t="shared" si="1"/>
        <v>#N/A</v>
      </c>
      <c r="AP8" t="e">
        <f t="shared" si="1"/>
        <v>#N/A</v>
      </c>
      <c r="AQ8" t="e">
        <f t="shared" si="1"/>
        <v>#N/A</v>
      </c>
      <c r="AR8" t="e">
        <f t="shared" si="1"/>
        <v>#N/A</v>
      </c>
    </row>
    <row r="9" spans="1:50" x14ac:dyDescent="0.2">
      <c r="A9" t="str">
        <f>TEXT(10000,"#000000.##")</f>
        <v>010000.</v>
      </c>
      <c r="B9">
        <f t="shared" si="2"/>
        <v>0</v>
      </c>
      <c r="C9">
        <f t="shared" si="3"/>
        <v>-0.9</v>
      </c>
      <c r="D9">
        <f t="shared" si="4"/>
        <v>0</v>
      </c>
      <c r="E9">
        <v>-0.95</v>
      </c>
      <c r="T9" s="62" t="s">
        <v>623</v>
      </c>
      <c r="U9" s="66">
        <f t="shared" si="5"/>
        <v>45359.237000000001</v>
      </c>
      <c r="V9">
        <f t="shared" si="6"/>
        <v>2</v>
      </c>
      <c r="W9">
        <f t="shared" si="7"/>
        <v>1</v>
      </c>
      <c r="X9" t="e">
        <f t="shared" si="0"/>
        <v>#N/A</v>
      </c>
      <c r="Y9" t="e">
        <f t="shared" si="1"/>
        <v>#N/A</v>
      </c>
      <c r="Z9" t="e">
        <f t="shared" si="1"/>
        <v>#N/A</v>
      </c>
      <c r="AA9" t="e">
        <f t="shared" si="1"/>
        <v>#N/A</v>
      </c>
      <c r="AB9" t="e">
        <f t="shared" si="1"/>
        <v>#N/A</v>
      </c>
      <c r="AC9" t="e">
        <f t="shared" si="1"/>
        <v>#N/A</v>
      </c>
      <c r="AD9" t="e">
        <f t="shared" si="1"/>
        <v>#N/A</v>
      </c>
      <c r="AE9" t="e">
        <f t="shared" si="1"/>
        <v>#N/A</v>
      </c>
      <c r="AF9" t="e">
        <f t="shared" si="1"/>
        <v>#N/A</v>
      </c>
      <c r="AG9" t="e">
        <f t="shared" si="1"/>
        <v>#N/A</v>
      </c>
      <c r="AH9" t="e">
        <f t="shared" si="1"/>
        <v>#N/A</v>
      </c>
      <c r="AI9" t="e">
        <f t="shared" si="1"/>
        <v>#N/A</v>
      </c>
      <c r="AJ9" t="e">
        <f t="shared" si="1"/>
        <v>#N/A</v>
      </c>
      <c r="AK9" t="e">
        <f t="shared" si="1"/>
        <v>#N/A</v>
      </c>
      <c r="AL9" t="e">
        <f t="shared" si="1"/>
        <v>#N/A</v>
      </c>
      <c r="AM9" t="e">
        <f t="shared" si="1"/>
        <v>#N/A</v>
      </c>
      <c r="AN9" t="e">
        <f t="shared" si="1"/>
        <v>#N/A</v>
      </c>
      <c r="AO9" t="e">
        <f t="shared" si="1"/>
        <v>#N/A</v>
      </c>
      <c r="AP9" t="e">
        <f t="shared" si="1"/>
        <v>#N/A</v>
      </c>
      <c r="AQ9" t="e">
        <f t="shared" si="1"/>
        <v>#N/A</v>
      </c>
      <c r="AR9" t="e">
        <f t="shared" si="1"/>
        <v>#N/A</v>
      </c>
    </row>
    <row r="10" spans="1:50" x14ac:dyDescent="0.2">
      <c r="A10" t="str">
        <f>TEXT(1,"000000.##")</f>
        <v>000001.</v>
      </c>
      <c r="B10">
        <f t="shared" si="2"/>
        <v>0</v>
      </c>
      <c r="C10">
        <f t="shared" si="3"/>
        <v>-0.9</v>
      </c>
      <c r="D10">
        <f t="shared" si="4"/>
        <v>0</v>
      </c>
      <c r="E10">
        <v>-0.94</v>
      </c>
      <c r="T10" s="62" t="s">
        <v>624</v>
      </c>
      <c r="U10" s="66">
        <f t="shared" si="5"/>
        <v>50802.345439999997</v>
      </c>
      <c r="V10">
        <f t="shared" si="6"/>
        <v>2</v>
      </c>
      <c r="W10">
        <f t="shared" si="7"/>
        <v>1</v>
      </c>
      <c r="X10" t="e">
        <f t="shared" si="0"/>
        <v>#N/A</v>
      </c>
      <c r="Y10" t="e">
        <f t="shared" si="1"/>
        <v>#N/A</v>
      </c>
      <c r="Z10" t="e">
        <f t="shared" si="1"/>
        <v>#N/A</v>
      </c>
      <c r="AA10" t="e">
        <f t="shared" si="1"/>
        <v>#N/A</v>
      </c>
      <c r="AB10" t="e">
        <f t="shared" si="1"/>
        <v>#N/A</v>
      </c>
      <c r="AC10" t="e">
        <f t="shared" si="1"/>
        <v>#N/A</v>
      </c>
      <c r="AD10" t="e">
        <f t="shared" si="1"/>
        <v>#N/A</v>
      </c>
      <c r="AE10" t="e">
        <f t="shared" si="1"/>
        <v>#N/A</v>
      </c>
      <c r="AF10" t="e">
        <f t="shared" si="1"/>
        <v>#N/A</v>
      </c>
      <c r="AG10" t="e">
        <f t="shared" si="1"/>
        <v>#N/A</v>
      </c>
      <c r="AH10" t="e">
        <f t="shared" si="1"/>
        <v>#N/A</v>
      </c>
      <c r="AI10" t="e">
        <f t="shared" si="1"/>
        <v>#N/A</v>
      </c>
      <c r="AJ10" t="e">
        <f t="shared" si="1"/>
        <v>#N/A</v>
      </c>
      <c r="AK10" t="e">
        <f t="shared" si="1"/>
        <v>#N/A</v>
      </c>
      <c r="AL10" t="e">
        <f t="shared" si="1"/>
        <v>#N/A</v>
      </c>
      <c r="AM10" t="e">
        <f t="shared" si="1"/>
        <v>#N/A</v>
      </c>
      <c r="AN10" t="e">
        <f t="shared" si="1"/>
        <v>#N/A</v>
      </c>
      <c r="AO10" t="e">
        <f t="shared" si="1"/>
        <v>#N/A</v>
      </c>
      <c r="AP10" t="e">
        <f t="shared" si="1"/>
        <v>#N/A</v>
      </c>
      <c r="AQ10" t="e">
        <f t="shared" si="1"/>
        <v>#N/A</v>
      </c>
      <c r="AR10" t="e">
        <f t="shared" si="1"/>
        <v>#N/A</v>
      </c>
    </row>
    <row r="11" spans="1:50" x14ac:dyDescent="0.2">
      <c r="A11" t="str">
        <f>TEXT(1.23,"## %%%")</f>
        <v>1230000 %%%</v>
      </c>
      <c r="B11">
        <f t="shared" si="2"/>
        <v>0</v>
      </c>
      <c r="C11">
        <f t="shared" si="3"/>
        <v>-0.9</v>
      </c>
      <c r="D11">
        <f t="shared" si="4"/>
        <v>0</v>
      </c>
      <c r="E11">
        <v>-0.92999999999999994</v>
      </c>
      <c r="T11" s="62" t="s">
        <v>625</v>
      </c>
      <c r="U11" s="66">
        <f t="shared" si="5"/>
        <v>50802.345439999997</v>
      </c>
      <c r="V11">
        <f t="shared" si="6"/>
        <v>2</v>
      </c>
      <c r="W11">
        <f t="shared" si="7"/>
        <v>1</v>
      </c>
      <c r="X11" t="e">
        <f t="shared" si="0"/>
        <v>#N/A</v>
      </c>
      <c r="Y11" t="e">
        <f t="shared" si="1"/>
        <v>#N/A</v>
      </c>
      <c r="Z11" t="e">
        <f t="shared" si="1"/>
        <v>#N/A</v>
      </c>
      <c r="AA11" t="e">
        <f t="shared" si="1"/>
        <v>#N/A</v>
      </c>
      <c r="AB11" t="e">
        <f t="shared" si="1"/>
        <v>#N/A</v>
      </c>
      <c r="AC11" t="e">
        <f t="shared" si="1"/>
        <v>#N/A</v>
      </c>
      <c r="AD11" t="e">
        <f t="shared" si="1"/>
        <v>#N/A</v>
      </c>
      <c r="AE11" t="e">
        <f t="shared" si="1"/>
        <v>#N/A</v>
      </c>
      <c r="AF11" t="e">
        <f t="shared" si="1"/>
        <v>#N/A</v>
      </c>
      <c r="AG11" t="e">
        <f t="shared" si="1"/>
        <v>#N/A</v>
      </c>
      <c r="AH11" t="e">
        <f t="shared" si="1"/>
        <v>#N/A</v>
      </c>
      <c r="AI11" t="e">
        <f t="shared" si="1"/>
        <v>#N/A</v>
      </c>
      <c r="AJ11" t="e">
        <f t="shared" si="1"/>
        <v>#N/A</v>
      </c>
      <c r="AK11" t="e">
        <f t="shared" si="1"/>
        <v>#N/A</v>
      </c>
      <c r="AL11" t="e">
        <f t="shared" si="1"/>
        <v>#N/A</v>
      </c>
      <c r="AM11" t="e">
        <f t="shared" si="1"/>
        <v>#N/A</v>
      </c>
      <c r="AN11" t="e">
        <f t="shared" si="1"/>
        <v>#N/A</v>
      </c>
      <c r="AO11" t="e">
        <f t="shared" si="1"/>
        <v>#N/A</v>
      </c>
      <c r="AP11" t="e">
        <f t="shared" si="1"/>
        <v>#N/A</v>
      </c>
      <c r="AQ11" t="e">
        <f t="shared" si="1"/>
        <v>#N/A</v>
      </c>
      <c r="AR11" t="e">
        <f t="shared" si="1"/>
        <v>#N/A</v>
      </c>
    </row>
    <row r="12" spans="1:50" x14ac:dyDescent="0.2">
      <c r="A12" t="str">
        <f>TEXT(1.23,"# ### %%%")</f>
        <v>1230 000 %%%</v>
      </c>
      <c r="B12">
        <f t="shared" si="2"/>
        <v>0</v>
      </c>
      <c r="C12">
        <f t="shared" si="3"/>
        <v>-0.9</v>
      </c>
      <c r="D12">
        <f t="shared" si="4"/>
        <v>0</v>
      </c>
      <c r="E12">
        <v>-0.91999999999999993</v>
      </c>
      <c r="T12" s="62" t="s">
        <v>626</v>
      </c>
      <c r="U12" s="66">
        <f t="shared" si="5"/>
        <v>50802.345439999997</v>
      </c>
      <c r="V12">
        <f t="shared" si="6"/>
        <v>2</v>
      </c>
      <c r="W12">
        <f t="shared" si="7"/>
        <v>1</v>
      </c>
      <c r="X12" t="e">
        <f t="shared" si="0"/>
        <v>#N/A</v>
      </c>
      <c r="Y12" t="e">
        <f t="shared" si="1"/>
        <v>#N/A</v>
      </c>
      <c r="Z12" t="e">
        <f t="shared" si="1"/>
        <v>#N/A</v>
      </c>
      <c r="AA12" t="e">
        <f t="shared" si="1"/>
        <v>#N/A</v>
      </c>
      <c r="AB12" t="e">
        <f t="shared" si="1"/>
        <v>#N/A</v>
      </c>
      <c r="AC12" t="e">
        <f t="shared" si="1"/>
        <v>#N/A</v>
      </c>
      <c r="AD12" t="e">
        <f t="shared" si="1"/>
        <v>#N/A</v>
      </c>
      <c r="AE12" t="e">
        <f t="shared" si="1"/>
        <v>#N/A</v>
      </c>
      <c r="AF12" t="e">
        <f t="shared" si="1"/>
        <v>#N/A</v>
      </c>
      <c r="AG12" t="e">
        <f t="shared" si="1"/>
        <v>#N/A</v>
      </c>
      <c r="AH12" t="e">
        <f t="shared" si="1"/>
        <v>#N/A</v>
      </c>
      <c r="AI12" t="e">
        <f t="shared" si="1"/>
        <v>#N/A</v>
      </c>
      <c r="AJ12" t="e">
        <f t="shared" si="1"/>
        <v>#N/A</v>
      </c>
      <c r="AK12" t="e">
        <f t="shared" si="1"/>
        <v>#N/A</v>
      </c>
      <c r="AL12" t="e">
        <f t="shared" si="1"/>
        <v>#N/A</v>
      </c>
      <c r="AM12" t="e">
        <f t="shared" si="1"/>
        <v>#N/A</v>
      </c>
      <c r="AN12" t="e">
        <f t="shared" si="1"/>
        <v>#N/A</v>
      </c>
      <c r="AO12" t="e">
        <f t="shared" si="1"/>
        <v>#N/A</v>
      </c>
      <c r="AP12" t="e">
        <f t="shared" si="1"/>
        <v>#N/A</v>
      </c>
      <c r="AQ12" t="e">
        <f t="shared" si="1"/>
        <v>#N/A</v>
      </c>
      <c r="AR12" t="e">
        <f t="shared" si="1"/>
        <v>#N/A</v>
      </c>
    </row>
    <row r="13" spans="1:50" x14ac:dyDescent="0.2">
      <c r="A13" t="str">
        <f>TEXT(1234567890,"0,## ##, ##")</f>
        <v>1,234,56 7,8 90</v>
      </c>
      <c r="B13">
        <f t="shared" si="2"/>
        <v>0</v>
      </c>
      <c r="C13">
        <f t="shared" si="3"/>
        <v>-0.9</v>
      </c>
      <c r="D13">
        <f t="shared" si="4"/>
        <v>0</v>
      </c>
      <c r="E13">
        <v>-0.90999999999999992</v>
      </c>
      <c r="I13">
        <v>1</v>
      </c>
      <c r="J13">
        <v>2</v>
      </c>
      <c r="K13">
        <v>3</v>
      </c>
      <c r="L13">
        <v>4</v>
      </c>
      <c r="T13" s="62" t="s">
        <v>627</v>
      </c>
      <c r="U13" s="66">
        <f t="shared" si="5"/>
        <v>6350.2931799999997</v>
      </c>
      <c r="V13">
        <f t="shared" si="6"/>
        <v>2</v>
      </c>
      <c r="W13">
        <f t="shared" si="7"/>
        <v>1</v>
      </c>
      <c r="X13" t="e">
        <f t="shared" si="0"/>
        <v>#N/A</v>
      </c>
      <c r="Y13" t="e">
        <f t="shared" si="1"/>
        <v>#N/A</v>
      </c>
      <c r="Z13" t="e">
        <f t="shared" si="1"/>
        <v>#N/A</v>
      </c>
      <c r="AA13" t="e">
        <f t="shared" si="1"/>
        <v>#N/A</v>
      </c>
      <c r="AB13" t="e">
        <f t="shared" si="1"/>
        <v>#N/A</v>
      </c>
      <c r="AC13" t="e">
        <f t="shared" si="1"/>
        <v>#N/A</v>
      </c>
      <c r="AD13" t="e">
        <f t="shared" si="1"/>
        <v>#N/A</v>
      </c>
      <c r="AE13" t="e">
        <f t="shared" si="1"/>
        <v>#N/A</v>
      </c>
      <c r="AF13" t="e">
        <f t="shared" si="1"/>
        <v>#N/A</v>
      </c>
      <c r="AG13" t="e">
        <f t="shared" si="1"/>
        <v>#N/A</v>
      </c>
      <c r="AH13" t="e">
        <f t="shared" si="1"/>
        <v>#N/A</v>
      </c>
      <c r="AI13" t="e">
        <f t="shared" si="1"/>
        <v>#N/A</v>
      </c>
      <c r="AJ13" t="e">
        <f t="shared" si="1"/>
        <v>#N/A</v>
      </c>
      <c r="AK13" t="e">
        <f t="shared" si="1"/>
        <v>#N/A</v>
      </c>
      <c r="AL13" t="e">
        <f t="shared" si="1"/>
        <v>#N/A</v>
      </c>
      <c r="AM13" t="e">
        <f t="shared" si="1"/>
        <v>#N/A</v>
      </c>
      <c r="AN13" t="e">
        <f t="shared" si="1"/>
        <v>#N/A</v>
      </c>
      <c r="AO13" t="e">
        <f t="shared" si="1"/>
        <v>#N/A</v>
      </c>
      <c r="AP13" t="e">
        <f t="shared" si="1"/>
        <v>#N/A</v>
      </c>
      <c r="AQ13" t="e">
        <f t="shared" si="1"/>
        <v>#N/A</v>
      </c>
      <c r="AR13" t="e">
        <f t="shared" si="1"/>
        <v>#N/A</v>
      </c>
    </row>
    <row r="14" spans="1:50" x14ac:dyDescent="0.2">
      <c r="A14" t="str">
        <f>TEXT(1234567890,"+0,## ## ##")</f>
        <v>+1,234,56 7,8 90</v>
      </c>
      <c r="B14">
        <f t="shared" si="2"/>
        <v>0</v>
      </c>
      <c r="C14">
        <f t="shared" si="3"/>
        <v>-0.9</v>
      </c>
      <c r="D14">
        <f t="shared" si="4"/>
        <v>0</v>
      </c>
      <c r="E14">
        <v>-0.89999999999999991</v>
      </c>
      <c r="J14">
        <v>1</v>
      </c>
      <c r="L14">
        <v>5</v>
      </c>
      <c r="M14" t="s">
        <v>498</v>
      </c>
      <c r="T14" s="62" t="s">
        <v>628</v>
      </c>
      <c r="U14" s="66">
        <f t="shared" si="5"/>
        <v>907184.74</v>
      </c>
      <c r="V14">
        <f t="shared" si="6"/>
        <v>2</v>
      </c>
      <c r="W14">
        <f t="shared" si="7"/>
        <v>1</v>
      </c>
      <c r="X14" t="e">
        <f t="shared" si="0"/>
        <v>#N/A</v>
      </c>
      <c r="Y14" t="e">
        <f t="shared" si="1"/>
        <v>#N/A</v>
      </c>
      <c r="Z14" t="e">
        <f t="shared" si="1"/>
        <v>#N/A</v>
      </c>
      <c r="AA14" t="e">
        <f t="shared" si="1"/>
        <v>#N/A</v>
      </c>
      <c r="AB14" t="e">
        <f t="shared" si="1"/>
        <v>#N/A</v>
      </c>
      <c r="AC14" t="e">
        <f t="shared" si="1"/>
        <v>#N/A</v>
      </c>
      <c r="AD14" t="e">
        <f t="shared" si="1"/>
        <v>#N/A</v>
      </c>
      <c r="AE14" t="e">
        <f t="shared" si="1"/>
        <v>#N/A</v>
      </c>
      <c r="AF14" t="e">
        <f t="shared" si="1"/>
        <v>#N/A</v>
      </c>
      <c r="AG14" t="e">
        <f t="shared" si="1"/>
        <v>#N/A</v>
      </c>
      <c r="AH14" t="e">
        <f t="shared" si="1"/>
        <v>#N/A</v>
      </c>
      <c r="AI14" t="e">
        <f t="shared" si="1"/>
        <v>#N/A</v>
      </c>
      <c r="AJ14" t="e">
        <f t="shared" si="1"/>
        <v>#N/A</v>
      </c>
      <c r="AK14" t="e">
        <f t="shared" si="1"/>
        <v>#N/A</v>
      </c>
      <c r="AL14" t="e">
        <f t="shared" si="1"/>
        <v>#N/A</v>
      </c>
      <c r="AM14" t="e">
        <f t="shared" si="1"/>
        <v>#N/A</v>
      </c>
      <c r="AN14" t="e">
        <f t="shared" si="1"/>
        <v>#N/A</v>
      </c>
      <c r="AO14" t="e">
        <f t="shared" si="1"/>
        <v>#N/A</v>
      </c>
      <c r="AP14" t="e">
        <f t="shared" si="1"/>
        <v>#N/A</v>
      </c>
      <c r="AQ14" t="e">
        <f t="shared" si="1"/>
        <v>#N/A</v>
      </c>
      <c r="AR14" t="e">
        <f t="shared" si="1"/>
        <v>#N/A</v>
      </c>
    </row>
    <row r="15" spans="1:50" x14ac:dyDescent="0.2">
      <c r="A15" t="str">
        <f>TEXT(1234567890,"0,## ## ,##")</f>
        <v>1,234,56 7,8 ,90</v>
      </c>
      <c r="B15">
        <f t="shared" si="2"/>
        <v>0</v>
      </c>
      <c r="C15">
        <f t="shared" si="3"/>
        <v>-0.8</v>
      </c>
      <c r="D15">
        <f t="shared" si="4"/>
        <v>0</v>
      </c>
      <c r="E15">
        <v>-0.8899999999999999</v>
      </c>
      <c r="I15">
        <f t="array" ref="I15:L15">_xlfn._xlws.FILTER($I$13:$L$13,I14:L14)</f>
        <v>2</v>
      </c>
      <c r="J15">
        <v>4</v>
      </c>
      <c r="K15" t="e">
        <v>#N/A</v>
      </c>
      <c r="L15" t="e">
        <v>#N/A</v>
      </c>
      <c r="M15" t="e">
        <f t="array" ref="M15:P15">_xlfn._xlws.FILTER($I$13:$L$13,J14:M14)</f>
        <v>#VALUE!</v>
      </c>
      <c r="N15" t="e">
        <v>#VALUE!</v>
      </c>
      <c r="O15" t="e">
        <v>#VALUE!</v>
      </c>
      <c r="P15" t="e">
        <v>#VALUE!</v>
      </c>
      <c r="T15" s="62" t="s">
        <v>629</v>
      </c>
      <c r="U15" s="66">
        <f t="shared" si="5"/>
        <v>1016046.9088</v>
      </c>
      <c r="V15">
        <f t="shared" si="6"/>
        <v>2</v>
      </c>
      <c r="W15">
        <f t="shared" si="7"/>
        <v>1</v>
      </c>
      <c r="X15" t="e">
        <f t="shared" si="0"/>
        <v>#N/A</v>
      </c>
      <c r="Y15" t="e">
        <f t="shared" si="1"/>
        <v>#N/A</v>
      </c>
      <c r="Z15" t="e">
        <f t="shared" si="1"/>
        <v>#N/A</v>
      </c>
      <c r="AA15" t="e">
        <f t="shared" si="1"/>
        <v>#N/A</v>
      </c>
      <c r="AB15" t="e">
        <f t="shared" si="1"/>
        <v>#N/A</v>
      </c>
      <c r="AC15" t="e">
        <f t="shared" si="1"/>
        <v>#N/A</v>
      </c>
      <c r="AD15" t="e">
        <f t="shared" si="1"/>
        <v>#N/A</v>
      </c>
      <c r="AE15" t="e">
        <f t="shared" si="1"/>
        <v>#N/A</v>
      </c>
      <c r="AF15" t="e">
        <f t="shared" si="1"/>
        <v>#N/A</v>
      </c>
      <c r="AG15" t="e">
        <f t="shared" si="1"/>
        <v>#N/A</v>
      </c>
      <c r="AH15" t="e">
        <f t="shared" si="1"/>
        <v>#N/A</v>
      </c>
      <c r="AI15" t="e">
        <f t="shared" ref="Y15:AR17" si="9">CONVERT(1,AI$1&amp;$T15,"g")</f>
        <v>#N/A</v>
      </c>
      <c r="AJ15" t="e">
        <f t="shared" si="9"/>
        <v>#N/A</v>
      </c>
      <c r="AK15" t="e">
        <f t="shared" si="9"/>
        <v>#N/A</v>
      </c>
      <c r="AL15" t="e">
        <f t="shared" si="9"/>
        <v>#N/A</v>
      </c>
      <c r="AM15" t="e">
        <f t="shared" si="9"/>
        <v>#N/A</v>
      </c>
      <c r="AN15" t="e">
        <f t="shared" si="9"/>
        <v>#N/A</v>
      </c>
      <c r="AO15" t="e">
        <f t="shared" si="9"/>
        <v>#N/A</v>
      </c>
      <c r="AP15" t="e">
        <f t="shared" si="9"/>
        <v>#N/A</v>
      </c>
      <c r="AQ15" t="e">
        <f t="shared" si="9"/>
        <v>#N/A</v>
      </c>
      <c r="AR15" t="e">
        <f t="shared" si="9"/>
        <v>#N/A</v>
      </c>
    </row>
    <row r="16" spans="1:50" x14ac:dyDescent="0.2">
      <c r="A16" t="str">
        <f>TEXT(1000000.555,"0 .  # ,0.00.0,00")</f>
        <v>1000000 .  5 ,5.50.000</v>
      </c>
      <c r="B16">
        <f t="shared" si="2"/>
        <v>0</v>
      </c>
      <c r="C16">
        <f t="shared" si="3"/>
        <v>-0.8</v>
      </c>
      <c r="D16">
        <f t="shared" si="4"/>
        <v>0</v>
      </c>
      <c r="E16">
        <v>-0.87999999999999989</v>
      </c>
      <c r="K16">
        <f t="array" ref="K16:L17">_xlfn._xlws.FILTER({"a",2.1,"b",4.1;"a",2.1,"b",4.1},{FALSE,-2.1,0,4.1})</f>
        <v>2.1</v>
      </c>
      <c r="L16">
        <v>4.0999999999999996</v>
      </c>
      <c r="T16" s="62" t="s">
        <v>630</v>
      </c>
      <c r="U16" s="66">
        <f t="shared" si="5"/>
        <v>1016046.9088</v>
      </c>
      <c r="V16">
        <f t="shared" si="6"/>
        <v>2</v>
      </c>
      <c r="W16">
        <f t="shared" si="7"/>
        <v>1</v>
      </c>
      <c r="X16" t="e">
        <f t="shared" si="0"/>
        <v>#N/A</v>
      </c>
      <c r="Y16" t="e">
        <f t="shared" si="9"/>
        <v>#N/A</v>
      </c>
      <c r="Z16" t="e">
        <f t="shared" si="9"/>
        <v>#N/A</v>
      </c>
      <c r="AA16" t="e">
        <f t="shared" si="9"/>
        <v>#N/A</v>
      </c>
      <c r="AB16" t="e">
        <f t="shared" si="9"/>
        <v>#N/A</v>
      </c>
      <c r="AC16" t="e">
        <f t="shared" si="9"/>
        <v>#N/A</v>
      </c>
      <c r="AD16" t="e">
        <f t="shared" si="9"/>
        <v>#N/A</v>
      </c>
      <c r="AE16" t="e">
        <f t="shared" si="9"/>
        <v>#N/A</v>
      </c>
      <c r="AF16" t="e">
        <f t="shared" si="9"/>
        <v>#N/A</v>
      </c>
      <c r="AG16" t="e">
        <f t="shared" si="9"/>
        <v>#N/A</v>
      </c>
      <c r="AH16" t="e">
        <f t="shared" si="9"/>
        <v>#N/A</v>
      </c>
      <c r="AI16" t="e">
        <f t="shared" si="9"/>
        <v>#N/A</v>
      </c>
      <c r="AJ16" t="e">
        <f t="shared" si="9"/>
        <v>#N/A</v>
      </c>
      <c r="AK16" t="e">
        <f t="shared" si="9"/>
        <v>#N/A</v>
      </c>
      <c r="AL16" t="e">
        <f t="shared" si="9"/>
        <v>#N/A</v>
      </c>
      <c r="AM16" t="e">
        <f t="shared" si="9"/>
        <v>#N/A</v>
      </c>
      <c r="AN16" t="e">
        <f t="shared" si="9"/>
        <v>#N/A</v>
      </c>
      <c r="AO16" t="e">
        <f t="shared" si="9"/>
        <v>#N/A</v>
      </c>
      <c r="AP16" t="e">
        <f t="shared" si="9"/>
        <v>#N/A</v>
      </c>
      <c r="AQ16" t="e">
        <f t="shared" si="9"/>
        <v>#N/A</v>
      </c>
      <c r="AR16" t="e">
        <f t="shared" si="9"/>
        <v>#N/A</v>
      </c>
    </row>
    <row r="17" spans="1:50" x14ac:dyDescent="0.2">
      <c r="A17" t="str">
        <f>TEXT(1234567.555,"#,##000######## .  # ,0.00.0,00")</f>
        <v>00,01,234,567 .  5 ,5.50.000</v>
      </c>
      <c r="B17">
        <f t="shared" si="2"/>
        <v>0</v>
      </c>
      <c r="C17">
        <f t="shared" si="3"/>
        <v>-0.8</v>
      </c>
      <c r="D17">
        <f t="shared" si="4"/>
        <v>0</v>
      </c>
      <c r="E17">
        <v>-0.86999999999999988</v>
      </c>
      <c r="K17">
        <v>2.1</v>
      </c>
      <c r="L17">
        <v>4.0999999999999996</v>
      </c>
      <c r="N17" t="str" cm="1">
        <f t="array" ref="N17:Q17">_xlfn._xlws.FILTER({"a",2.1,"b",4.1},TRUE)</f>
        <v>a</v>
      </c>
      <c r="O17">
        <v>2.1</v>
      </c>
      <c r="P17" t="str">
        <v>b</v>
      </c>
      <c r="Q17">
        <v>4.0999999999999996</v>
      </c>
      <c r="T17" s="62" t="s">
        <v>631</v>
      </c>
      <c r="U17" s="66">
        <f t="shared" si="5"/>
        <v>1016046.9088</v>
      </c>
      <c r="V17">
        <f t="shared" si="6"/>
        <v>2</v>
      </c>
      <c r="W17">
        <f t="shared" si="7"/>
        <v>1</v>
      </c>
      <c r="X17" t="e">
        <f t="shared" si="0"/>
        <v>#N/A</v>
      </c>
      <c r="Y17" t="e">
        <f t="shared" si="9"/>
        <v>#N/A</v>
      </c>
      <c r="Z17" t="e">
        <f t="shared" si="9"/>
        <v>#N/A</v>
      </c>
      <c r="AA17" t="e">
        <f t="shared" si="9"/>
        <v>#N/A</v>
      </c>
      <c r="AB17" t="e">
        <f t="shared" si="9"/>
        <v>#N/A</v>
      </c>
      <c r="AC17" t="e">
        <f t="shared" si="9"/>
        <v>#N/A</v>
      </c>
      <c r="AD17" t="e">
        <f t="shared" si="9"/>
        <v>#N/A</v>
      </c>
      <c r="AE17" t="e">
        <f t="shared" si="9"/>
        <v>#N/A</v>
      </c>
      <c r="AF17" t="e">
        <f t="shared" si="9"/>
        <v>#N/A</v>
      </c>
      <c r="AG17" t="e">
        <f t="shared" si="9"/>
        <v>#N/A</v>
      </c>
      <c r="AH17" t="e">
        <f t="shared" si="9"/>
        <v>#N/A</v>
      </c>
      <c r="AI17" t="e">
        <f t="shared" si="9"/>
        <v>#N/A</v>
      </c>
      <c r="AJ17" t="e">
        <f t="shared" si="9"/>
        <v>#N/A</v>
      </c>
      <c r="AK17" t="e">
        <f t="shared" si="9"/>
        <v>#N/A</v>
      </c>
      <c r="AL17" t="e">
        <f t="shared" si="9"/>
        <v>#N/A</v>
      </c>
      <c r="AM17" t="e">
        <f t="shared" si="9"/>
        <v>#N/A</v>
      </c>
      <c r="AN17" t="e">
        <f t="shared" si="9"/>
        <v>#N/A</v>
      </c>
      <c r="AO17" t="e">
        <f t="shared" si="9"/>
        <v>#N/A</v>
      </c>
      <c r="AP17" t="e">
        <f t="shared" si="9"/>
        <v>#N/A</v>
      </c>
      <c r="AQ17" t="e">
        <f t="shared" si="9"/>
        <v>#N/A</v>
      </c>
      <c r="AR17" t="e">
        <f t="shared" si="9"/>
        <v>#N/A</v>
      </c>
    </row>
    <row r="18" spans="1:50" x14ac:dyDescent="0.2">
      <c r="A18" t="str">
        <f>TEXT(1000000.555,"##00,############# .  # ,0.00.0,00")</f>
        <v>001,000,000 .  5 ,5.50.000</v>
      </c>
      <c r="B18">
        <f t="shared" si="2"/>
        <v>0</v>
      </c>
      <c r="C18">
        <f t="shared" si="3"/>
        <v>-0.8</v>
      </c>
      <c r="D18">
        <f t="shared" si="4"/>
        <v>0</v>
      </c>
      <c r="E18">
        <v>-0.85999999999999988</v>
      </c>
    </row>
    <row r="19" spans="1:50" x14ac:dyDescent="0.2">
      <c r="A19" t="str">
        <f>TEXT(12345678.555,"#,##000######## .  # ,0.00.0,00")</f>
        <v>00,012,345,678 .  5 ,5.50.000</v>
      </c>
      <c r="B19">
        <f t="shared" si="2"/>
        <v>0</v>
      </c>
      <c r="C19">
        <f t="shared" si="3"/>
        <v>-0.8</v>
      </c>
      <c r="D19">
        <f t="shared" si="4"/>
        <v>0</v>
      </c>
      <c r="E19">
        <v>-0.84999999999999987</v>
      </c>
      <c r="L19" t="e" cm="1">
        <f t="array" ref="L19">_xlfn._xlws.FILTER({"a",2.1,"b",4.1},{FALSE;-2.1;4;4})</f>
        <v>#VALUE!</v>
      </c>
      <c r="N19" t="str" cm="1">
        <f t="array" ref="N19:N22">_xlfn._xlws.FILTER({"a";2.1;"b";4.1},TRUE)</f>
        <v>a</v>
      </c>
      <c r="O19" t="e" cm="1">
        <f t="array" ref="O19">_xlfn._xlws.FILTER({"a",2.1,"b",4.1;"a",2.1,"b",4.1},TRUE)</f>
        <v>#VALUE!</v>
      </c>
      <c r="T19" s="62" t="s">
        <v>632</v>
      </c>
      <c r="U19">
        <f>CONVERT(1,T19,"m")</f>
        <v>1</v>
      </c>
      <c r="V19">
        <f>CONVERT(2,T19,"m")/U19</f>
        <v>2</v>
      </c>
      <c r="W19">
        <f>CONVERT(U19,"m",T19)</f>
        <v>1</v>
      </c>
      <c r="X19">
        <f t="shared" ref="X19:X26" si="10">CONVERT(1,X$1&amp;$T19,"m")</f>
        <v>9.9999999999999998E+23</v>
      </c>
      <c r="Y19">
        <f t="shared" ref="Y19:AR32" si="11">CONVERT(1,Y$1&amp;$T19,"m")</f>
        <v>1E+21</v>
      </c>
      <c r="Z19">
        <f t="shared" si="11"/>
        <v>1E+18</v>
      </c>
      <c r="AA19">
        <f t="shared" si="11"/>
        <v>1000000000000000</v>
      </c>
      <c r="AB19">
        <f t="shared" si="11"/>
        <v>1000000000000</v>
      </c>
      <c r="AC19">
        <f t="shared" si="11"/>
        <v>1000000000</v>
      </c>
      <c r="AD19">
        <f t="shared" si="11"/>
        <v>1000000</v>
      </c>
      <c r="AE19">
        <f t="shared" si="11"/>
        <v>1000</v>
      </c>
      <c r="AF19">
        <f t="shared" si="11"/>
        <v>100</v>
      </c>
      <c r="AG19">
        <f t="shared" si="11"/>
        <v>10</v>
      </c>
      <c r="AH19">
        <f t="shared" si="11"/>
        <v>10</v>
      </c>
      <c r="AI19">
        <f t="shared" si="11"/>
        <v>0.1</v>
      </c>
      <c r="AJ19">
        <f t="shared" si="11"/>
        <v>0.01</v>
      </c>
      <c r="AK19">
        <f t="shared" si="11"/>
        <v>1E-3</v>
      </c>
      <c r="AL19">
        <f t="shared" si="11"/>
        <v>9.9999999999999995E-7</v>
      </c>
      <c r="AM19">
        <f t="shared" si="11"/>
        <v>1.0000000000000001E-9</v>
      </c>
      <c r="AN19">
        <f t="shared" si="11"/>
        <v>9.9999999999999998E-13</v>
      </c>
      <c r="AO19">
        <f t="shared" si="11"/>
        <v>1.0000000000000001E-15</v>
      </c>
      <c r="AP19">
        <f t="shared" si="11"/>
        <v>1.0000000000000001E-18</v>
      </c>
      <c r="AQ19">
        <f t="shared" si="11"/>
        <v>9.9999999999999991E-22</v>
      </c>
      <c r="AR19">
        <f t="shared" si="11"/>
        <v>9.9999999999999992E-25</v>
      </c>
    </row>
    <row r="20" spans="1:50" x14ac:dyDescent="0.2">
      <c r="A20" t="str">
        <f>TEXT(1234578.555,"#,##00000000####0### .  # ,0.00.0,00")</f>
        <v>0,000,000,01,234,578 .  5 ,5.50.000</v>
      </c>
      <c r="B20">
        <f t="shared" si="2"/>
        <v>0</v>
      </c>
      <c r="C20">
        <f t="shared" si="3"/>
        <v>-0.8</v>
      </c>
      <c r="D20">
        <f t="shared" si="4"/>
        <v>0</v>
      </c>
      <c r="E20">
        <v>-0.83999999999999986</v>
      </c>
      <c r="F20">
        <v>1</v>
      </c>
      <c r="I20" t="e" cm="1" vm="31">
        <f t="array" ref="I20">_xlfn._xlws.FILTER({"a",2.1,"b",4.1},{FALSE,FALSE,FALSE,FALSE})</f>
        <v>#VALUE!</v>
      </c>
      <c r="J20" t="s">
        <v>496</v>
      </c>
      <c r="K20" t="str">
        <f t="array" ref="K20:K21">_xlfn._xlws.FILTER({"a",2.1,"b",4.1},{FALSE,FALSE,FALSE,FALSE}, J20:J21)</f>
        <v>A</v>
      </c>
      <c r="N20">
        <v>2.1</v>
      </c>
      <c r="T20" s="62" t="s">
        <v>633</v>
      </c>
      <c r="U20">
        <f t="shared" ref="U20:U33" si="12">CONVERT(1,T20,"m")</f>
        <v>1609.3440000000001</v>
      </c>
      <c r="V20">
        <f t="shared" ref="V20:V33" si="13">CONVERT(2,T20,"m")/U20</f>
        <v>2</v>
      </c>
      <c r="W20">
        <f t="shared" ref="W20:W33" si="14">CONVERT(U20,"m",T20)</f>
        <v>1</v>
      </c>
      <c r="X20" t="e">
        <f t="shared" si="10"/>
        <v>#N/A</v>
      </c>
      <c r="Y20" t="e">
        <f t="shared" ref="Y20:AM20" si="15">CONVERT(1,Y$1&amp;$T20,"m")</f>
        <v>#N/A</v>
      </c>
      <c r="Z20" t="e">
        <f t="shared" si="15"/>
        <v>#N/A</v>
      </c>
      <c r="AA20" t="e">
        <f t="shared" si="15"/>
        <v>#N/A</v>
      </c>
      <c r="AB20" t="e">
        <f t="shared" si="15"/>
        <v>#N/A</v>
      </c>
      <c r="AC20" t="e">
        <f t="shared" si="15"/>
        <v>#N/A</v>
      </c>
      <c r="AD20" t="e">
        <f t="shared" si="15"/>
        <v>#N/A</v>
      </c>
      <c r="AE20" t="e">
        <f t="shared" si="15"/>
        <v>#N/A</v>
      </c>
      <c r="AF20" t="e">
        <f t="shared" si="15"/>
        <v>#N/A</v>
      </c>
      <c r="AG20" t="e">
        <f t="shared" si="15"/>
        <v>#N/A</v>
      </c>
      <c r="AH20" t="e">
        <f t="shared" si="15"/>
        <v>#N/A</v>
      </c>
      <c r="AI20" t="e">
        <f t="shared" si="15"/>
        <v>#N/A</v>
      </c>
      <c r="AJ20" t="e">
        <f t="shared" si="15"/>
        <v>#N/A</v>
      </c>
      <c r="AK20" t="e">
        <f t="shared" si="15"/>
        <v>#N/A</v>
      </c>
      <c r="AL20" t="e">
        <f t="shared" si="15"/>
        <v>#N/A</v>
      </c>
      <c r="AM20" t="e">
        <f t="shared" si="15"/>
        <v>#N/A</v>
      </c>
      <c r="AN20" t="e">
        <f t="shared" si="11"/>
        <v>#N/A</v>
      </c>
      <c r="AO20" t="e">
        <f t="shared" si="11"/>
        <v>#N/A</v>
      </c>
      <c r="AP20" t="e">
        <f t="shared" si="11"/>
        <v>#N/A</v>
      </c>
      <c r="AQ20" t="e">
        <f t="shared" si="11"/>
        <v>#N/A</v>
      </c>
      <c r="AR20" t="e">
        <f t="shared" si="11"/>
        <v>#N/A</v>
      </c>
      <c r="AX20" s="4"/>
    </row>
    <row r="21" spans="1:50" x14ac:dyDescent="0.2">
      <c r="A21" t="str">
        <f>TEXT(1234578.555,"#,##00000000######## .  # ,0.00.0,00")</f>
        <v>0,000,000,01,234,578 .  5 ,5.50.000</v>
      </c>
      <c r="B21">
        <f t="shared" si="2"/>
        <v>0</v>
      </c>
      <c r="C21">
        <f t="shared" si="3"/>
        <v>-0.8</v>
      </c>
      <c r="D21">
        <f t="shared" si="4"/>
        <v>0</v>
      </c>
      <c r="E21">
        <v>-0.82999999999999985</v>
      </c>
      <c r="G21">
        <v>1</v>
      </c>
      <c r="J21" t="s">
        <v>497</v>
      </c>
      <c r="K21" t="str">
        <v>B</v>
      </c>
      <c r="N21" t="str">
        <v>b</v>
      </c>
      <c r="T21" s="62" t="s">
        <v>634</v>
      </c>
      <c r="U21">
        <f t="shared" si="12"/>
        <v>1852</v>
      </c>
      <c r="V21">
        <f t="shared" si="13"/>
        <v>2</v>
      </c>
      <c r="W21">
        <f t="shared" si="14"/>
        <v>1</v>
      </c>
      <c r="X21" t="e">
        <f t="shared" si="10"/>
        <v>#N/A</v>
      </c>
      <c r="Y21" t="e">
        <f t="shared" si="11"/>
        <v>#N/A</v>
      </c>
      <c r="Z21" t="e">
        <f t="shared" si="11"/>
        <v>#N/A</v>
      </c>
      <c r="AA21" t="e">
        <f t="shared" si="11"/>
        <v>#N/A</v>
      </c>
      <c r="AB21" t="e">
        <f t="shared" si="11"/>
        <v>#N/A</v>
      </c>
      <c r="AC21" t="e">
        <f t="shared" si="11"/>
        <v>#N/A</v>
      </c>
      <c r="AD21" t="e">
        <f t="shared" si="11"/>
        <v>#N/A</v>
      </c>
      <c r="AE21" t="e">
        <f t="shared" si="11"/>
        <v>#N/A</v>
      </c>
      <c r="AF21" t="e">
        <f t="shared" si="11"/>
        <v>#N/A</v>
      </c>
      <c r="AG21" t="e">
        <f t="shared" si="11"/>
        <v>#N/A</v>
      </c>
      <c r="AH21" t="e">
        <f t="shared" si="11"/>
        <v>#N/A</v>
      </c>
      <c r="AI21" t="e">
        <f t="shared" si="11"/>
        <v>#N/A</v>
      </c>
      <c r="AJ21" t="e">
        <f t="shared" si="11"/>
        <v>#N/A</v>
      </c>
      <c r="AK21" t="e">
        <f t="shared" si="11"/>
        <v>#N/A</v>
      </c>
      <c r="AL21" t="e">
        <f t="shared" si="11"/>
        <v>#N/A</v>
      </c>
      <c r="AM21" t="e">
        <f t="shared" si="11"/>
        <v>#N/A</v>
      </c>
      <c r="AN21" t="e">
        <f t="shared" si="11"/>
        <v>#N/A</v>
      </c>
      <c r="AO21" t="e">
        <f t="shared" si="11"/>
        <v>#N/A</v>
      </c>
      <c r="AP21" t="e">
        <f t="shared" si="11"/>
        <v>#N/A</v>
      </c>
      <c r="AQ21" t="e">
        <f t="shared" si="11"/>
        <v>#N/A</v>
      </c>
      <c r="AR21" t="e">
        <f t="shared" si="11"/>
        <v>#N/A</v>
      </c>
    </row>
    <row r="22" spans="1:50" x14ac:dyDescent="0.2">
      <c r="A22" t="str">
        <f>TEXT(1234578.555,"#,##000000070###### .  # ,0.00.0,00")</f>
        <v>00,000,0071,234,578 .  5 ,5.50.000</v>
      </c>
      <c r="B22">
        <f t="shared" si="2"/>
        <v>0</v>
      </c>
      <c r="C22">
        <f t="shared" si="3"/>
        <v>-0.8</v>
      </c>
      <c r="D22">
        <f t="shared" si="4"/>
        <v>0</v>
      </c>
      <c r="E22">
        <v>-0.81999999999999984</v>
      </c>
      <c r="G22" cm="1">
        <f t="array" ref="G22">_xlfn._xlws.FILTER(F21:H21,F20:H20)</f>
        <v>0</v>
      </c>
      <c r="N22">
        <v>4.0999999999999996</v>
      </c>
      <c r="T22" s="67" t="s">
        <v>635</v>
      </c>
      <c r="U22">
        <f t="shared" si="12"/>
        <v>2.5399999999999999E-2</v>
      </c>
      <c r="V22">
        <f t="shared" si="13"/>
        <v>2</v>
      </c>
      <c r="W22">
        <f t="shared" si="14"/>
        <v>1</v>
      </c>
      <c r="X22" t="e">
        <f t="shared" si="10"/>
        <v>#N/A</v>
      </c>
      <c r="Y22" t="e">
        <f t="shared" si="11"/>
        <v>#N/A</v>
      </c>
      <c r="Z22" t="e">
        <f t="shared" si="11"/>
        <v>#N/A</v>
      </c>
      <c r="AA22" t="e">
        <f t="shared" si="11"/>
        <v>#N/A</v>
      </c>
      <c r="AB22" t="e">
        <f t="shared" si="11"/>
        <v>#N/A</v>
      </c>
      <c r="AC22" t="e">
        <f t="shared" si="11"/>
        <v>#N/A</v>
      </c>
      <c r="AD22" t="e">
        <f t="shared" si="11"/>
        <v>#N/A</v>
      </c>
      <c r="AE22" t="e">
        <f t="shared" si="11"/>
        <v>#N/A</v>
      </c>
      <c r="AF22" t="e">
        <f t="shared" si="11"/>
        <v>#N/A</v>
      </c>
      <c r="AG22" t="e">
        <f t="shared" si="11"/>
        <v>#N/A</v>
      </c>
      <c r="AH22" t="e">
        <f t="shared" si="11"/>
        <v>#N/A</v>
      </c>
      <c r="AI22" t="e">
        <f t="shared" si="11"/>
        <v>#N/A</v>
      </c>
      <c r="AJ22" t="e">
        <f t="shared" si="11"/>
        <v>#N/A</v>
      </c>
      <c r="AK22" t="e">
        <f t="shared" si="11"/>
        <v>#N/A</v>
      </c>
      <c r="AL22" t="e">
        <f t="shared" si="11"/>
        <v>#N/A</v>
      </c>
      <c r="AM22" t="e">
        <f t="shared" si="11"/>
        <v>#N/A</v>
      </c>
      <c r="AN22" t="e">
        <f t="shared" si="11"/>
        <v>#N/A</v>
      </c>
      <c r="AO22" t="e">
        <f t="shared" si="11"/>
        <v>#N/A</v>
      </c>
      <c r="AP22" t="e">
        <f t="shared" si="11"/>
        <v>#N/A</v>
      </c>
      <c r="AQ22" t="e">
        <f t="shared" si="11"/>
        <v>#N/A</v>
      </c>
      <c r="AR22" t="e">
        <f t="shared" si="11"/>
        <v>#N/A</v>
      </c>
    </row>
    <row r="23" spans="1:50" x14ac:dyDescent="0.2">
      <c r="A23" t="str">
        <f>TEXT(1234578.555,"#,##00000,  ,00 , 0########    .  # ,0.00.0,00")</f>
        <v>0,000,0  ,00, , 01,234,578    .  5 ,5.50.000</v>
      </c>
      <c r="B23">
        <f t="shared" si="2"/>
        <v>0</v>
      </c>
      <c r="C23">
        <f t="shared" si="3"/>
        <v>-0.8</v>
      </c>
      <c r="D23">
        <f t="shared" si="4"/>
        <v>0</v>
      </c>
      <c r="E23">
        <v>-0.80999999999999983</v>
      </c>
      <c r="T23" s="62" t="s">
        <v>636</v>
      </c>
      <c r="U23">
        <f t="shared" si="12"/>
        <v>0.30480000000000002</v>
      </c>
      <c r="V23">
        <f t="shared" si="13"/>
        <v>2</v>
      </c>
      <c r="W23">
        <f t="shared" si="14"/>
        <v>1</v>
      </c>
      <c r="X23" t="e">
        <f t="shared" si="10"/>
        <v>#N/A</v>
      </c>
      <c r="Y23" t="e">
        <f t="shared" si="11"/>
        <v>#N/A</v>
      </c>
      <c r="Z23" t="e">
        <f t="shared" si="11"/>
        <v>#N/A</v>
      </c>
      <c r="AA23" t="e">
        <f t="shared" si="11"/>
        <v>#N/A</v>
      </c>
      <c r="AB23" t="e">
        <f t="shared" si="11"/>
        <v>#N/A</v>
      </c>
      <c r="AC23" t="e">
        <f t="shared" si="11"/>
        <v>#N/A</v>
      </c>
      <c r="AD23" t="e">
        <f t="shared" si="11"/>
        <v>#N/A</v>
      </c>
      <c r="AE23" t="e">
        <f t="shared" si="11"/>
        <v>#N/A</v>
      </c>
      <c r="AF23" t="e">
        <f t="shared" si="11"/>
        <v>#N/A</v>
      </c>
      <c r="AG23" t="e">
        <f t="shared" si="11"/>
        <v>#N/A</v>
      </c>
      <c r="AH23" t="e">
        <f t="shared" si="11"/>
        <v>#N/A</v>
      </c>
      <c r="AI23" t="e">
        <f t="shared" si="11"/>
        <v>#N/A</v>
      </c>
      <c r="AJ23" t="e">
        <f t="shared" si="11"/>
        <v>#N/A</v>
      </c>
      <c r="AK23" t="e">
        <f t="shared" si="11"/>
        <v>#N/A</v>
      </c>
      <c r="AL23" t="e">
        <f t="shared" si="11"/>
        <v>#N/A</v>
      </c>
      <c r="AM23" t="e">
        <f t="shared" si="11"/>
        <v>#N/A</v>
      </c>
      <c r="AN23" t="e">
        <f t="shared" si="11"/>
        <v>#N/A</v>
      </c>
      <c r="AO23" t="e">
        <f t="shared" si="11"/>
        <v>#N/A</v>
      </c>
      <c r="AP23" t="e">
        <f t="shared" si="11"/>
        <v>#N/A</v>
      </c>
      <c r="AQ23" t="e">
        <f t="shared" si="11"/>
        <v>#N/A</v>
      </c>
      <c r="AR23" t="e">
        <f t="shared" si="11"/>
        <v>#N/A</v>
      </c>
    </row>
    <row r="24" spans="1:50" x14ac:dyDescent="0.2">
      <c r="A24" t="str">
        <f>TEXT(1234578.555,"0cc###,00")</f>
        <v>1,2cc34,579</v>
      </c>
      <c r="B24">
        <f t="shared" si="2"/>
        <v>0</v>
      </c>
      <c r="C24">
        <f t="shared" si="3"/>
        <v>-0.8</v>
      </c>
      <c r="D24">
        <f t="shared" si="4"/>
        <v>0</v>
      </c>
      <c r="E24">
        <v>-0.79999999999999982</v>
      </c>
      <c r="T24" s="62" t="s">
        <v>637</v>
      </c>
      <c r="U24">
        <f t="shared" si="12"/>
        <v>0.91439999999999999</v>
      </c>
      <c r="V24">
        <f t="shared" si="13"/>
        <v>2</v>
      </c>
      <c r="W24">
        <f t="shared" si="14"/>
        <v>1</v>
      </c>
      <c r="X24" t="e">
        <f t="shared" si="10"/>
        <v>#N/A</v>
      </c>
      <c r="Y24" t="e">
        <f t="shared" si="11"/>
        <v>#N/A</v>
      </c>
      <c r="Z24" t="e">
        <f t="shared" si="11"/>
        <v>#N/A</v>
      </c>
      <c r="AA24" t="e">
        <f t="shared" si="11"/>
        <v>#N/A</v>
      </c>
      <c r="AB24" t="e">
        <f t="shared" si="11"/>
        <v>#N/A</v>
      </c>
      <c r="AC24" t="e">
        <f t="shared" si="11"/>
        <v>#N/A</v>
      </c>
      <c r="AD24" t="e">
        <f t="shared" si="11"/>
        <v>#N/A</v>
      </c>
      <c r="AE24" t="e">
        <f t="shared" si="11"/>
        <v>#N/A</v>
      </c>
      <c r="AF24" t="e">
        <f t="shared" si="11"/>
        <v>#N/A</v>
      </c>
      <c r="AG24" t="e">
        <f t="shared" si="11"/>
        <v>#N/A</v>
      </c>
      <c r="AH24" t="e">
        <f t="shared" si="11"/>
        <v>#N/A</v>
      </c>
      <c r="AI24" t="e">
        <f t="shared" si="11"/>
        <v>#N/A</v>
      </c>
      <c r="AJ24" t="e">
        <f t="shared" si="11"/>
        <v>#N/A</v>
      </c>
      <c r="AK24" t="e">
        <f t="shared" si="11"/>
        <v>#N/A</v>
      </c>
      <c r="AL24" t="e">
        <f t="shared" si="11"/>
        <v>#N/A</v>
      </c>
      <c r="AM24" t="e">
        <f t="shared" si="11"/>
        <v>#N/A</v>
      </c>
      <c r="AN24" t="e">
        <f t="shared" si="11"/>
        <v>#N/A</v>
      </c>
      <c r="AO24" t="e">
        <f t="shared" si="11"/>
        <v>#N/A</v>
      </c>
      <c r="AP24" t="e">
        <f t="shared" si="11"/>
        <v>#N/A</v>
      </c>
      <c r="AQ24" t="e">
        <f t="shared" si="11"/>
        <v>#N/A</v>
      </c>
      <c r="AR24" t="e">
        <f t="shared" si="11"/>
        <v>#N/A</v>
      </c>
    </row>
    <row r="25" spans="1:50" x14ac:dyDescent="0.2">
      <c r="A25" t="str">
        <f>TEXT(123456,"##0° 00' 00''")</f>
        <v>12° 34' 56''</v>
      </c>
      <c r="B25">
        <f t="shared" si="2"/>
        <v>0</v>
      </c>
      <c r="C25">
        <f t="shared" si="3"/>
        <v>-0.7</v>
      </c>
      <c r="D25">
        <f t="shared" si="4"/>
        <v>0</v>
      </c>
      <c r="E25">
        <v>-0.78999999999999981</v>
      </c>
      <c r="T25" s="62" t="s">
        <v>638</v>
      </c>
      <c r="U25">
        <f t="shared" si="12"/>
        <v>1E-10</v>
      </c>
      <c r="V25">
        <f t="shared" si="13"/>
        <v>2</v>
      </c>
      <c r="W25">
        <f t="shared" si="14"/>
        <v>1</v>
      </c>
      <c r="X25">
        <f t="shared" si="10"/>
        <v>100000000000000</v>
      </c>
      <c r="Y25">
        <f t="shared" si="11"/>
        <v>100000000000</v>
      </c>
      <c r="Z25">
        <f t="shared" si="11"/>
        <v>100000000</v>
      </c>
      <c r="AA25">
        <f t="shared" si="11"/>
        <v>100000</v>
      </c>
      <c r="AB25">
        <f t="shared" si="11"/>
        <v>100</v>
      </c>
      <c r="AC25">
        <f t="shared" si="11"/>
        <v>0.1</v>
      </c>
      <c r="AD25">
        <f t="shared" si="11"/>
        <v>1E-4</v>
      </c>
      <c r="AE25">
        <f t="shared" si="11"/>
        <v>1.0000000000000001E-7</v>
      </c>
      <c r="AF25">
        <f t="shared" si="11"/>
        <v>1E-8</v>
      </c>
      <c r="AG25">
        <f t="shared" si="11"/>
        <v>1.0000000000000001E-9</v>
      </c>
      <c r="AH25">
        <f t="shared" si="11"/>
        <v>1.0000000000000001E-9</v>
      </c>
      <c r="AI25">
        <f t="shared" si="11"/>
        <v>1.0000000000000001E-11</v>
      </c>
      <c r="AJ25">
        <f t="shared" si="11"/>
        <v>9.9999999999999998E-13</v>
      </c>
      <c r="AK25">
        <f t="shared" si="11"/>
        <v>1E-13</v>
      </c>
      <c r="AL25">
        <f t="shared" si="11"/>
        <v>9.9999999999999998E-17</v>
      </c>
      <c r="AM25">
        <f t="shared" si="11"/>
        <v>1.0000000000000001E-19</v>
      </c>
      <c r="AN25">
        <f t="shared" si="11"/>
        <v>1E-22</v>
      </c>
      <c r="AO25">
        <f t="shared" si="11"/>
        <v>1.0000000000000002E-25</v>
      </c>
      <c r="AP25">
        <f t="shared" si="11"/>
        <v>1.0000000000000001E-28</v>
      </c>
      <c r="AQ25">
        <f t="shared" si="11"/>
        <v>9.9999999999999986E-32</v>
      </c>
      <c r="AR25">
        <f t="shared" si="11"/>
        <v>9.9999999999999993E-35</v>
      </c>
    </row>
    <row r="26" spans="1:50" x14ac:dyDescent="0.2">
      <c r="A26" t="str">
        <f>TEXT(1234,"5000700")</f>
        <v>5012734</v>
      </c>
      <c r="B26">
        <f t="shared" si="2"/>
        <v>0</v>
      </c>
      <c r="C26">
        <f t="shared" si="3"/>
        <v>-0.7</v>
      </c>
      <c r="D26">
        <f t="shared" si="4"/>
        <v>0</v>
      </c>
      <c r="E26">
        <v>-0.7799999999999998</v>
      </c>
      <c r="T26" s="62" t="s">
        <v>639</v>
      </c>
      <c r="U26">
        <f t="shared" si="12"/>
        <v>1.143</v>
      </c>
      <c r="V26">
        <f t="shared" si="13"/>
        <v>2</v>
      </c>
      <c r="W26">
        <f t="shared" si="14"/>
        <v>1</v>
      </c>
      <c r="X26" t="e">
        <f t="shared" si="10"/>
        <v>#N/A</v>
      </c>
      <c r="Y26" t="e">
        <f t="shared" si="11"/>
        <v>#N/A</v>
      </c>
      <c r="Z26" t="e">
        <f t="shared" si="11"/>
        <v>#N/A</v>
      </c>
      <c r="AA26" t="e">
        <f t="shared" si="11"/>
        <v>#N/A</v>
      </c>
      <c r="AB26" t="e">
        <f t="shared" si="11"/>
        <v>#N/A</v>
      </c>
      <c r="AC26" t="e">
        <f t="shared" si="11"/>
        <v>#N/A</v>
      </c>
      <c r="AD26" t="e">
        <f t="shared" si="11"/>
        <v>#N/A</v>
      </c>
      <c r="AE26" t="e">
        <f t="shared" si="11"/>
        <v>#N/A</v>
      </c>
      <c r="AF26" t="e">
        <f t="shared" si="11"/>
        <v>#N/A</v>
      </c>
      <c r="AG26" t="e">
        <f t="shared" si="11"/>
        <v>#N/A</v>
      </c>
      <c r="AH26" t="e">
        <f t="shared" si="11"/>
        <v>#N/A</v>
      </c>
      <c r="AI26" t="e">
        <f t="shared" si="11"/>
        <v>#N/A</v>
      </c>
      <c r="AJ26" t="e">
        <f t="shared" si="11"/>
        <v>#N/A</v>
      </c>
      <c r="AK26" t="e">
        <f t="shared" si="11"/>
        <v>#N/A</v>
      </c>
      <c r="AL26" t="e">
        <f t="shared" si="11"/>
        <v>#N/A</v>
      </c>
      <c r="AM26" t="e">
        <f t="shared" si="11"/>
        <v>#N/A</v>
      </c>
      <c r="AN26" t="e">
        <f t="shared" si="11"/>
        <v>#N/A</v>
      </c>
      <c r="AO26" t="e">
        <f t="shared" si="11"/>
        <v>#N/A</v>
      </c>
      <c r="AP26" t="e">
        <f t="shared" si="11"/>
        <v>#N/A</v>
      </c>
      <c r="AQ26" t="e">
        <f t="shared" si="11"/>
        <v>#N/A</v>
      </c>
      <c r="AR26" t="e">
        <f t="shared" si="11"/>
        <v>#N/A</v>
      </c>
    </row>
    <row r="27" spans="1:50" x14ac:dyDescent="0.2">
      <c r="A27" t="e">
        <f>TEXT(1234578.555,"#,##00000,  ,00 , 0##e+8800######    .  # ,0.00.0,00")</f>
        <v>#VALUE!</v>
      </c>
      <c r="B27">
        <f t="shared" si="2"/>
        <v>0</v>
      </c>
      <c r="C27">
        <f t="shared" si="3"/>
        <v>-0.7</v>
      </c>
      <c r="D27">
        <f t="shared" si="4"/>
        <v>0</v>
      </c>
      <c r="E27">
        <v>-0.7699999999999998</v>
      </c>
      <c r="M27" t="str" cm="1">
        <f t="array" ref="M27">_xlfn.TEXTSPLIT(H28:H28,TEXT!F46," ", 1,1,1)</f>
        <v>26/08TRUE19|87</v>
      </c>
      <c r="T27" s="62" t="s">
        <v>640</v>
      </c>
      <c r="U27">
        <f t="shared" si="12"/>
        <v>9460730472580800</v>
      </c>
      <c r="V27">
        <f t="shared" si="13"/>
        <v>2</v>
      </c>
      <c r="W27">
        <f t="shared" si="14"/>
        <v>1</v>
      </c>
      <c r="X27">
        <f>CONVERT(1,X$1&amp;$T27,"Ym")</f>
        <v>9460730472580800</v>
      </c>
      <c r="Y27">
        <f t="shared" ref="Y27:AR29" si="16">CONVERT(1,Y$1&amp;$T27,"Ym")</f>
        <v>9460730472580.8008</v>
      </c>
      <c r="Z27">
        <f t="shared" si="16"/>
        <v>9460730472.5807991</v>
      </c>
      <c r="AA27">
        <f t="shared" si="16"/>
        <v>9460730.4725807998</v>
      </c>
      <c r="AB27">
        <f t="shared" si="16"/>
        <v>9460.730472580799</v>
      </c>
      <c r="AC27">
        <f t="shared" si="16"/>
        <v>9.460730472580801</v>
      </c>
      <c r="AD27">
        <f t="shared" si="16"/>
        <v>9.4607304725808014E-3</v>
      </c>
      <c r="AE27">
        <f t="shared" si="16"/>
        <v>9.460730472580799E-6</v>
      </c>
      <c r="AF27">
        <f t="shared" si="16"/>
        <v>9.4607304725808002E-7</v>
      </c>
      <c r="AG27">
        <f t="shared" si="16"/>
        <v>9.4607304725808E-8</v>
      </c>
      <c r="AH27">
        <f t="shared" si="16"/>
        <v>9.4607304725808E-8</v>
      </c>
      <c r="AI27">
        <f t="shared" si="16"/>
        <v>9.4607304725808007E-10</v>
      </c>
      <c r="AJ27">
        <f t="shared" si="16"/>
        <v>9.4607304725808004E-11</v>
      </c>
      <c r="AK27">
        <f t="shared" si="16"/>
        <v>9.4607304725808001E-12</v>
      </c>
      <c r="AL27">
        <f t="shared" si="16"/>
        <v>9.4607304725808004E-15</v>
      </c>
      <c r="AM27">
        <f t="shared" si="16"/>
        <v>9.460730472580801E-18</v>
      </c>
      <c r="AN27">
        <f t="shared" si="16"/>
        <v>9.4607304725807994E-21</v>
      </c>
      <c r="AO27">
        <f t="shared" si="16"/>
        <v>9.460730472580799E-24</v>
      </c>
      <c r="AP27">
        <f t="shared" si="16"/>
        <v>9.4607304725807998E-27</v>
      </c>
      <c r="AQ27">
        <f t="shared" si="16"/>
        <v>9.4607304725807998E-30</v>
      </c>
      <c r="AR27">
        <f t="shared" si="16"/>
        <v>9.4607304725807999E-33</v>
      </c>
    </row>
    <row r="28" spans="1:50" x14ac:dyDescent="0.2">
      <c r="A28" t="str">
        <f>TEXT(12200000,"#######.0E+00")</f>
        <v>1.2E+07</v>
      </c>
      <c r="B28">
        <f t="shared" si="2"/>
        <v>0</v>
      </c>
      <c r="C28">
        <f t="shared" si="3"/>
        <v>-0.7</v>
      </c>
      <c r="D28">
        <f t="shared" si="4"/>
        <v>0</v>
      </c>
      <c r="E28">
        <v>-0.75999999999999979</v>
      </c>
      <c r="H28" s="16" t="s">
        <v>783</v>
      </c>
      <c r="I28" s="6"/>
      <c r="J28" s="6" t="str" cm="1">
        <f t="array" ref="J28:L30">_xlfn.TEXTSPLIT(H28,{"/","|",TRUE}, {6,9},FALSE, 1,10)</f>
        <v>2</v>
      </c>
      <c r="K28" s="6">
        <v>10</v>
      </c>
      <c r="L28" s="7">
        <v>10</v>
      </c>
      <c r="M28" s="7" t="str" cm="1">
        <f t="array" ref="M28:N28">_xlfn.TEXTSPLIT(H28:H28,TEXT!F46," ", {1,2},{1,2},1)</f>
        <v>26/08TRUE19|87</v>
      </c>
      <c r="N28" s="7" t="e">
        <v>#VALUE!</v>
      </c>
      <c r="O28" s="7" t="str" cm="1">
        <f t="array" ref="O28:Q30">_xlfn.TEXTSPLIT("1,2.3;4,,5AA6.7",{",","."},{";","a"},TRUE,1,"pi")</f>
        <v>1</v>
      </c>
      <c r="P28" s="7" t="str">
        <v>2</v>
      </c>
      <c r="Q28" s="4" t="str">
        <v>3</v>
      </c>
      <c r="T28" s="62" t="s">
        <v>641</v>
      </c>
      <c r="U28">
        <f>CONVERT(1,T28,"km")</f>
        <v>30856775812815.531</v>
      </c>
      <c r="V28">
        <f t="shared" si="13"/>
        <v>2000</v>
      </c>
      <c r="W28">
        <f>CONVERT(U28,"km",T28)</f>
        <v>1</v>
      </c>
      <c r="X28">
        <f>CONVERT(1,X$1&amp;$T28,"Yly")</f>
        <v>3.26156377694566</v>
      </c>
      <c r="Y28">
        <f t="shared" ref="Y28:AM28" si="17">CONVERT(1,Y$1&amp;$T28,"Ym")</f>
        <v>30856775812815.531</v>
      </c>
      <c r="Z28">
        <f t="shared" si="17"/>
        <v>30856775812.815529</v>
      </c>
      <c r="AA28">
        <f t="shared" si="17"/>
        <v>30856775.812815532</v>
      </c>
      <c r="AB28">
        <f t="shared" si="17"/>
        <v>30856.775812815533</v>
      </c>
      <c r="AC28">
        <f t="shared" si="17"/>
        <v>30.856775812815535</v>
      </c>
      <c r="AD28">
        <f t="shared" si="17"/>
        <v>3.0856775812815533E-2</v>
      </c>
      <c r="AE28">
        <f t="shared" si="17"/>
        <v>3.0856775812815531E-5</v>
      </c>
      <c r="AF28">
        <f t="shared" si="17"/>
        <v>3.0856775812815532E-6</v>
      </c>
      <c r="AG28">
        <f t="shared" si="17"/>
        <v>3.0856775812815533E-7</v>
      </c>
      <c r="AH28">
        <f t="shared" si="17"/>
        <v>3.0856775812815533E-7</v>
      </c>
      <c r="AI28">
        <f t="shared" si="17"/>
        <v>3.0856775812815534E-9</v>
      </c>
      <c r="AJ28">
        <f t="shared" si="17"/>
        <v>3.0856775812815531E-10</v>
      </c>
      <c r="AK28">
        <f t="shared" si="17"/>
        <v>3.0856775812815532E-11</v>
      </c>
      <c r="AL28">
        <f t="shared" si="17"/>
        <v>3.0856775812815532E-14</v>
      </c>
      <c r="AM28">
        <f t="shared" si="17"/>
        <v>3.0856775812815534E-17</v>
      </c>
      <c r="AN28">
        <f t="shared" si="16"/>
        <v>3.085677581281553E-20</v>
      </c>
      <c r="AO28">
        <f t="shared" si="16"/>
        <v>3.0856775812815532E-23</v>
      </c>
      <c r="AP28">
        <f t="shared" si="16"/>
        <v>3.0856775812815534E-26</v>
      </c>
      <c r="AQ28">
        <f t="shared" si="16"/>
        <v>3.0856775812815534E-29</v>
      </c>
      <c r="AR28">
        <f t="shared" si="16"/>
        <v>3.0856775812815533E-32</v>
      </c>
    </row>
    <row r="29" spans="1:50" x14ac:dyDescent="0.2">
      <c r="A29" t="str">
        <f>TEXT(12200000,"0.00E-##")</f>
        <v>1.22E7</v>
      </c>
      <c r="B29">
        <f t="shared" si="2"/>
        <v>0</v>
      </c>
      <c r="C29">
        <f t="shared" si="3"/>
        <v>-0.7</v>
      </c>
      <c r="D29">
        <f t="shared" si="4"/>
        <v>0</v>
      </c>
      <c r="E29">
        <v>-0.74999999999999978</v>
      </c>
      <c r="H29" s="16"/>
      <c r="I29" s="6"/>
      <c r="J29" s="6" t="str">
        <v/>
      </c>
      <c r="K29" s="6" t="str">
        <v>08</v>
      </c>
      <c r="L29" s="7" t="str">
        <v>1</v>
      </c>
      <c r="M29" s="7"/>
      <c r="N29" s="7"/>
      <c r="O29" s="7" t="str">
        <v>4</v>
      </c>
      <c r="P29" s="7" t="str">
        <v>5</v>
      </c>
      <c r="Q29" s="4" t="str">
        <v>pi</v>
      </c>
      <c r="T29" s="62" t="s">
        <v>642</v>
      </c>
      <c r="U29">
        <f>CONVERT(1,T29,"km")</f>
        <v>30856775812815.531</v>
      </c>
      <c r="V29">
        <f>CONVERT(2,T29,"m")/U29</f>
        <v>2000</v>
      </c>
      <c r="W29">
        <f>CONVERT(U29,"km",T29)</f>
        <v>1</v>
      </c>
      <c r="X29">
        <f>CONVERT(1,X$1&amp;$T29,"Yly")</f>
        <v>3.26156377694566</v>
      </c>
      <c r="Y29">
        <f t="shared" si="16"/>
        <v>30856775812815.531</v>
      </c>
      <c r="Z29">
        <f t="shared" si="16"/>
        <v>30856775812.815529</v>
      </c>
      <c r="AA29">
        <f t="shared" si="16"/>
        <v>30856775.812815532</v>
      </c>
      <c r="AB29">
        <f t="shared" si="16"/>
        <v>30856.775812815533</v>
      </c>
      <c r="AC29">
        <f t="shared" si="16"/>
        <v>30.856775812815535</v>
      </c>
      <c r="AD29">
        <f t="shared" si="16"/>
        <v>3.0856775812815533E-2</v>
      </c>
      <c r="AE29">
        <f t="shared" si="16"/>
        <v>3.0856775812815531E-5</v>
      </c>
      <c r="AF29">
        <f t="shared" si="16"/>
        <v>3.0856775812815532E-6</v>
      </c>
      <c r="AG29">
        <f t="shared" si="16"/>
        <v>3.0856775812815533E-7</v>
      </c>
      <c r="AH29">
        <f t="shared" si="16"/>
        <v>3.0856775812815533E-7</v>
      </c>
      <c r="AI29">
        <f t="shared" si="16"/>
        <v>3.0856775812815534E-9</v>
      </c>
      <c r="AJ29">
        <f t="shared" si="16"/>
        <v>3.0856775812815531E-10</v>
      </c>
      <c r="AK29">
        <f t="shared" si="16"/>
        <v>3.0856775812815532E-11</v>
      </c>
      <c r="AL29">
        <f t="shared" si="16"/>
        <v>3.0856775812815532E-14</v>
      </c>
      <c r="AM29">
        <f t="shared" si="16"/>
        <v>3.0856775812815534E-17</v>
      </c>
      <c r="AN29">
        <f t="shared" si="16"/>
        <v>3.085677581281553E-20</v>
      </c>
      <c r="AO29">
        <f t="shared" si="16"/>
        <v>3.0856775812815532E-23</v>
      </c>
      <c r="AP29">
        <f t="shared" si="16"/>
        <v>3.0856775812815534E-26</v>
      </c>
      <c r="AQ29">
        <f t="shared" si="16"/>
        <v>3.0856775812815534E-29</v>
      </c>
      <c r="AR29">
        <f t="shared" si="16"/>
        <v>3.0856775812815533E-32</v>
      </c>
    </row>
    <row r="30" spans="1:50" x14ac:dyDescent="0.2">
      <c r="A30" t="str">
        <f>TEXT(-1234.567, """dd""$#,##0.00")</f>
        <v>-dd$1,234.57</v>
      </c>
      <c r="B30">
        <f t="shared" si="2"/>
        <v>0</v>
      </c>
      <c r="C30">
        <f t="shared" si="3"/>
        <v>-0.7</v>
      </c>
      <c r="D30">
        <f t="shared" si="4"/>
        <v>0</v>
      </c>
      <c r="E30">
        <v>-0.73999999999999977</v>
      </c>
      <c r="H30" s="16" t="str">
        <f>_xlfn.TEXTAFTER("1,2,3,4,5,6,7,8",{"9"},1,1,1)</f>
        <v/>
      </c>
      <c r="I30" s="6"/>
      <c r="J30" s="6" t="str">
        <v/>
      </c>
      <c r="K30" s="6" t="str">
        <v>87</v>
      </c>
      <c r="L30" s="7">
        <v>10</v>
      </c>
      <c r="M30" s="7"/>
      <c r="N30" s="7"/>
      <c r="O30" s="7" t="str">
        <v>6</v>
      </c>
      <c r="P30" s="7" t="str">
        <v>7</v>
      </c>
      <c r="Q30" s="4" t="str">
        <v>pi</v>
      </c>
      <c r="T30" s="62" t="s">
        <v>643</v>
      </c>
      <c r="U30">
        <f t="shared" si="12"/>
        <v>3.5277777777777781E-4</v>
      </c>
      <c r="V30">
        <f t="shared" si="13"/>
        <v>2</v>
      </c>
      <c r="W30">
        <f t="shared" si="14"/>
        <v>1</v>
      </c>
      <c r="X30" t="e">
        <f>CONVERT(1,X$1&amp;$T30,"m")</f>
        <v>#N/A</v>
      </c>
      <c r="Y30" t="e">
        <f t="shared" si="11"/>
        <v>#N/A</v>
      </c>
      <c r="Z30" t="e">
        <f t="shared" si="11"/>
        <v>#N/A</v>
      </c>
      <c r="AA30" t="e">
        <f t="shared" si="11"/>
        <v>#N/A</v>
      </c>
      <c r="AB30" t="e">
        <f t="shared" si="11"/>
        <v>#N/A</v>
      </c>
      <c r="AC30" t="e">
        <f t="shared" si="11"/>
        <v>#N/A</v>
      </c>
      <c r="AD30" t="e">
        <f t="shared" si="11"/>
        <v>#N/A</v>
      </c>
      <c r="AE30" t="e">
        <f t="shared" si="11"/>
        <v>#N/A</v>
      </c>
      <c r="AF30" t="e">
        <f t="shared" si="11"/>
        <v>#N/A</v>
      </c>
      <c r="AG30" t="e">
        <f t="shared" si="11"/>
        <v>#N/A</v>
      </c>
      <c r="AH30" t="e">
        <f t="shared" si="11"/>
        <v>#N/A</v>
      </c>
      <c r="AI30" t="e">
        <f t="shared" si="11"/>
        <v>#N/A</v>
      </c>
      <c r="AJ30" t="e">
        <f t="shared" si="11"/>
        <v>#N/A</v>
      </c>
      <c r="AK30" t="e">
        <f t="shared" si="11"/>
        <v>#N/A</v>
      </c>
      <c r="AL30" t="e">
        <f t="shared" si="11"/>
        <v>#N/A</v>
      </c>
      <c r="AM30" t="e">
        <f t="shared" si="11"/>
        <v>#N/A</v>
      </c>
      <c r="AN30" t="e">
        <f t="shared" si="11"/>
        <v>#N/A</v>
      </c>
      <c r="AO30" t="e">
        <f t="shared" si="11"/>
        <v>#N/A</v>
      </c>
      <c r="AP30" t="e">
        <f t="shared" si="11"/>
        <v>#N/A</v>
      </c>
      <c r="AQ30" t="e">
        <f t="shared" si="11"/>
        <v>#N/A</v>
      </c>
      <c r="AR30" t="e">
        <f t="shared" si="11"/>
        <v>#N/A</v>
      </c>
    </row>
    <row r="31" spans="1:50" x14ac:dyDescent="0.2">
      <c r="A31" t="str">
        <f>TEXT(0.000122,"0.00E-##")</f>
        <v>1.22E-4</v>
      </c>
      <c r="B31">
        <f t="shared" si="2"/>
        <v>0</v>
      </c>
      <c r="C31">
        <f t="shared" si="3"/>
        <v>-0.7</v>
      </c>
      <c r="D31">
        <f t="shared" si="4"/>
        <v>0</v>
      </c>
      <c r="E31">
        <v>-0.72999999999999976</v>
      </c>
      <c r="H31" t="str">
        <f>_xlfn.TEXTAFTER("cc",{9},1,1,1)</f>
        <v/>
      </c>
      <c r="T31" s="62" t="s">
        <v>644</v>
      </c>
      <c r="U31">
        <f t="shared" si="12"/>
        <v>3.5277777777777781E-4</v>
      </c>
      <c r="V31">
        <f t="shared" si="13"/>
        <v>2</v>
      </c>
      <c r="W31">
        <f t="shared" si="14"/>
        <v>1</v>
      </c>
      <c r="X31" t="e">
        <f>CONVERT(1,X$1&amp;$T31,"m")</f>
        <v>#N/A</v>
      </c>
      <c r="Y31" t="e">
        <f t="shared" si="11"/>
        <v>#N/A</v>
      </c>
      <c r="Z31" t="e">
        <f t="shared" si="11"/>
        <v>#N/A</v>
      </c>
      <c r="AA31" t="e">
        <f t="shared" si="11"/>
        <v>#N/A</v>
      </c>
      <c r="AB31" t="e">
        <f t="shared" si="11"/>
        <v>#N/A</v>
      </c>
      <c r="AC31" t="e">
        <f t="shared" si="11"/>
        <v>#N/A</v>
      </c>
      <c r="AD31" t="e">
        <f t="shared" si="11"/>
        <v>#N/A</v>
      </c>
      <c r="AE31" t="e">
        <f t="shared" si="11"/>
        <v>#N/A</v>
      </c>
      <c r="AF31" t="e">
        <f t="shared" si="11"/>
        <v>#N/A</v>
      </c>
      <c r="AG31" t="e">
        <f t="shared" si="11"/>
        <v>#N/A</v>
      </c>
      <c r="AH31" t="e">
        <f t="shared" si="11"/>
        <v>#N/A</v>
      </c>
      <c r="AI31" t="e">
        <f t="shared" si="11"/>
        <v>#N/A</v>
      </c>
      <c r="AJ31" t="e">
        <f t="shared" si="11"/>
        <v>#N/A</v>
      </c>
      <c r="AK31" t="e">
        <f t="shared" si="11"/>
        <v>#N/A</v>
      </c>
      <c r="AL31" t="e">
        <f t="shared" si="11"/>
        <v>#N/A</v>
      </c>
      <c r="AM31" t="e">
        <f t="shared" si="11"/>
        <v>#N/A</v>
      </c>
      <c r="AN31" t="e">
        <f t="shared" si="11"/>
        <v>#N/A</v>
      </c>
      <c r="AO31" t="e">
        <f t="shared" si="11"/>
        <v>#N/A</v>
      </c>
      <c r="AP31" t="e">
        <f t="shared" si="11"/>
        <v>#N/A</v>
      </c>
      <c r="AQ31" t="e">
        <f t="shared" si="11"/>
        <v>#N/A</v>
      </c>
      <c r="AR31" t="e">
        <f t="shared" si="11"/>
        <v>#N/A</v>
      </c>
    </row>
    <row r="32" spans="1:50" x14ac:dyDescent="0.2">
      <c r="A32" t="str">
        <f>TEXT(0.000122,"0.00E+##")</f>
        <v>1.22E-4</v>
      </c>
      <c r="B32">
        <f t="shared" si="2"/>
        <v>0</v>
      </c>
      <c r="C32">
        <f t="shared" si="3"/>
        <v>-0.7</v>
      </c>
      <c r="D32">
        <f t="shared" si="4"/>
        <v>0</v>
      </c>
      <c r="E32">
        <v>-0.71999999999999975</v>
      </c>
      <c r="H32" t="e">
        <f>_xlfn.TEXTAFTER("cc",{9},1,1,0)</f>
        <v>#N/A</v>
      </c>
      <c r="T32" s="62" t="s">
        <v>645</v>
      </c>
      <c r="U32">
        <f t="shared" si="12"/>
        <v>4.2333333333333337E-3</v>
      </c>
      <c r="V32">
        <f t="shared" si="13"/>
        <v>2</v>
      </c>
      <c r="W32">
        <f t="shared" si="14"/>
        <v>1</v>
      </c>
      <c r="X32" t="e">
        <f>CONVERT(1,X$1&amp;$T32,"m")</f>
        <v>#N/A</v>
      </c>
      <c r="Y32" t="e">
        <f t="shared" si="11"/>
        <v>#N/A</v>
      </c>
      <c r="Z32" t="e">
        <f t="shared" si="11"/>
        <v>#N/A</v>
      </c>
      <c r="AA32" t="e">
        <f t="shared" si="11"/>
        <v>#N/A</v>
      </c>
      <c r="AB32" t="e">
        <f t="shared" si="11"/>
        <v>#N/A</v>
      </c>
      <c r="AC32" t="e">
        <f t="shared" si="11"/>
        <v>#N/A</v>
      </c>
      <c r="AD32" t="e">
        <f t="shared" si="11"/>
        <v>#N/A</v>
      </c>
      <c r="AE32" t="e">
        <f t="shared" si="11"/>
        <v>#N/A</v>
      </c>
      <c r="AF32" t="e">
        <f t="shared" si="11"/>
        <v>#N/A</v>
      </c>
      <c r="AG32" t="e">
        <f t="shared" si="11"/>
        <v>#N/A</v>
      </c>
      <c r="AH32" t="e">
        <f t="shared" si="11"/>
        <v>#N/A</v>
      </c>
      <c r="AI32" t="e">
        <f t="shared" ref="Y32:AR33" si="18">CONVERT(1,AI$1&amp;$T32,"m")</f>
        <v>#N/A</v>
      </c>
      <c r="AJ32" t="e">
        <f t="shared" si="18"/>
        <v>#N/A</v>
      </c>
      <c r="AK32" t="e">
        <f t="shared" si="18"/>
        <v>#N/A</v>
      </c>
      <c r="AL32" t="e">
        <f t="shared" si="18"/>
        <v>#N/A</v>
      </c>
      <c r="AM32" t="e">
        <f t="shared" si="18"/>
        <v>#N/A</v>
      </c>
      <c r="AN32" t="e">
        <f t="shared" si="18"/>
        <v>#N/A</v>
      </c>
      <c r="AO32" t="e">
        <f t="shared" si="18"/>
        <v>#N/A</v>
      </c>
      <c r="AP32" t="e">
        <f t="shared" si="18"/>
        <v>#N/A</v>
      </c>
      <c r="AQ32" t="e">
        <f t="shared" si="18"/>
        <v>#N/A</v>
      </c>
      <c r="AR32" t="e">
        <f t="shared" si="18"/>
        <v>#N/A</v>
      </c>
    </row>
    <row r="33" spans="1:44" x14ac:dyDescent="0.2">
      <c r="A33" t="str">
        <f>TEXT(12200000,"0.00E+##")</f>
        <v>1.22E+7</v>
      </c>
      <c r="B33">
        <f t="shared" si="2"/>
        <v>0</v>
      </c>
      <c r="C33">
        <f t="shared" si="3"/>
        <v>-0.7</v>
      </c>
      <c r="D33">
        <f t="shared" si="4"/>
        <v>0</v>
      </c>
      <c r="E33">
        <v>-0.70999999999999974</v>
      </c>
      <c r="H33" t="str">
        <f>_xlfn.TEXTAFTER("1,2,3,4,5,6,7,8",{"3","4","5"},-1)</f>
        <v>,6,7,8</v>
      </c>
      <c r="T33" s="62" t="s">
        <v>646</v>
      </c>
      <c r="U33">
        <f t="shared" si="12"/>
        <v>1609.3472186944373</v>
      </c>
      <c r="V33">
        <f t="shared" si="13"/>
        <v>2</v>
      </c>
      <c r="W33">
        <f t="shared" si="14"/>
        <v>1</v>
      </c>
      <c r="X33" t="e">
        <f>CONVERT(1,X$1&amp;$T33,"m")</f>
        <v>#N/A</v>
      </c>
      <c r="Y33" t="e">
        <f t="shared" si="18"/>
        <v>#N/A</v>
      </c>
      <c r="Z33" t="e">
        <f t="shared" si="18"/>
        <v>#N/A</v>
      </c>
      <c r="AA33" t="e">
        <f t="shared" si="18"/>
        <v>#N/A</v>
      </c>
      <c r="AB33" t="e">
        <f t="shared" si="18"/>
        <v>#N/A</v>
      </c>
      <c r="AC33" t="e">
        <f t="shared" si="18"/>
        <v>#N/A</v>
      </c>
      <c r="AD33" t="e">
        <f t="shared" si="18"/>
        <v>#N/A</v>
      </c>
      <c r="AE33" t="e">
        <f t="shared" si="18"/>
        <v>#N/A</v>
      </c>
      <c r="AF33" t="e">
        <f t="shared" si="18"/>
        <v>#N/A</v>
      </c>
      <c r="AG33" t="e">
        <f t="shared" si="18"/>
        <v>#N/A</v>
      </c>
      <c r="AH33" t="e">
        <f t="shared" si="18"/>
        <v>#N/A</v>
      </c>
      <c r="AI33" t="e">
        <f t="shared" si="18"/>
        <v>#N/A</v>
      </c>
      <c r="AJ33" t="e">
        <f t="shared" si="18"/>
        <v>#N/A</v>
      </c>
      <c r="AK33" t="e">
        <f t="shared" si="18"/>
        <v>#N/A</v>
      </c>
      <c r="AL33" t="e">
        <f t="shared" si="18"/>
        <v>#N/A</v>
      </c>
      <c r="AM33" t="e">
        <f t="shared" si="18"/>
        <v>#N/A</v>
      </c>
      <c r="AN33" t="e">
        <f t="shared" si="18"/>
        <v>#N/A</v>
      </c>
      <c r="AO33" t="e">
        <f t="shared" si="18"/>
        <v>#N/A</v>
      </c>
      <c r="AP33" t="e">
        <f t="shared" si="18"/>
        <v>#N/A</v>
      </c>
      <c r="AQ33" t="e">
        <f t="shared" si="18"/>
        <v>#N/A</v>
      </c>
      <c r="AR33" t="e">
        <f t="shared" si="18"/>
        <v>#N/A</v>
      </c>
    </row>
    <row r="34" spans="1:44" x14ac:dyDescent="0.2">
      <c r="A34" t="str">
        <f>TEXT(1,"[&lt;=1]x;[&lt;=2]a;b")</f>
        <v>x</v>
      </c>
      <c r="B34">
        <f t="shared" si="2"/>
        <v>0</v>
      </c>
      <c r="C34">
        <f t="shared" si="3"/>
        <v>-0.7</v>
      </c>
      <c r="D34">
        <f t="shared" si="4"/>
        <v>0</v>
      </c>
      <c r="E34">
        <v>-0.69999999999999973</v>
      </c>
      <c r="H34" t="str">
        <f>_xlfn.TEXTAFTER("1,2,3,4,5,6,7,8",{"3","4","5"},2)</f>
        <v>,5,6,7,8</v>
      </c>
    </row>
    <row r="35" spans="1:44" x14ac:dyDescent="0.2">
      <c r="A35" t="str">
        <f>TEXT(2,"[&lt;=1]a;[=2]xx;xcx")</f>
        <v>xx</v>
      </c>
      <c r="B35">
        <f t="shared" si="2"/>
        <v>0</v>
      </c>
      <c r="C35">
        <f t="shared" si="3"/>
        <v>-0.6</v>
      </c>
      <c r="D35">
        <f t="shared" si="4"/>
        <v>0</v>
      </c>
      <c r="E35">
        <v>-0.68999999999999972</v>
      </c>
      <c r="T35" s="62" t="s">
        <v>647</v>
      </c>
      <c r="U35">
        <f>CONVERT(1,T35,"sec")</f>
        <v>31557600</v>
      </c>
      <c r="V35">
        <f>CONVERT(2,T35,"hr")/U35</f>
        <v>5.5555555555555556E-4</v>
      </c>
      <c r="W35">
        <f>CONVERT(U35,"sec",T35)</f>
        <v>1</v>
      </c>
      <c r="X35" t="e">
        <f t="shared" ref="X35:AM35" si="19">CONVERT(1,X$1&amp;$T35,"sec")</f>
        <v>#N/A</v>
      </c>
      <c r="Y35" t="e">
        <f t="shared" si="19"/>
        <v>#N/A</v>
      </c>
      <c r="Z35" t="e">
        <f t="shared" si="19"/>
        <v>#N/A</v>
      </c>
      <c r="AA35" t="e">
        <f t="shared" si="19"/>
        <v>#N/A</v>
      </c>
      <c r="AB35" t="e">
        <f t="shared" si="19"/>
        <v>#N/A</v>
      </c>
      <c r="AC35" t="e">
        <f t="shared" si="19"/>
        <v>#N/A</v>
      </c>
      <c r="AD35" t="e">
        <f t="shared" si="19"/>
        <v>#N/A</v>
      </c>
      <c r="AE35" t="e">
        <f t="shared" si="19"/>
        <v>#N/A</v>
      </c>
      <c r="AF35" t="e">
        <f t="shared" si="19"/>
        <v>#N/A</v>
      </c>
      <c r="AG35" t="e">
        <f t="shared" si="19"/>
        <v>#N/A</v>
      </c>
      <c r="AH35" t="e">
        <f t="shared" si="19"/>
        <v>#N/A</v>
      </c>
      <c r="AI35" t="e">
        <f t="shared" si="19"/>
        <v>#N/A</v>
      </c>
      <c r="AJ35" t="e">
        <f t="shared" si="19"/>
        <v>#N/A</v>
      </c>
      <c r="AK35" t="e">
        <f t="shared" si="19"/>
        <v>#N/A</v>
      </c>
      <c r="AL35" t="e">
        <f t="shared" si="19"/>
        <v>#N/A</v>
      </c>
      <c r="AM35" t="e">
        <f t="shared" si="19"/>
        <v>#N/A</v>
      </c>
      <c r="AN35" t="e">
        <f t="shared" ref="Y35:AR42" si="20">CONVERT(1,AN$1&amp;$T35,"sec")</f>
        <v>#N/A</v>
      </c>
      <c r="AO35" t="e">
        <f t="shared" si="20"/>
        <v>#N/A</v>
      </c>
      <c r="AP35" t="e">
        <f t="shared" si="20"/>
        <v>#N/A</v>
      </c>
      <c r="AQ35" t="e">
        <f t="shared" si="20"/>
        <v>#N/A</v>
      </c>
      <c r="AR35" t="e">
        <f t="shared" si="20"/>
        <v>#N/A</v>
      </c>
    </row>
    <row r="36" spans="1:44" x14ac:dyDescent="0.2">
      <c r="A36" t="str">
        <f>TEXT(3,"[&lt;=1]a;[=2]aa;xxx")</f>
        <v>xxx</v>
      </c>
      <c r="B36">
        <f t="shared" si="2"/>
        <v>0</v>
      </c>
      <c r="C36">
        <f t="shared" si="3"/>
        <v>-0.6</v>
      </c>
      <c r="D36">
        <f t="shared" si="4"/>
        <v>0</v>
      </c>
      <c r="E36">
        <v>-0.67999999999999972</v>
      </c>
      <c r="T36" s="62" t="s">
        <v>648</v>
      </c>
      <c r="U36">
        <f t="shared" ref="U36:U42" si="21">CONVERT(1,T36,"sec")</f>
        <v>86400</v>
      </c>
      <c r="V36">
        <f t="shared" ref="V36:V42" si="22">CONVERT(2,T36,"hr")/U36</f>
        <v>5.5555555555555556E-4</v>
      </c>
      <c r="W36">
        <f t="shared" ref="W36:W42" si="23">CONVERT(U36,"sec",T36)</f>
        <v>1</v>
      </c>
      <c r="X36" t="e">
        <f t="shared" ref="X36:X42" si="24">CONVERT(1,X$1&amp;$T36,"sec")</f>
        <v>#N/A</v>
      </c>
      <c r="Y36" t="e">
        <f t="shared" si="20"/>
        <v>#N/A</v>
      </c>
      <c r="Z36" t="e">
        <f t="shared" si="20"/>
        <v>#N/A</v>
      </c>
      <c r="AA36" t="e">
        <f t="shared" si="20"/>
        <v>#N/A</v>
      </c>
      <c r="AB36" t="e">
        <f t="shared" si="20"/>
        <v>#N/A</v>
      </c>
      <c r="AC36" t="e">
        <f t="shared" si="20"/>
        <v>#N/A</v>
      </c>
      <c r="AD36" t="e">
        <f t="shared" si="20"/>
        <v>#N/A</v>
      </c>
      <c r="AE36" t="e">
        <f t="shared" si="20"/>
        <v>#N/A</v>
      </c>
      <c r="AF36" t="e">
        <f t="shared" si="20"/>
        <v>#N/A</v>
      </c>
      <c r="AG36" t="e">
        <f t="shared" si="20"/>
        <v>#N/A</v>
      </c>
      <c r="AH36" t="e">
        <f t="shared" si="20"/>
        <v>#N/A</v>
      </c>
      <c r="AI36" t="e">
        <f t="shared" si="20"/>
        <v>#N/A</v>
      </c>
      <c r="AJ36" t="e">
        <f t="shared" si="20"/>
        <v>#N/A</v>
      </c>
      <c r="AK36" t="e">
        <f t="shared" si="20"/>
        <v>#N/A</v>
      </c>
      <c r="AL36" t="e">
        <f t="shared" si="20"/>
        <v>#N/A</v>
      </c>
      <c r="AM36" t="e">
        <f t="shared" si="20"/>
        <v>#N/A</v>
      </c>
      <c r="AN36" t="e">
        <f t="shared" si="20"/>
        <v>#N/A</v>
      </c>
      <c r="AO36" t="e">
        <f t="shared" si="20"/>
        <v>#N/A</v>
      </c>
      <c r="AP36" t="e">
        <f t="shared" si="20"/>
        <v>#N/A</v>
      </c>
      <c r="AQ36" t="e">
        <f t="shared" si="20"/>
        <v>#N/A</v>
      </c>
      <c r="AR36" t="e">
        <f t="shared" si="20"/>
        <v>#N/A</v>
      </c>
    </row>
    <row r="37" spans="1:44" x14ac:dyDescent="0.2">
      <c r="A37" t="str">
        <f>TEXT(130, "m mm mmm mmmm mmmmm mmmmmm mmmmmmm")</f>
        <v>5 05 May May M May May</v>
      </c>
      <c r="B37">
        <f t="shared" si="2"/>
        <v>0</v>
      </c>
      <c r="C37">
        <f t="shared" si="3"/>
        <v>-0.6</v>
      </c>
      <c r="D37">
        <f t="shared" si="4"/>
        <v>0</v>
      </c>
      <c r="E37">
        <v>-0.66999999999999971</v>
      </c>
      <c r="T37" s="62" t="s">
        <v>612</v>
      </c>
      <c r="U37">
        <f t="shared" si="21"/>
        <v>86400</v>
      </c>
      <c r="V37">
        <f t="shared" si="22"/>
        <v>5.5555555555555556E-4</v>
      </c>
      <c r="W37">
        <f t="shared" si="23"/>
        <v>1</v>
      </c>
      <c r="X37" t="e">
        <f t="shared" si="24"/>
        <v>#N/A</v>
      </c>
      <c r="Y37" t="e">
        <f t="shared" si="20"/>
        <v>#N/A</v>
      </c>
      <c r="Z37" t="e">
        <f t="shared" si="20"/>
        <v>#N/A</v>
      </c>
      <c r="AA37" t="e">
        <f t="shared" si="20"/>
        <v>#N/A</v>
      </c>
      <c r="AB37" t="e">
        <f t="shared" si="20"/>
        <v>#N/A</v>
      </c>
      <c r="AC37" t="e">
        <f t="shared" si="20"/>
        <v>#N/A</v>
      </c>
      <c r="AD37" t="e">
        <f t="shared" si="20"/>
        <v>#N/A</v>
      </c>
      <c r="AE37" t="e">
        <f t="shared" si="20"/>
        <v>#N/A</v>
      </c>
      <c r="AF37" t="e">
        <f t="shared" si="20"/>
        <v>#N/A</v>
      </c>
      <c r="AG37" t="e">
        <f t="shared" si="20"/>
        <v>#N/A</v>
      </c>
      <c r="AH37" t="e">
        <f t="shared" si="20"/>
        <v>#N/A</v>
      </c>
      <c r="AI37" t="e">
        <f t="shared" si="20"/>
        <v>#N/A</v>
      </c>
      <c r="AJ37" t="e">
        <f t="shared" si="20"/>
        <v>#N/A</v>
      </c>
      <c r="AK37" t="e">
        <f t="shared" si="20"/>
        <v>#N/A</v>
      </c>
      <c r="AL37" t="e">
        <f t="shared" si="20"/>
        <v>#N/A</v>
      </c>
      <c r="AM37" t="e">
        <f t="shared" si="20"/>
        <v>#N/A</v>
      </c>
      <c r="AN37" t="e">
        <f t="shared" si="20"/>
        <v>#N/A</v>
      </c>
      <c r="AO37" t="e">
        <f t="shared" si="20"/>
        <v>#N/A</v>
      </c>
      <c r="AP37" t="e">
        <f t="shared" si="20"/>
        <v>#N/A</v>
      </c>
      <c r="AQ37" t="e">
        <f t="shared" si="20"/>
        <v>#N/A</v>
      </c>
      <c r="AR37" t="e">
        <f t="shared" si="20"/>
        <v>#N/A</v>
      </c>
    </row>
    <row r="38" spans="1:44" x14ac:dyDescent="0.2">
      <c r="A38" t="str">
        <f>TEXT(130, "d dd ddd dddd ddddd dddddd")</f>
        <v>9 09 Wed Wednesday Wednesday Wednesday</v>
      </c>
      <c r="B38">
        <f t="shared" si="2"/>
        <v>0</v>
      </c>
      <c r="C38">
        <f t="shared" si="3"/>
        <v>-0.6</v>
      </c>
      <c r="D38">
        <f t="shared" si="4"/>
        <v>0</v>
      </c>
      <c r="E38">
        <v>-0.6599999999999997</v>
      </c>
      <c r="T38" s="62" t="s">
        <v>649</v>
      </c>
      <c r="U38">
        <f t="shared" si="21"/>
        <v>3600</v>
      </c>
      <c r="V38">
        <f t="shared" si="22"/>
        <v>5.5555555555555556E-4</v>
      </c>
      <c r="W38">
        <f t="shared" si="23"/>
        <v>1</v>
      </c>
      <c r="X38" t="e">
        <f t="shared" si="24"/>
        <v>#N/A</v>
      </c>
      <c r="Y38" t="e">
        <f t="shared" si="20"/>
        <v>#N/A</v>
      </c>
      <c r="Z38" t="e">
        <f t="shared" si="20"/>
        <v>#N/A</v>
      </c>
      <c r="AA38" t="e">
        <f t="shared" si="20"/>
        <v>#N/A</v>
      </c>
      <c r="AB38" t="e">
        <f t="shared" si="20"/>
        <v>#N/A</v>
      </c>
      <c r="AC38" t="e">
        <f t="shared" si="20"/>
        <v>#N/A</v>
      </c>
      <c r="AD38" t="e">
        <f t="shared" si="20"/>
        <v>#N/A</v>
      </c>
      <c r="AE38" t="e">
        <f t="shared" si="20"/>
        <v>#N/A</v>
      </c>
      <c r="AF38" t="e">
        <f t="shared" si="20"/>
        <v>#N/A</v>
      </c>
      <c r="AG38" t="e">
        <f t="shared" si="20"/>
        <v>#N/A</v>
      </c>
      <c r="AH38" t="e">
        <f t="shared" si="20"/>
        <v>#N/A</v>
      </c>
      <c r="AI38" t="e">
        <f t="shared" si="20"/>
        <v>#N/A</v>
      </c>
      <c r="AJ38" t="e">
        <f t="shared" si="20"/>
        <v>#N/A</v>
      </c>
      <c r="AK38" t="e">
        <f t="shared" si="20"/>
        <v>#N/A</v>
      </c>
      <c r="AL38" t="e">
        <f t="shared" si="20"/>
        <v>#N/A</v>
      </c>
      <c r="AM38" t="e">
        <f t="shared" si="20"/>
        <v>#N/A</v>
      </c>
      <c r="AN38" t="e">
        <f t="shared" si="20"/>
        <v>#N/A</v>
      </c>
      <c r="AO38" t="e">
        <f t="shared" si="20"/>
        <v>#N/A</v>
      </c>
      <c r="AP38" t="e">
        <f t="shared" si="20"/>
        <v>#N/A</v>
      </c>
      <c r="AQ38" t="e">
        <f t="shared" si="20"/>
        <v>#N/A</v>
      </c>
      <c r="AR38" t="e">
        <f t="shared" si="20"/>
        <v>#N/A</v>
      </c>
    </row>
    <row r="39" spans="1:44" x14ac:dyDescent="0.2">
      <c r="A39" t="str">
        <f>TEXT(130, "y yy yyy yyyy yyyyyy")</f>
        <v>00 00 1900 1900 1900</v>
      </c>
      <c r="B39">
        <f t="shared" si="2"/>
        <v>0</v>
      </c>
      <c r="C39">
        <f t="shared" si="3"/>
        <v>-0.6</v>
      </c>
      <c r="D39">
        <f t="shared" si="4"/>
        <v>0</v>
      </c>
      <c r="E39">
        <v>-0.64999999999999969</v>
      </c>
      <c r="T39" s="62" t="s">
        <v>650</v>
      </c>
      <c r="U39">
        <f t="shared" si="21"/>
        <v>60</v>
      </c>
      <c r="V39">
        <f t="shared" si="22"/>
        <v>5.5555555555555556E-4</v>
      </c>
      <c r="W39">
        <f t="shared" si="23"/>
        <v>1</v>
      </c>
      <c r="X39" t="e">
        <f t="shared" si="24"/>
        <v>#N/A</v>
      </c>
      <c r="Y39" t="e">
        <f t="shared" si="20"/>
        <v>#N/A</v>
      </c>
      <c r="Z39" t="e">
        <f t="shared" si="20"/>
        <v>#N/A</v>
      </c>
      <c r="AA39" t="e">
        <f t="shared" si="20"/>
        <v>#N/A</v>
      </c>
      <c r="AB39" t="e">
        <f t="shared" si="20"/>
        <v>#N/A</v>
      </c>
      <c r="AC39" t="e">
        <f t="shared" si="20"/>
        <v>#N/A</v>
      </c>
      <c r="AD39" t="e">
        <f t="shared" si="20"/>
        <v>#N/A</v>
      </c>
      <c r="AE39" t="e">
        <f t="shared" si="20"/>
        <v>#N/A</v>
      </c>
      <c r="AF39" t="e">
        <f t="shared" si="20"/>
        <v>#N/A</v>
      </c>
      <c r="AG39" t="e">
        <f t="shared" si="20"/>
        <v>#N/A</v>
      </c>
      <c r="AH39" t="e">
        <f t="shared" si="20"/>
        <v>#N/A</v>
      </c>
      <c r="AI39" t="e">
        <f t="shared" si="20"/>
        <v>#N/A</v>
      </c>
      <c r="AJ39" t="e">
        <f t="shared" si="20"/>
        <v>#N/A</v>
      </c>
      <c r="AK39" t="e">
        <f t="shared" si="20"/>
        <v>#N/A</v>
      </c>
      <c r="AL39" t="e">
        <f t="shared" si="20"/>
        <v>#N/A</v>
      </c>
      <c r="AM39" t="e">
        <f t="shared" si="20"/>
        <v>#N/A</v>
      </c>
      <c r="AN39" t="e">
        <f t="shared" si="20"/>
        <v>#N/A</v>
      </c>
      <c r="AO39" t="e">
        <f t="shared" si="20"/>
        <v>#N/A</v>
      </c>
      <c r="AP39" t="e">
        <f t="shared" si="20"/>
        <v>#N/A</v>
      </c>
      <c r="AQ39" t="e">
        <f t="shared" si="20"/>
        <v>#N/A</v>
      </c>
      <c r="AR39" t="e">
        <f t="shared" si="20"/>
        <v>#N/A</v>
      </c>
    </row>
    <row r="40" spans="1:44" x14ac:dyDescent="0.2">
      <c r="A40" t="str">
        <f>TEXT(130.31322, "s ss sss ssss")</f>
        <v>2 02 02 02</v>
      </c>
      <c r="B40">
        <f t="shared" si="2"/>
        <v>0</v>
      </c>
      <c r="C40">
        <f t="shared" si="3"/>
        <v>-0.6</v>
      </c>
      <c r="D40">
        <f t="shared" si="4"/>
        <v>0</v>
      </c>
      <c r="E40">
        <v>-0.63999999999999968</v>
      </c>
      <c r="T40" s="62" t="s">
        <v>651</v>
      </c>
      <c r="U40">
        <f t="shared" si="21"/>
        <v>60</v>
      </c>
      <c r="V40">
        <f t="shared" si="22"/>
        <v>5.5555555555555556E-4</v>
      </c>
      <c r="W40">
        <f t="shared" si="23"/>
        <v>1</v>
      </c>
      <c r="X40" t="e">
        <f t="shared" si="24"/>
        <v>#N/A</v>
      </c>
      <c r="Y40" t="e">
        <f t="shared" si="20"/>
        <v>#N/A</v>
      </c>
      <c r="Z40" t="e">
        <f t="shared" si="20"/>
        <v>#N/A</v>
      </c>
      <c r="AA40" t="e">
        <f t="shared" si="20"/>
        <v>#N/A</v>
      </c>
      <c r="AB40" t="e">
        <f t="shared" si="20"/>
        <v>#N/A</v>
      </c>
      <c r="AC40" t="e">
        <f t="shared" si="20"/>
        <v>#N/A</v>
      </c>
      <c r="AD40" t="e">
        <f t="shared" si="20"/>
        <v>#N/A</v>
      </c>
      <c r="AE40" t="e">
        <f t="shared" si="20"/>
        <v>#N/A</v>
      </c>
      <c r="AF40" t="e">
        <f t="shared" si="20"/>
        <v>#N/A</v>
      </c>
      <c r="AG40" t="e">
        <f t="shared" si="20"/>
        <v>#N/A</v>
      </c>
      <c r="AH40" t="e">
        <f t="shared" si="20"/>
        <v>#N/A</v>
      </c>
      <c r="AI40" t="e">
        <f t="shared" si="20"/>
        <v>#N/A</v>
      </c>
      <c r="AJ40" t="e">
        <f t="shared" si="20"/>
        <v>#N/A</v>
      </c>
      <c r="AK40" t="e">
        <f t="shared" si="20"/>
        <v>#N/A</v>
      </c>
      <c r="AL40" t="e">
        <f t="shared" si="20"/>
        <v>#N/A</v>
      </c>
      <c r="AM40" t="e">
        <f t="shared" si="20"/>
        <v>#N/A</v>
      </c>
      <c r="AN40" t="e">
        <f t="shared" si="20"/>
        <v>#N/A</v>
      </c>
      <c r="AO40" t="e">
        <f t="shared" si="20"/>
        <v>#N/A</v>
      </c>
      <c r="AP40" t="e">
        <f t="shared" si="20"/>
        <v>#N/A</v>
      </c>
      <c r="AQ40" t="e">
        <f t="shared" si="20"/>
        <v>#N/A</v>
      </c>
      <c r="AR40" t="e">
        <f t="shared" si="20"/>
        <v>#N/A</v>
      </c>
    </row>
    <row r="41" spans="1:44" x14ac:dyDescent="0.2">
      <c r="A41" t="str">
        <f>TEXT(130.63332, "h hh hhh hhhh")</f>
        <v>15 15 15 15</v>
      </c>
      <c r="B41">
        <f t="shared" si="2"/>
        <v>0</v>
      </c>
      <c r="C41">
        <f t="shared" si="3"/>
        <v>-0.6</v>
      </c>
      <c r="D41">
        <f t="shared" si="4"/>
        <v>0</v>
      </c>
      <c r="E41">
        <v>-0.62999999999999967</v>
      </c>
      <c r="I41">
        <v>2</v>
      </c>
      <c r="T41" s="62" t="s">
        <v>652</v>
      </c>
      <c r="U41">
        <f t="shared" si="21"/>
        <v>1</v>
      </c>
      <c r="V41">
        <f t="shared" si="22"/>
        <v>5.5555555555555556E-4</v>
      </c>
      <c r="W41">
        <f t="shared" si="23"/>
        <v>1</v>
      </c>
      <c r="X41">
        <f t="shared" si="24"/>
        <v>9.9999999999999998E+23</v>
      </c>
      <c r="Y41">
        <f t="shared" si="20"/>
        <v>1E+21</v>
      </c>
      <c r="Z41">
        <f t="shared" si="20"/>
        <v>1E+18</v>
      </c>
      <c r="AA41">
        <f t="shared" si="20"/>
        <v>1000000000000000</v>
      </c>
      <c r="AB41">
        <f t="shared" si="20"/>
        <v>1000000000000</v>
      </c>
      <c r="AC41">
        <f t="shared" si="20"/>
        <v>1000000000</v>
      </c>
      <c r="AD41">
        <f t="shared" si="20"/>
        <v>1000000</v>
      </c>
      <c r="AE41">
        <f t="shared" si="20"/>
        <v>1000</v>
      </c>
      <c r="AF41">
        <f t="shared" si="20"/>
        <v>100</v>
      </c>
      <c r="AG41">
        <f t="shared" si="20"/>
        <v>10</v>
      </c>
      <c r="AH41">
        <f t="shared" si="20"/>
        <v>10</v>
      </c>
      <c r="AI41">
        <f t="shared" si="20"/>
        <v>0.1</v>
      </c>
      <c r="AJ41">
        <f t="shared" si="20"/>
        <v>0.01</v>
      </c>
      <c r="AK41">
        <f t="shared" si="20"/>
        <v>1E-3</v>
      </c>
      <c r="AL41">
        <f t="shared" si="20"/>
        <v>9.9999999999999995E-7</v>
      </c>
      <c r="AM41">
        <f t="shared" si="20"/>
        <v>1.0000000000000001E-9</v>
      </c>
      <c r="AN41">
        <f t="shared" si="20"/>
        <v>9.9999999999999998E-13</v>
      </c>
      <c r="AO41">
        <f t="shared" si="20"/>
        <v>1.0000000000000001E-15</v>
      </c>
      <c r="AP41">
        <f t="shared" si="20"/>
        <v>1.0000000000000001E-18</v>
      </c>
      <c r="AQ41">
        <f t="shared" si="20"/>
        <v>9.9999999999999991E-22</v>
      </c>
      <c r="AR41">
        <f t="shared" si="20"/>
        <v>9.9999999999999992E-25</v>
      </c>
    </row>
    <row r="42" spans="1:44" x14ac:dyDescent="0.2">
      <c r="A42" t="str">
        <f>TEXT(130.33332, "h hh hhh hhhh")</f>
        <v>7 07 07 07</v>
      </c>
      <c r="B42">
        <f t="shared" si="2"/>
        <v>0</v>
      </c>
      <c r="C42">
        <f t="shared" si="3"/>
        <v>-0.6</v>
      </c>
      <c r="D42">
        <f t="shared" si="4"/>
        <v>0</v>
      </c>
      <c r="E42">
        <v>-0.61999999999999966</v>
      </c>
      <c r="I42">
        <v>3</v>
      </c>
      <c r="T42" s="62" t="s">
        <v>653</v>
      </c>
      <c r="U42">
        <f t="shared" si="21"/>
        <v>1</v>
      </c>
      <c r="V42">
        <f t="shared" si="22"/>
        <v>5.5555555555555556E-4</v>
      </c>
      <c r="W42">
        <f t="shared" si="23"/>
        <v>1</v>
      </c>
      <c r="X42">
        <f t="shared" si="24"/>
        <v>9.9999999999999998E+23</v>
      </c>
      <c r="Y42">
        <f t="shared" si="20"/>
        <v>1E+21</v>
      </c>
      <c r="Z42">
        <f t="shared" si="20"/>
        <v>1E+18</v>
      </c>
      <c r="AA42">
        <f t="shared" si="20"/>
        <v>1000000000000000</v>
      </c>
      <c r="AB42">
        <f t="shared" si="20"/>
        <v>1000000000000</v>
      </c>
      <c r="AC42">
        <f t="shared" si="20"/>
        <v>1000000000</v>
      </c>
      <c r="AD42">
        <f t="shared" si="20"/>
        <v>1000000</v>
      </c>
      <c r="AE42">
        <f t="shared" si="20"/>
        <v>1000</v>
      </c>
      <c r="AF42">
        <f t="shared" si="20"/>
        <v>100</v>
      </c>
      <c r="AG42">
        <f t="shared" si="20"/>
        <v>10</v>
      </c>
      <c r="AH42">
        <f t="shared" si="20"/>
        <v>10</v>
      </c>
      <c r="AI42">
        <f t="shared" si="20"/>
        <v>0.1</v>
      </c>
      <c r="AJ42">
        <f t="shared" si="20"/>
        <v>0.01</v>
      </c>
      <c r="AK42">
        <f t="shared" si="20"/>
        <v>1E-3</v>
      </c>
      <c r="AL42">
        <f t="shared" si="20"/>
        <v>9.9999999999999995E-7</v>
      </c>
      <c r="AM42">
        <f t="shared" si="20"/>
        <v>1.0000000000000001E-9</v>
      </c>
      <c r="AN42">
        <f t="shared" si="20"/>
        <v>9.9999999999999998E-13</v>
      </c>
      <c r="AO42">
        <f t="shared" si="20"/>
        <v>1.0000000000000001E-15</v>
      </c>
      <c r="AP42">
        <f t="shared" si="20"/>
        <v>1.0000000000000001E-18</v>
      </c>
      <c r="AQ42">
        <f t="shared" si="20"/>
        <v>9.9999999999999991E-22</v>
      </c>
      <c r="AR42">
        <f t="shared" si="20"/>
        <v>9.9999999999999992E-25</v>
      </c>
    </row>
    <row r="43" spans="1:44" x14ac:dyDescent="0.2">
      <c r="A43" t="str">
        <f>TEXT(130.33332, "hm hmm hmmm hmmmm")</f>
        <v>759 759 7May 7May</v>
      </c>
      <c r="B43">
        <f t="shared" si="2"/>
        <v>0</v>
      </c>
      <c r="C43">
        <f t="shared" si="3"/>
        <v>-0.6</v>
      </c>
      <c r="D43">
        <f t="shared" si="4"/>
        <v>0</v>
      </c>
      <c r="E43">
        <v>-0.60999999999999965</v>
      </c>
      <c r="I43">
        <v>4</v>
      </c>
    </row>
    <row r="44" spans="1:44" x14ac:dyDescent="0.2">
      <c r="B44">
        <f t="shared" si="2"/>
        <v>0</v>
      </c>
      <c r="C44">
        <f t="shared" si="3"/>
        <v>-0.6</v>
      </c>
      <c r="D44">
        <f t="shared" si="4"/>
        <v>0</v>
      </c>
      <c r="E44">
        <v>-0.59999999999999964</v>
      </c>
      <c r="T44" s="62" t="s">
        <v>654</v>
      </c>
      <c r="U44">
        <f>CONVERT(1,T44,"Pa")</f>
        <v>1</v>
      </c>
      <c r="V44">
        <f>CONVERT(2,T44,"Pa")/U44</f>
        <v>2</v>
      </c>
      <c r="W44">
        <f>CONVERT(U44,"Pa",T44)</f>
        <v>1</v>
      </c>
      <c r="X44">
        <f t="shared" ref="X44:X50" si="25">CONVERT(1,X$1&amp;$T44,"Pa")</f>
        <v>9.9999999999999998E+23</v>
      </c>
      <c r="Y44">
        <f t="shared" ref="Y44:AR50" si="26">CONVERT(1,Y$1&amp;$T44,"Pa")</f>
        <v>1E+21</v>
      </c>
      <c r="Z44">
        <f t="shared" si="26"/>
        <v>1E+18</v>
      </c>
      <c r="AA44">
        <f t="shared" si="26"/>
        <v>1000000000000000</v>
      </c>
      <c r="AB44">
        <f t="shared" si="26"/>
        <v>1000000000000</v>
      </c>
      <c r="AC44">
        <f t="shared" si="26"/>
        <v>1000000000</v>
      </c>
      <c r="AD44">
        <f t="shared" si="26"/>
        <v>1000000</v>
      </c>
      <c r="AE44">
        <f t="shared" si="26"/>
        <v>1000</v>
      </c>
      <c r="AF44">
        <f t="shared" si="26"/>
        <v>100</v>
      </c>
      <c r="AG44">
        <f t="shared" si="26"/>
        <v>10</v>
      </c>
      <c r="AH44">
        <f t="shared" si="26"/>
        <v>10</v>
      </c>
      <c r="AI44">
        <f t="shared" si="26"/>
        <v>0.1</v>
      </c>
      <c r="AJ44">
        <f t="shared" si="26"/>
        <v>0.01</v>
      </c>
      <c r="AK44">
        <f t="shared" si="26"/>
        <v>1E-3</v>
      </c>
      <c r="AL44">
        <f t="shared" si="26"/>
        <v>9.9999999999999995E-7</v>
      </c>
      <c r="AM44">
        <f t="shared" si="26"/>
        <v>1.0000000000000001E-9</v>
      </c>
      <c r="AN44">
        <f t="shared" si="26"/>
        <v>9.9999999999999998E-13</v>
      </c>
      <c r="AO44">
        <f t="shared" si="26"/>
        <v>1.0000000000000001E-15</v>
      </c>
      <c r="AP44">
        <f t="shared" si="26"/>
        <v>1.0000000000000001E-18</v>
      </c>
      <c r="AQ44">
        <f t="shared" si="26"/>
        <v>9.9999999999999991E-22</v>
      </c>
      <c r="AR44">
        <f t="shared" si="26"/>
        <v>9.9999999999999992E-25</v>
      </c>
    </row>
    <row r="45" spans="1:44" x14ac:dyDescent="0.2">
      <c r="B45">
        <f t="shared" si="2"/>
        <v>0</v>
      </c>
      <c r="C45">
        <f t="shared" si="3"/>
        <v>-0.5</v>
      </c>
      <c r="D45">
        <f t="shared" si="4"/>
        <v>0</v>
      </c>
      <c r="E45">
        <v>-0.58999999999999964</v>
      </c>
      <c r="T45" s="62" t="s">
        <v>655</v>
      </c>
      <c r="U45">
        <f t="shared" ref="U45:U50" si="27">CONVERT(1,T45,"Pa")</f>
        <v>1</v>
      </c>
      <c r="V45">
        <f t="shared" ref="V45:V50" si="28">CONVERT(2,T45,"Pa")/U45</f>
        <v>2</v>
      </c>
      <c r="W45">
        <f t="shared" ref="W45:W50" si="29">CONVERT(U45,"Pa",T45)</f>
        <v>1</v>
      </c>
      <c r="X45">
        <f t="shared" si="25"/>
        <v>9.9999999999999998E+23</v>
      </c>
      <c r="Y45">
        <f t="shared" ref="Y45:AM45" si="30">CONVERT(1,Y$1&amp;$T45,"Pa")</f>
        <v>1E+21</v>
      </c>
      <c r="Z45">
        <f t="shared" si="30"/>
        <v>1E+18</v>
      </c>
      <c r="AA45">
        <f t="shared" si="30"/>
        <v>1000000000000000</v>
      </c>
      <c r="AB45">
        <f t="shared" si="30"/>
        <v>1000000000000</v>
      </c>
      <c r="AC45">
        <f t="shared" si="30"/>
        <v>1000000000</v>
      </c>
      <c r="AD45">
        <f t="shared" si="30"/>
        <v>1000000</v>
      </c>
      <c r="AE45">
        <f t="shared" si="30"/>
        <v>1000</v>
      </c>
      <c r="AF45">
        <f t="shared" si="30"/>
        <v>100</v>
      </c>
      <c r="AG45">
        <f t="shared" si="30"/>
        <v>10</v>
      </c>
      <c r="AH45">
        <f t="shared" si="30"/>
        <v>10</v>
      </c>
      <c r="AI45">
        <f t="shared" si="30"/>
        <v>0.1</v>
      </c>
      <c r="AJ45">
        <f t="shared" si="30"/>
        <v>0.01</v>
      </c>
      <c r="AK45">
        <f t="shared" si="30"/>
        <v>1E-3</v>
      </c>
      <c r="AL45">
        <f t="shared" si="30"/>
        <v>9.9999999999999995E-7</v>
      </c>
      <c r="AM45">
        <f t="shared" si="30"/>
        <v>1.0000000000000001E-9</v>
      </c>
      <c r="AN45">
        <f t="shared" si="26"/>
        <v>9.9999999999999998E-13</v>
      </c>
      <c r="AO45">
        <f t="shared" si="26"/>
        <v>1.0000000000000001E-15</v>
      </c>
      <c r="AP45">
        <f t="shared" si="26"/>
        <v>1.0000000000000001E-18</v>
      </c>
      <c r="AQ45">
        <f t="shared" si="26"/>
        <v>9.9999999999999991E-22</v>
      </c>
      <c r="AR45">
        <f t="shared" si="26"/>
        <v>9.9999999999999992E-25</v>
      </c>
    </row>
    <row r="46" spans="1:44" x14ac:dyDescent="0.2">
      <c r="B46">
        <f t="shared" si="2"/>
        <v>0</v>
      </c>
      <c r="C46">
        <f t="shared" si="3"/>
        <v>-0.5</v>
      </c>
      <c r="D46">
        <f t="shared" si="4"/>
        <v>0</v>
      </c>
      <c r="E46">
        <v>-0.57999999999999963</v>
      </c>
      <c r="T46" s="62" t="s">
        <v>656</v>
      </c>
      <c r="U46">
        <f t="shared" si="27"/>
        <v>101325</v>
      </c>
      <c r="V46">
        <f t="shared" si="28"/>
        <v>2</v>
      </c>
      <c r="W46">
        <f t="shared" si="29"/>
        <v>1</v>
      </c>
      <c r="X46">
        <f t="shared" si="25"/>
        <v>1.01325E+29</v>
      </c>
      <c r="Y46">
        <f t="shared" si="26"/>
        <v>1.01325E+26</v>
      </c>
      <c r="Z46">
        <f t="shared" si="26"/>
        <v>1.01325E+23</v>
      </c>
      <c r="AA46">
        <f t="shared" si="26"/>
        <v>1.01325E+20</v>
      </c>
      <c r="AB46">
        <f t="shared" si="26"/>
        <v>1.01325E+17</v>
      </c>
      <c r="AC46">
        <f t="shared" si="26"/>
        <v>101325000000000</v>
      </c>
      <c r="AD46">
        <f t="shared" si="26"/>
        <v>101325000000</v>
      </c>
      <c r="AE46">
        <f t="shared" si="26"/>
        <v>101325000</v>
      </c>
      <c r="AF46">
        <f t="shared" si="26"/>
        <v>10132500</v>
      </c>
      <c r="AG46">
        <f t="shared" si="26"/>
        <v>1013250</v>
      </c>
      <c r="AH46">
        <f t="shared" si="26"/>
        <v>1013250</v>
      </c>
      <c r="AI46">
        <f t="shared" si="26"/>
        <v>10132.5</v>
      </c>
      <c r="AJ46">
        <f t="shared" si="26"/>
        <v>1013.25</v>
      </c>
      <c r="AK46">
        <f t="shared" si="26"/>
        <v>101.325</v>
      </c>
      <c r="AL46">
        <f t="shared" si="26"/>
        <v>0.101325</v>
      </c>
      <c r="AM46">
        <f t="shared" si="26"/>
        <v>1.0132500000000001E-4</v>
      </c>
      <c r="AN46">
        <f t="shared" si="26"/>
        <v>1.01325E-7</v>
      </c>
      <c r="AO46">
        <f t="shared" si="26"/>
        <v>1.0132500000000001E-10</v>
      </c>
      <c r="AP46">
        <f t="shared" si="26"/>
        <v>1.0132500000000001E-13</v>
      </c>
      <c r="AQ46">
        <f t="shared" si="26"/>
        <v>1.0132499999999999E-16</v>
      </c>
      <c r="AR46">
        <f t="shared" si="26"/>
        <v>1.0132499999999999E-19</v>
      </c>
    </row>
    <row r="47" spans="1:44" x14ac:dyDescent="0.2">
      <c r="B47">
        <f t="shared" si="2"/>
        <v>0</v>
      </c>
      <c r="C47">
        <f t="shared" si="3"/>
        <v>-0.5</v>
      </c>
      <c r="D47">
        <f t="shared" si="4"/>
        <v>0</v>
      </c>
      <c r="E47">
        <v>-0.56999999999999962</v>
      </c>
      <c r="T47" s="62" t="s">
        <v>657</v>
      </c>
      <c r="U47">
        <f t="shared" si="27"/>
        <v>101325</v>
      </c>
      <c r="V47">
        <f t="shared" si="28"/>
        <v>2</v>
      </c>
      <c r="W47">
        <f t="shared" si="29"/>
        <v>1</v>
      </c>
      <c r="X47">
        <f t="shared" si="25"/>
        <v>1.01325E+29</v>
      </c>
      <c r="Y47">
        <f t="shared" si="26"/>
        <v>1.01325E+26</v>
      </c>
      <c r="Z47">
        <f t="shared" si="26"/>
        <v>1.01325E+23</v>
      </c>
      <c r="AA47">
        <f t="shared" si="26"/>
        <v>1.01325E+20</v>
      </c>
      <c r="AB47">
        <f t="shared" si="26"/>
        <v>1.01325E+17</v>
      </c>
      <c r="AC47">
        <f t="shared" si="26"/>
        <v>101325000000000</v>
      </c>
      <c r="AD47">
        <f t="shared" si="26"/>
        <v>101325000000</v>
      </c>
      <c r="AE47">
        <f t="shared" si="26"/>
        <v>101325000</v>
      </c>
      <c r="AF47">
        <f t="shared" si="26"/>
        <v>10132500</v>
      </c>
      <c r="AG47">
        <f t="shared" si="26"/>
        <v>1013250</v>
      </c>
      <c r="AH47">
        <f t="shared" si="26"/>
        <v>1013250</v>
      </c>
      <c r="AI47">
        <f t="shared" si="26"/>
        <v>10132.5</v>
      </c>
      <c r="AJ47">
        <f t="shared" si="26"/>
        <v>1013.25</v>
      </c>
      <c r="AK47">
        <f t="shared" si="26"/>
        <v>101.325</v>
      </c>
      <c r="AL47">
        <f t="shared" si="26"/>
        <v>0.101325</v>
      </c>
      <c r="AM47">
        <f t="shared" si="26"/>
        <v>1.0132500000000001E-4</v>
      </c>
      <c r="AN47">
        <f t="shared" si="26"/>
        <v>1.01325E-7</v>
      </c>
      <c r="AO47">
        <f t="shared" si="26"/>
        <v>1.0132500000000001E-10</v>
      </c>
      <c r="AP47">
        <f t="shared" si="26"/>
        <v>1.0132500000000001E-13</v>
      </c>
      <c r="AQ47">
        <f t="shared" si="26"/>
        <v>1.0132499999999999E-16</v>
      </c>
      <c r="AR47">
        <f t="shared" si="26"/>
        <v>1.0132499999999999E-19</v>
      </c>
    </row>
    <row r="48" spans="1:44" x14ac:dyDescent="0.2">
      <c r="B48">
        <f t="shared" si="2"/>
        <v>0</v>
      </c>
      <c r="C48">
        <f t="shared" si="3"/>
        <v>-0.5</v>
      </c>
      <c r="D48">
        <f t="shared" si="4"/>
        <v>0</v>
      </c>
      <c r="E48">
        <v>-0.55999999999999961</v>
      </c>
      <c r="T48" s="62" t="s">
        <v>658</v>
      </c>
      <c r="U48">
        <f t="shared" si="27"/>
        <v>133.322</v>
      </c>
      <c r="V48">
        <f t="shared" si="28"/>
        <v>2</v>
      </c>
      <c r="W48">
        <f t="shared" si="29"/>
        <v>1</v>
      </c>
      <c r="X48">
        <f t="shared" si="25"/>
        <v>1.3332200000000001E+26</v>
      </c>
      <c r="Y48">
        <f t="shared" si="26"/>
        <v>1.33322E+23</v>
      </c>
      <c r="Z48">
        <f t="shared" si="26"/>
        <v>1.33322E+20</v>
      </c>
      <c r="AA48">
        <f t="shared" si="26"/>
        <v>1.33322E+17</v>
      </c>
      <c r="AB48">
        <f t="shared" si="26"/>
        <v>133322000000000</v>
      </c>
      <c r="AC48">
        <f t="shared" si="26"/>
        <v>133322000000</v>
      </c>
      <c r="AD48">
        <f t="shared" si="26"/>
        <v>133322000</v>
      </c>
      <c r="AE48">
        <f t="shared" si="26"/>
        <v>133322</v>
      </c>
      <c r="AF48">
        <f t="shared" si="26"/>
        <v>13332.2</v>
      </c>
      <c r="AG48">
        <f t="shared" si="26"/>
        <v>1333.22</v>
      </c>
      <c r="AH48">
        <f t="shared" si="26"/>
        <v>1333.22</v>
      </c>
      <c r="AI48">
        <f t="shared" si="26"/>
        <v>13.3322</v>
      </c>
      <c r="AJ48">
        <f t="shared" si="26"/>
        <v>1.3332200000000001</v>
      </c>
      <c r="AK48">
        <f t="shared" si="26"/>
        <v>0.133322</v>
      </c>
      <c r="AL48">
        <f t="shared" si="26"/>
        <v>1.3332200000000001E-4</v>
      </c>
      <c r="AM48">
        <f t="shared" si="26"/>
        <v>1.3332200000000001E-7</v>
      </c>
      <c r="AN48">
        <f t="shared" si="26"/>
        <v>1.33322E-10</v>
      </c>
      <c r="AO48">
        <f t="shared" si="26"/>
        <v>1.3332200000000003E-13</v>
      </c>
      <c r="AP48">
        <f t="shared" si="26"/>
        <v>1.3332200000000002E-16</v>
      </c>
      <c r="AQ48">
        <f t="shared" si="26"/>
        <v>1.3332199999999999E-19</v>
      </c>
      <c r="AR48">
        <f t="shared" si="26"/>
        <v>1.3332199999999998E-22</v>
      </c>
    </row>
    <row r="49" spans="1:44" x14ac:dyDescent="0.2">
      <c r="B49">
        <f t="shared" si="2"/>
        <v>0</v>
      </c>
      <c r="C49">
        <f t="shared" si="3"/>
        <v>-0.5</v>
      </c>
      <c r="D49">
        <f t="shared" si="4"/>
        <v>0</v>
      </c>
      <c r="E49">
        <v>-0.5499999999999996</v>
      </c>
      <c r="T49" s="62" t="s">
        <v>659</v>
      </c>
      <c r="U49">
        <f t="shared" si="27"/>
        <v>6894.7572931683617</v>
      </c>
      <c r="V49">
        <f t="shared" si="28"/>
        <v>2</v>
      </c>
      <c r="W49">
        <f t="shared" si="29"/>
        <v>1</v>
      </c>
      <c r="X49" t="e">
        <f t="shared" si="25"/>
        <v>#N/A</v>
      </c>
      <c r="Y49" t="e">
        <f t="shared" si="26"/>
        <v>#N/A</v>
      </c>
      <c r="Z49" t="e">
        <f t="shared" si="26"/>
        <v>#N/A</v>
      </c>
      <c r="AA49" t="e">
        <f t="shared" si="26"/>
        <v>#N/A</v>
      </c>
      <c r="AB49" t="e">
        <f t="shared" si="26"/>
        <v>#N/A</v>
      </c>
      <c r="AC49" t="e">
        <f t="shared" si="26"/>
        <v>#N/A</v>
      </c>
      <c r="AD49" t="e">
        <f t="shared" si="26"/>
        <v>#N/A</v>
      </c>
      <c r="AE49" t="e">
        <f t="shared" si="26"/>
        <v>#N/A</v>
      </c>
      <c r="AF49" t="e">
        <f t="shared" si="26"/>
        <v>#N/A</v>
      </c>
      <c r="AG49" t="e">
        <f t="shared" si="26"/>
        <v>#N/A</v>
      </c>
      <c r="AH49" t="e">
        <f t="shared" si="26"/>
        <v>#N/A</v>
      </c>
      <c r="AI49" t="e">
        <f t="shared" si="26"/>
        <v>#N/A</v>
      </c>
      <c r="AJ49" t="e">
        <f t="shared" si="26"/>
        <v>#N/A</v>
      </c>
      <c r="AK49" t="e">
        <f t="shared" si="26"/>
        <v>#N/A</v>
      </c>
      <c r="AL49" t="e">
        <f t="shared" si="26"/>
        <v>#N/A</v>
      </c>
      <c r="AM49" t="e">
        <f t="shared" si="26"/>
        <v>#N/A</v>
      </c>
      <c r="AN49" t="e">
        <f t="shared" si="26"/>
        <v>#N/A</v>
      </c>
      <c r="AO49" t="e">
        <f t="shared" si="26"/>
        <v>#N/A</v>
      </c>
      <c r="AP49" t="e">
        <f t="shared" si="26"/>
        <v>#N/A</v>
      </c>
      <c r="AQ49" t="e">
        <f t="shared" si="26"/>
        <v>#N/A</v>
      </c>
      <c r="AR49" t="e">
        <f t="shared" si="26"/>
        <v>#N/A</v>
      </c>
    </row>
    <row r="50" spans="1:44" x14ac:dyDescent="0.2">
      <c r="B50">
        <f t="shared" si="2"/>
        <v>0</v>
      </c>
      <c r="C50">
        <f t="shared" si="3"/>
        <v>-0.5</v>
      </c>
      <c r="D50">
        <f t="shared" si="4"/>
        <v>0</v>
      </c>
      <c r="E50">
        <v>-0.53999999999999959</v>
      </c>
      <c r="H50" cm="1">
        <f t="array" ref="H50:H54">FREQUENCY({1,2,3,2,1,3,2,1,6,5,4.9,0},{1,3;5,3})</f>
        <v>4</v>
      </c>
      <c r="I50" cm="1">
        <f t="array" ref="I50:I54">FREQUENCY(I41:I45,{1,3;5,3})</f>
        <v>0</v>
      </c>
      <c r="J50" cm="1">
        <f t="array" ref="J50:J51">FREQUENCY(I41:I44,J41:J44)</f>
        <v>0</v>
      </c>
      <c r="K50" cm="1">
        <f t="array" ref="K50:K54">FREQUENCY(H41:H45,{1,3;5,3})</f>
        <v>0</v>
      </c>
      <c r="T50" s="62" t="s">
        <v>660</v>
      </c>
      <c r="U50">
        <f t="shared" si="27"/>
        <v>133.32236842105263</v>
      </c>
      <c r="V50">
        <f t="shared" si="28"/>
        <v>2</v>
      </c>
      <c r="W50">
        <f t="shared" si="29"/>
        <v>1</v>
      </c>
      <c r="X50" t="e">
        <f t="shared" si="25"/>
        <v>#N/A</v>
      </c>
      <c r="Y50" t="e">
        <f t="shared" si="26"/>
        <v>#N/A</v>
      </c>
      <c r="Z50" t="e">
        <f t="shared" si="26"/>
        <v>#N/A</v>
      </c>
      <c r="AA50" t="e">
        <f t="shared" si="26"/>
        <v>#N/A</v>
      </c>
      <c r="AB50" t="e">
        <f t="shared" si="26"/>
        <v>#N/A</v>
      </c>
      <c r="AC50" t="e">
        <f t="shared" si="26"/>
        <v>#N/A</v>
      </c>
      <c r="AD50" t="e">
        <f t="shared" si="26"/>
        <v>#N/A</v>
      </c>
      <c r="AE50" t="e">
        <f t="shared" si="26"/>
        <v>#N/A</v>
      </c>
      <c r="AF50" t="e">
        <f t="shared" si="26"/>
        <v>#N/A</v>
      </c>
      <c r="AG50" t="e">
        <f t="shared" si="26"/>
        <v>#N/A</v>
      </c>
      <c r="AH50" t="e">
        <f t="shared" si="26"/>
        <v>#N/A</v>
      </c>
      <c r="AI50" t="e">
        <f t="shared" si="26"/>
        <v>#N/A</v>
      </c>
      <c r="AJ50" t="e">
        <f t="shared" si="26"/>
        <v>#N/A</v>
      </c>
      <c r="AK50" t="e">
        <f t="shared" si="26"/>
        <v>#N/A</v>
      </c>
      <c r="AL50" t="e">
        <f t="shared" si="26"/>
        <v>#N/A</v>
      </c>
      <c r="AM50" t="e">
        <f t="shared" si="26"/>
        <v>#N/A</v>
      </c>
      <c r="AN50" t="e">
        <f t="shared" si="26"/>
        <v>#N/A</v>
      </c>
      <c r="AO50" t="e">
        <f t="shared" si="26"/>
        <v>#N/A</v>
      </c>
      <c r="AP50" t="e">
        <f t="shared" si="26"/>
        <v>#N/A</v>
      </c>
      <c r="AQ50" t="e">
        <f t="shared" si="26"/>
        <v>#N/A</v>
      </c>
      <c r="AR50" t="e">
        <f t="shared" si="26"/>
        <v>#N/A</v>
      </c>
    </row>
    <row r="51" spans="1:44" x14ac:dyDescent="0.2">
      <c r="B51">
        <f t="shared" si="2"/>
        <v>0</v>
      </c>
      <c r="C51">
        <f t="shared" si="3"/>
        <v>-0.5</v>
      </c>
      <c r="D51">
        <f t="shared" si="4"/>
        <v>0</v>
      </c>
      <c r="E51">
        <v>-0.52999999999999958</v>
      </c>
      <c r="H51">
        <v>5</v>
      </c>
      <c r="I51">
        <v>2</v>
      </c>
      <c r="J51">
        <v>3</v>
      </c>
      <c r="K51">
        <v>0</v>
      </c>
    </row>
    <row r="52" spans="1:44" x14ac:dyDescent="0.2">
      <c r="B52">
        <f t="shared" si="2"/>
        <v>0</v>
      </c>
      <c r="C52">
        <f t="shared" si="3"/>
        <v>-0.5</v>
      </c>
      <c r="D52">
        <f t="shared" si="4"/>
        <v>0</v>
      </c>
      <c r="E52">
        <v>-0.51999999999999957</v>
      </c>
      <c r="H52">
        <v>2</v>
      </c>
      <c r="I52">
        <v>1</v>
      </c>
      <c r="K52">
        <v>0</v>
      </c>
      <c r="T52" s="62" t="s">
        <v>221</v>
      </c>
      <c r="U52">
        <f>CONVERT(1,T52,"N")</f>
        <v>1</v>
      </c>
      <c r="V52">
        <f>CONVERT(2,T52,"N")/U52</f>
        <v>2</v>
      </c>
      <c r="W52">
        <f>CONVERT(U52,"N",T52)</f>
        <v>1</v>
      </c>
      <c r="X52">
        <f>CONVERT(1,X$1&amp;$T52,"N")</f>
        <v>9.9999999999999998E+23</v>
      </c>
      <c r="Y52">
        <f t="shared" ref="Y52:AR55" si="31">CONVERT(1,Y$1&amp;$T52,"N")</f>
        <v>1E+21</v>
      </c>
      <c r="Z52">
        <f t="shared" si="31"/>
        <v>1E+18</v>
      </c>
      <c r="AA52">
        <f t="shared" si="31"/>
        <v>1000000000000000</v>
      </c>
      <c r="AB52">
        <f t="shared" si="31"/>
        <v>1000000000000</v>
      </c>
      <c r="AC52">
        <f t="shared" si="31"/>
        <v>1000000000</v>
      </c>
      <c r="AD52">
        <f t="shared" si="31"/>
        <v>1000000</v>
      </c>
      <c r="AE52">
        <f t="shared" si="31"/>
        <v>1000</v>
      </c>
      <c r="AF52">
        <f t="shared" si="31"/>
        <v>100</v>
      </c>
      <c r="AG52">
        <f t="shared" si="31"/>
        <v>10</v>
      </c>
      <c r="AH52">
        <f t="shared" si="31"/>
        <v>10</v>
      </c>
      <c r="AI52">
        <f t="shared" si="31"/>
        <v>0.1</v>
      </c>
      <c r="AJ52">
        <f t="shared" si="31"/>
        <v>0.01</v>
      </c>
      <c r="AK52">
        <f t="shared" si="31"/>
        <v>1E-3</v>
      </c>
      <c r="AL52">
        <f t="shared" si="31"/>
        <v>9.9999999999999995E-7</v>
      </c>
      <c r="AM52">
        <f t="shared" si="31"/>
        <v>1.0000000000000001E-9</v>
      </c>
      <c r="AN52">
        <f t="shared" si="31"/>
        <v>9.9999999999999998E-13</v>
      </c>
      <c r="AO52">
        <f t="shared" si="31"/>
        <v>1.0000000000000001E-15</v>
      </c>
      <c r="AP52">
        <f t="shared" si="31"/>
        <v>1.0000000000000001E-18</v>
      </c>
      <c r="AQ52">
        <f t="shared" si="31"/>
        <v>9.9999999999999991E-22</v>
      </c>
      <c r="AR52">
        <f t="shared" si="31"/>
        <v>9.9999999999999992E-25</v>
      </c>
    </row>
    <row r="53" spans="1:44" x14ac:dyDescent="0.2">
      <c r="A53" t="str">
        <f>TEXT(130,"MM/DD/YY")</f>
        <v>05/09/00</v>
      </c>
      <c r="B53">
        <f t="shared" si="2"/>
        <v>0</v>
      </c>
      <c r="C53">
        <f t="shared" si="3"/>
        <v>-0.5</v>
      </c>
      <c r="D53">
        <f t="shared" si="4"/>
        <v>0</v>
      </c>
      <c r="E53">
        <v>-0.50999999999999956</v>
      </c>
      <c r="H53">
        <v>0</v>
      </c>
      <c r="I53">
        <v>0</v>
      </c>
      <c r="K53">
        <v>0</v>
      </c>
      <c r="T53" s="62" t="s">
        <v>661</v>
      </c>
      <c r="U53">
        <f>CONVERT(1,T53,"N")</f>
        <v>1.0000000000000001E-5</v>
      </c>
      <c r="V53">
        <f>CONVERT(2,T53,"N")/U53</f>
        <v>2</v>
      </c>
      <c r="W53">
        <f>CONVERT(U53,"N",T53)</f>
        <v>1</v>
      </c>
      <c r="X53">
        <f>CONVERT(1,X$1&amp;$T53,"N")</f>
        <v>1E+19</v>
      </c>
      <c r="Y53">
        <f t="shared" ref="Y53:AM53" si="32">CONVERT(1,Y$1&amp;$T53,"N")</f>
        <v>1E+16</v>
      </c>
      <c r="Z53">
        <f t="shared" si="32"/>
        <v>10000000000000</v>
      </c>
      <c r="AA53">
        <f t="shared" si="32"/>
        <v>10000000000</v>
      </c>
      <c r="AB53">
        <f t="shared" si="32"/>
        <v>10000000</v>
      </c>
      <c r="AC53">
        <f t="shared" si="32"/>
        <v>10000</v>
      </c>
      <c r="AD53">
        <f t="shared" si="32"/>
        <v>10</v>
      </c>
      <c r="AE53">
        <f t="shared" si="32"/>
        <v>0.01</v>
      </c>
      <c r="AF53">
        <f t="shared" si="32"/>
        <v>1E-3</v>
      </c>
      <c r="AG53">
        <f t="shared" si="32"/>
        <v>1E-4</v>
      </c>
      <c r="AH53">
        <f t="shared" si="32"/>
        <v>1E-4</v>
      </c>
      <c r="AI53">
        <f t="shared" si="32"/>
        <v>1.0000000000000002E-6</v>
      </c>
      <c r="AJ53">
        <f t="shared" si="32"/>
        <v>1.0000000000000001E-7</v>
      </c>
      <c r="AK53">
        <f t="shared" si="32"/>
        <v>1E-8</v>
      </c>
      <c r="AL53">
        <f t="shared" si="32"/>
        <v>1.0000000000000001E-11</v>
      </c>
      <c r="AM53">
        <f t="shared" si="32"/>
        <v>1.0000000000000002E-14</v>
      </c>
      <c r="AN53">
        <f t="shared" si="31"/>
        <v>1.0000000000000001E-17</v>
      </c>
      <c r="AO53">
        <f t="shared" si="31"/>
        <v>1.0000000000000001E-20</v>
      </c>
      <c r="AP53">
        <f t="shared" si="31"/>
        <v>1.0000000000000001E-23</v>
      </c>
      <c r="AQ53">
        <f t="shared" si="31"/>
        <v>1E-26</v>
      </c>
      <c r="AR53">
        <f t="shared" si="31"/>
        <v>9.9999999999999994E-30</v>
      </c>
    </row>
    <row r="54" spans="1:44" x14ac:dyDescent="0.2">
      <c r="B54">
        <f t="shared" si="2"/>
        <v>0</v>
      </c>
      <c r="C54">
        <f t="shared" si="3"/>
        <v>-0.5</v>
      </c>
      <c r="D54">
        <f t="shared" si="4"/>
        <v>0</v>
      </c>
      <c r="E54">
        <v>-0.49999999999999956</v>
      </c>
      <c r="H54">
        <v>1</v>
      </c>
      <c r="I54">
        <v>0</v>
      </c>
      <c r="K54">
        <v>0</v>
      </c>
      <c r="T54" s="62" t="s">
        <v>662</v>
      </c>
      <c r="U54">
        <f>CONVERT(1,T54,"N")</f>
        <v>1.0000000000000001E-5</v>
      </c>
      <c r="V54">
        <f>CONVERT(2,T54,"N")/U54</f>
        <v>2</v>
      </c>
      <c r="W54">
        <f>CONVERT(U54,"N",T54)</f>
        <v>1</v>
      </c>
      <c r="X54">
        <f>CONVERT(1,X$1&amp;$T54,"N")</f>
        <v>1E+19</v>
      </c>
      <c r="Y54">
        <f t="shared" si="31"/>
        <v>1E+16</v>
      </c>
      <c r="Z54">
        <f t="shared" si="31"/>
        <v>10000000000000</v>
      </c>
      <c r="AA54">
        <f t="shared" si="31"/>
        <v>10000000000</v>
      </c>
      <c r="AB54">
        <f t="shared" si="31"/>
        <v>10000000</v>
      </c>
      <c r="AC54">
        <f t="shared" si="31"/>
        <v>10000</v>
      </c>
      <c r="AD54">
        <f t="shared" si="31"/>
        <v>10</v>
      </c>
      <c r="AE54">
        <f t="shared" si="31"/>
        <v>0.01</v>
      </c>
      <c r="AF54">
        <f t="shared" si="31"/>
        <v>1E-3</v>
      </c>
      <c r="AG54">
        <f t="shared" si="31"/>
        <v>1E-4</v>
      </c>
      <c r="AH54">
        <f t="shared" si="31"/>
        <v>1E-4</v>
      </c>
      <c r="AI54">
        <f t="shared" si="31"/>
        <v>1.0000000000000002E-6</v>
      </c>
      <c r="AJ54">
        <f t="shared" si="31"/>
        <v>1.0000000000000001E-7</v>
      </c>
      <c r="AK54">
        <f t="shared" si="31"/>
        <v>1E-8</v>
      </c>
      <c r="AL54">
        <f t="shared" si="31"/>
        <v>1.0000000000000001E-11</v>
      </c>
      <c r="AM54">
        <f t="shared" si="31"/>
        <v>1.0000000000000002E-14</v>
      </c>
      <c r="AN54">
        <f t="shared" si="31"/>
        <v>1.0000000000000001E-17</v>
      </c>
      <c r="AO54">
        <f t="shared" si="31"/>
        <v>1.0000000000000001E-20</v>
      </c>
      <c r="AP54">
        <f t="shared" si="31"/>
        <v>1.0000000000000001E-23</v>
      </c>
      <c r="AQ54">
        <f t="shared" si="31"/>
        <v>1E-26</v>
      </c>
      <c r="AR54">
        <f t="shared" si="31"/>
        <v>9.9999999999999994E-30</v>
      </c>
    </row>
    <row r="55" spans="1:44" x14ac:dyDescent="0.2">
      <c r="B55">
        <f t="shared" si="2"/>
        <v>0</v>
      </c>
      <c r="C55">
        <f t="shared" si="3"/>
        <v>-0.4</v>
      </c>
      <c r="D55">
        <f t="shared" si="4"/>
        <v>0</v>
      </c>
      <c r="E55">
        <v>-0.48999999999999955</v>
      </c>
      <c r="T55" s="62" t="s">
        <v>663</v>
      </c>
      <c r="U55">
        <f>CONVERT(1,T55,"N")</f>
        <v>4.4482216152605005</v>
      </c>
      <c r="V55">
        <f>CONVERT(2,T55,"N")/U55</f>
        <v>2</v>
      </c>
      <c r="W55">
        <f>CONVERT(U55,"N",T55)</f>
        <v>1.0000000000000002</v>
      </c>
      <c r="X55" t="e">
        <f>CONVERT(1,X$1&amp;$T55,"N")</f>
        <v>#N/A</v>
      </c>
      <c r="Y55" t="e">
        <f t="shared" si="31"/>
        <v>#N/A</v>
      </c>
      <c r="Z55" t="e">
        <f t="shared" si="31"/>
        <v>#N/A</v>
      </c>
      <c r="AA55" t="e">
        <f t="shared" si="31"/>
        <v>#N/A</v>
      </c>
      <c r="AB55" t="e">
        <f t="shared" si="31"/>
        <v>#N/A</v>
      </c>
      <c r="AC55" t="e">
        <f t="shared" si="31"/>
        <v>#N/A</v>
      </c>
      <c r="AD55" t="e">
        <f t="shared" si="31"/>
        <v>#N/A</v>
      </c>
      <c r="AE55" t="e">
        <f t="shared" si="31"/>
        <v>#N/A</v>
      </c>
      <c r="AF55" t="e">
        <f t="shared" si="31"/>
        <v>#N/A</v>
      </c>
      <c r="AG55" t="e">
        <f t="shared" si="31"/>
        <v>#N/A</v>
      </c>
      <c r="AH55" t="e">
        <f t="shared" si="31"/>
        <v>#N/A</v>
      </c>
      <c r="AI55" t="e">
        <f t="shared" si="31"/>
        <v>#N/A</v>
      </c>
      <c r="AJ55" t="e">
        <f t="shared" si="31"/>
        <v>#N/A</v>
      </c>
      <c r="AK55" t="e">
        <f t="shared" si="31"/>
        <v>#N/A</v>
      </c>
      <c r="AL55" t="e">
        <f t="shared" si="31"/>
        <v>#N/A</v>
      </c>
      <c r="AM55" t="e">
        <f t="shared" si="31"/>
        <v>#N/A</v>
      </c>
      <c r="AN55" t="e">
        <f t="shared" si="31"/>
        <v>#N/A</v>
      </c>
      <c r="AO55" t="e">
        <f t="shared" si="31"/>
        <v>#N/A</v>
      </c>
      <c r="AP55" t="e">
        <f t="shared" si="31"/>
        <v>#N/A</v>
      </c>
      <c r="AQ55" t="e">
        <f t="shared" si="31"/>
        <v>#N/A</v>
      </c>
      <c r="AR55" t="e">
        <f t="shared" si="31"/>
        <v>#N/A</v>
      </c>
    </row>
    <row r="56" spans="1:44" x14ac:dyDescent="0.2">
      <c r="B56">
        <f t="shared" si="2"/>
        <v>0</v>
      </c>
      <c r="C56">
        <f t="shared" si="3"/>
        <v>-0.4</v>
      </c>
      <c r="D56">
        <f t="shared" si="4"/>
        <v>0</v>
      </c>
      <c r="E56">
        <v>-0.47999999999999954</v>
      </c>
      <c r="H56" s="72" cm="1">
        <f t="array" ref="H56:H62">FREQUENCY({1,2,3,2,1,3,2,1,6,5,4.9,0,-1,-2},{1,3;5,3;3,3})</f>
        <v>6</v>
      </c>
    </row>
    <row r="57" spans="1:44" x14ac:dyDescent="0.2">
      <c r="B57">
        <f t="shared" si="2"/>
        <v>0</v>
      </c>
      <c r="C57">
        <f t="shared" si="3"/>
        <v>-0.4</v>
      </c>
      <c r="D57">
        <f t="shared" si="4"/>
        <v>0</v>
      </c>
      <c r="E57">
        <v>-0.46999999999999953</v>
      </c>
      <c r="H57">
        <v>5</v>
      </c>
      <c r="T57" s="62" t="s">
        <v>664</v>
      </c>
      <c r="U57">
        <f>CONVERT(1,T57,"J")</f>
        <v>1</v>
      </c>
      <c r="V57">
        <f>CONVERT(2,T57,"J")/U57</f>
        <v>2</v>
      </c>
      <c r="W57">
        <f>CONVERT(U57,"J",T57)</f>
        <v>1</v>
      </c>
      <c r="X57">
        <f>CONVERT(1,X$1&amp;$T57,"J")</f>
        <v>9.9999999999999998E+23</v>
      </c>
      <c r="Y57">
        <f t="shared" ref="Y57:AR69" si="33">CONVERT(1,Y$1&amp;$T57,"J")</f>
        <v>1E+21</v>
      </c>
      <c r="Z57">
        <f t="shared" si="33"/>
        <v>1E+18</v>
      </c>
      <c r="AA57">
        <f t="shared" si="33"/>
        <v>1000000000000000</v>
      </c>
      <c r="AB57">
        <f t="shared" si="33"/>
        <v>1000000000000</v>
      </c>
      <c r="AC57">
        <f t="shared" si="33"/>
        <v>1000000000</v>
      </c>
      <c r="AD57">
        <f t="shared" si="33"/>
        <v>1000000</v>
      </c>
      <c r="AE57">
        <f t="shared" si="33"/>
        <v>1000</v>
      </c>
      <c r="AF57">
        <f t="shared" si="33"/>
        <v>100</v>
      </c>
      <c r="AG57">
        <f t="shared" si="33"/>
        <v>10</v>
      </c>
      <c r="AH57">
        <f t="shared" si="33"/>
        <v>10</v>
      </c>
      <c r="AI57">
        <f t="shared" si="33"/>
        <v>0.1</v>
      </c>
      <c r="AJ57">
        <f t="shared" si="33"/>
        <v>0.01</v>
      </c>
      <c r="AK57">
        <f t="shared" si="33"/>
        <v>1E-3</v>
      </c>
      <c r="AL57">
        <f t="shared" si="33"/>
        <v>9.9999999999999995E-7</v>
      </c>
      <c r="AM57">
        <f t="shared" si="33"/>
        <v>1.0000000000000001E-9</v>
      </c>
      <c r="AN57">
        <f t="shared" si="33"/>
        <v>9.9999999999999998E-13</v>
      </c>
      <c r="AO57">
        <f t="shared" si="33"/>
        <v>1.0000000000000001E-15</v>
      </c>
      <c r="AP57">
        <f t="shared" si="33"/>
        <v>1.0000000000000001E-18</v>
      </c>
      <c r="AQ57">
        <f t="shared" si="33"/>
        <v>9.9999999999999991E-22</v>
      </c>
      <c r="AR57">
        <f t="shared" si="33"/>
        <v>9.9999999999999992E-25</v>
      </c>
    </row>
    <row r="58" spans="1:44" x14ac:dyDescent="0.2">
      <c r="B58">
        <f t="shared" si="2"/>
        <v>0</v>
      </c>
      <c r="C58">
        <f t="shared" si="3"/>
        <v>-0.4</v>
      </c>
      <c r="D58">
        <f t="shared" si="4"/>
        <v>0</v>
      </c>
      <c r="E58">
        <v>-0.45999999999999952</v>
      </c>
      <c r="H58">
        <v>2</v>
      </c>
      <c r="T58" s="62" t="s">
        <v>665</v>
      </c>
      <c r="U58">
        <f t="shared" ref="U58:U68" si="34">CONVERT(1,T58,"J")</f>
        <v>9.9999999999999995E-8</v>
      </c>
      <c r="V58">
        <f t="shared" ref="V58:V68" si="35">CONVERT(2,T58,"J")/U58</f>
        <v>2</v>
      </c>
      <c r="W58">
        <f t="shared" ref="W58:W69" si="36">CONVERT(U58,"J",T58)</f>
        <v>1</v>
      </c>
      <c r="X58">
        <f>CONVERT(1,X$1&amp;$T58,"J")</f>
        <v>1E+17</v>
      </c>
      <c r="Y58">
        <f t="shared" ref="Y58:AM58" si="37">CONVERT(1,Y$1&amp;$T58,"J")</f>
        <v>100000000000000</v>
      </c>
      <c r="Z58">
        <f t="shared" si="37"/>
        <v>100000000000</v>
      </c>
      <c r="AA58">
        <f t="shared" si="37"/>
        <v>100000000</v>
      </c>
      <c r="AB58">
        <f t="shared" si="37"/>
        <v>100000</v>
      </c>
      <c r="AC58">
        <f t="shared" si="37"/>
        <v>100</v>
      </c>
      <c r="AD58">
        <f t="shared" si="37"/>
        <v>9.9999999999999992E-2</v>
      </c>
      <c r="AE58">
        <f t="shared" si="37"/>
        <v>9.9999999999999991E-5</v>
      </c>
      <c r="AF58">
        <f t="shared" si="37"/>
        <v>9.9999999999999991E-6</v>
      </c>
      <c r="AG58">
        <f t="shared" si="37"/>
        <v>9.9999999999999995E-7</v>
      </c>
      <c r="AH58">
        <f t="shared" si="37"/>
        <v>9.9999999999999995E-7</v>
      </c>
      <c r="AI58">
        <f t="shared" si="37"/>
        <v>1E-8</v>
      </c>
      <c r="AJ58">
        <f t="shared" si="37"/>
        <v>1.0000000000000001E-9</v>
      </c>
      <c r="AK58">
        <f t="shared" si="37"/>
        <v>1E-10</v>
      </c>
      <c r="AL58">
        <f t="shared" si="37"/>
        <v>9.999999999999999E-14</v>
      </c>
      <c r="AM58">
        <f t="shared" si="37"/>
        <v>9.9999999999999998E-17</v>
      </c>
      <c r="AN58">
        <f t="shared" si="33"/>
        <v>9.9999999999999998E-20</v>
      </c>
      <c r="AO58">
        <f t="shared" si="33"/>
        <v>1E-22</v>
      </c>
      <c r="AP58">
        <f t="shared" si="33"/>
        <v>1E-25</v>
      </c>
      <c r="AQ58">
        <f t="shared" si="33"/>
        <v>9.9999999999999986E-29</v>
      </c>
      <c r="AR58">
        <f t="shared" si="33"/>
        <v>9.9999999999999986E-32</v>
      </c>
    </row>
    <row r="59" spans="1:44" x14ac:dyDescent="0.2">
      <c r="B59">
        <f t="shared" si="2"/>
        <v>0</v>
      </c>
      <c r="C59">
        <f t="shared" si="3"/>
        <v>-0.4</v>
      </c>
      <c r="D59">
        <f t="shared" si="4"/>
        <v>0</v>
      </c>
      <c r="E59">
        <v>-0.44999999999999951</v>
      </c>
      <c r="H59">
        <v>0</v>
      </c>
      <c r="T59" s="62" t="s">
        <v>413</v>
      </c>
      <c r="U59">
        <f t="shared" si="34"/>
        <v>4.1840000000000002</v>
      </c>
      <c r="V59">
        <f t="shared" si="35"/>
        <v>2</v>
      </c>
      <c r="W59">
        <f t="shared" si="36"/>
        <v>1</v>
      </c>
      <c r="X59">
        <f>CONVERT(1,X$1&amp;$T59,"J")</f>
        <v>4.1839999999999999E+24</v>
      </c>
      <c r="Y59">
        <f t="shared" si="33"/>
        <v>4.184E+21</v>
      </c>
      <c r="Z59">
        <f t="shared" si="33"/>
        <v>4.184E+18</v>
      </c>
      <c r="AA59">
        <f t="shared" si="33"/>
        <v>4184000000000000</v>
      </c>
      <c r="AB59">
        <f t="shared" si="33"/>
        <v>4184000000000</v>
      </c>
      <c r="AC59">
        <f t="shared" si="33"/>
        <v>4184000000</v>
      </c>
      <c r="AD59">
        <f t="shared" si="33"/>
        <v>4184000</v>
      </c>
      <c r="AE59">
        <f t="shared" si="33"/>
        <v>4184</v>
      </c>
      <c r="AF59">
        <f t="shared" si="33"/>
        <v>418.40000000000003</v>
      </c>
      <c r="AG59">
        <f t="shared" si="33"/>
        <v>41.84</v>
      </c>
      <c r="AH59">
        <f t="shared" si="33"/>
        <v>41.84</v>
      </c>
      <c r="AI59">
        <f t="shared" si="33"/>
        <v>0.41840000000000005</v>
      </c>
      <c r="AJ59">
        <f t="shared" si="33"/>
        <v>4.1840000000000002E-2</v>
      </c>
      <c r="AK59">
        <f t="shared" si="33"/>
        <v>4.1840000000000002E-3</v>
      </c>
      <c r="AL59">
        <f t="shared" si="33"/>
        <v>4.1840000000000001E-6</v>
      </c>
      <c r="AM59">
        <f t="shared" si="33"/>
        <v>4.1840000000000004E-9</v>
      </c>
      <c r="AN59">
        <f t="shared" si="33"/>
        <v>4.1839999999999999E-12</v>
      </c>
      <c r="AO59">
        <f t="shared" si="33"/>
        <v>4.1840000000000001E-15</v>
      </c>
      <c r="AP59">
        <f t="shared" si="33"/>
        <v>4.1840000000000002E-18</v>
      </c>
      <c r="AQ59">
        <f t="shared" si="33"/>
        <v>4.184E-21</v>
      </c>
      <c r="AR59">
        <f t="shared" si="33"/>
        <v>4.1839999999999999E-24</v>
      </c>
    </row>
    <row r="60" spans="1:44" x14ac:dyDescent="0.2">
      <c r="B60">
        <f t="shared" si="2"/>
        <v>0</v>
      </c>
      <c r="C60">
        <f t="shared" si="3"/>
        <v>-0.4</v>
      </c>
      <c r="D60">
        <f t="shared" si="4"/>
        <v>0</v>
      </c>
      <c r="E60">
        <v>-0.4399999999999995</v>
      </c>
      <c r="H60">
        <v>0</v>
      </c>
      <c r="T60" s="62" t="s">
        <v>666</v>
      </c>
      <c r="U60">
        <f t="shared" si="34"/>
        <v>4.1867999999999999</v>
      </c>
      <c r="V60">
        <f t="shared" si="35"/>
        <v>2</v>
      </c>
      <c r="W60">
        <f t="shared" si="36"/>
        <v>1</v>
      </c>
      <c r="X60">
        <f>CONVERT(1,X$1&amp;$T60,"MJ")</f>
        <v>4.1868E+18</v>
      </c>
      <c r="Y60">
        <f t="shared" si="33"/>
        <v>4.1868E+21</v>
      </c>
      <c r="Z60">
        <f t="shared" si="33"/>
        <v>4.1868E+18</v>
      </c>
      <c r="AA60">
        <f t="shared" si="33"/>
        <v>4186800000000000</v>
      </c>
      <c r="AB60">
        <f t="shared" si="33"/>
        <v>4186800000000</v>
      </c>
      <c r="AC60">
        <f t="shared" si="33"/>
        <v>4186800000</v>
      </c>
      <c r="AD60">
        <f t="shared" si="33"/>
        <v>4186800</v>
      </c>
      <c r="AE60">
        <f t="shared" si="33"/>
        <v>4186.8</v>
      </c>
      <c r="AF60">
        <f t="shared" si="33"/>
        <v>418.68</v>
      </c>
      <c r="AG60">
        <f t="shared" si="33"/>
        <v>41.867999999999995</v>
      </c>
      <c r="AH60">
        <f t="shared" si="33"/>
        <v>41.867999999999995</v>
      </c>
      <c r="AI60">
        <f t="shared" si="33"/>
        <v>0.41868</v>
      </c>
      <c r="AJ60">
        <f t="shared" si="33"/>
        <v>4.1868000000000002E-2</v>
      </c>
      <c r="AK60">
        <f t="shared" si="33"/>
        <v>4.1868000000000001E-3</v>
      </c>
      <c r="AL60">
        <f t="shared" si="33"/>
        <v>4.1867999999999995E-6</v>
      </c>
      <c r="AM60">
        <f t="shared" si="33"/>
        <v>4.1868000000000005E-9</v>
      </c>
      <c r="AN60">
        <f t="shared" si="33"/>
        <v>4.1867999999999999E-12</v>
      </c>
      <c r="AO60">
        <f t="shared" si="33"/>
        <v>4.1868000000000001E-15</v>
      </c>
      <c r="AP60">
        <f t="shared" si="33"/>
        <v>4.1867999999999999E-18</v>
      </c>
      <c r="AQ60">
        <f t="shared" si="33"/>
        <v>4.1867999999999994E-21</v>
      </c>
      <c r="AR60">
        <f t="shared" si="33"/>
        <v>4.1867999999999995E-24</v>
      </c>
    </row>
    <row r="61" spans="1:44" x14ac:dyDescent="0.2">
      <c r="B61">
        <f t="shared" si="2"/>
        <v>0</v>
      </c>
      <c r="C61">
        <f t="shared" si="3"/>
        <v>-0.4</v>
      </c>
      <c r="D61">
        <f t="shared" si="4"/>
        <v>0</v>
      </c>
      <c r="E61">
        <v>-0.42999999999999949</v>
      </c>
      <c r="H61">
        <v>0</v>
      </c>
      <c r="T61" s="62" t="s">
        <v>667</v>
      </c>
      <c r="U61">
        <f t="shared" si="34"/>
        <v>1.602176487E-19</v>
      </c>
      <c r="V61">
        <f t="shared" si="35"/>
        <v>2</v>
      </c>
      <c r="W61">
        <f t="shared" si="36"/>
        <v>1</v>
      </c>
      <c r="X61">
        <f t="shared" ref="X61:X69" si="38">CONVERT(1,X$1&amp;$T61,"J")</f>
        <v>160217.64869999999</v>
      </c>
      <c r="Y61">
        <f t="shared" si="33"/>
        <v>160.21764870000001</v>
      </c>
      <c r="Z61">
        <f t="shared" si="33"/>
        <v>0.16021764869999999</v>
      </c>
      <c r="AA61">
        <f t="shared" si="33"/>
        <v>1.6021764870000001E-4</v>
      </c>
      <c r="AB61">
        <f t="shared" si="33"/>
        <v>1.602176487E-7</v>
      </c>
      <c r="AC61">
        <f t="shared" si="33"/>
        <v>1.6021764869999999E-10</v>
      </c>
      <c r="AD61">
        <f t="shared" si="33"/>
        <v>1.602176487E-13</v>
      </c>
      <c r="AE61">
        <f t="shared" si="33"/>
        <v>1.602176487E-16</v>
      </c>
      <c r="AF61">
        <f t="shared" si="33"/>
        <v>1.6021764869999999E-17</v>
      </c>
      <c r="AG61">
        <f t="shared" si="33"/>
        <v>1.602176487E-18</v>
      </c>
      <c r="AH61">
        <f t="shared" si="33"/>
        <v>1.602176487E-18</v>
      </c>
      <c r="AI61">
        <f t="shared" si="33"/>
        <v>1.6021764870000002E-20</v>
      </c>
      <c r="AJ61">
        <f t="shared" si="33"/>
        <v>1.6021764870000001E-21</v>
      </c>
      <c r="AK61">
        <f t="shared" si="33"/>
        <v>1.6021764870000001E-22</v>
      </c>
      <c r="AL61">
        <f t="shared" si="33"/>
        <v>1.6021764869999998E-25</v>
      </c>
      <c r="AM61">
        <f t="shared" si="33"/>
        <v>1.6021764870000002E-28</v>
      </c>
      <c r="AN61">
        <f t="shared" si="33"/>
        <v>1.602176487E-31</v>
      </c>
      <c r="AO61">
        <f t="shared" si="33"/>
        <v>1.6021764870000002E-34</v>
      </c>
      <c r="AP61">
        <f t="shared" si="33"/>
        <v>1.6021764870000001E-37</v>
      </c>
      <c r="AQ61">
        <f t="shared" si="33"/>
        <v>1.602176487E-40</v>
      </c>
      <c r="AR61">
        <f t="shared" si="33"/>
        <v>1.6021764869999999E-43</v>
      </c>
    </row>
    <row r="62" spans="1:44" x14ac:dyDescent="0.2">
      <c r="B62">
        <f t="shared" si="2"/>
        <v>0</v>
      </c>
      <c r="C62">
        <f t="shared" si="3"/>
        <v>-0.4</v>
      </c>
      <c r="D62">
        <f t="shared" si="4"/>
        <v>0</v>
      </c>
      <c r="E62">
        <v>-0.41999999999999948</v>
      </c>
      <c r="H62">
        <v>1</v>
      </c>
      <c r="T62" s="62" t="s">
        <v>668</v>
      </c>
      <c r="U62">
        <f t="shared" si="34"/>
        <v>1.602176487E-19</v>
      </c>
      <c r="V62">
        <f t="shared" si="35"/>
        <v>2</v>
      </c>
      <c r="W62">
        <f t="shared" si="36"/>
        <v>1</v>
      </c>
      <c r="X62">
        <f t="shared" si="38"/>
        <v>160217.64869999999</v>
      </c>
      <c r="Y62">
        <f t="shared" si="33"/>
        <v>160.21764870000001</v>
      </c>
      <c r="Z62">
        <f t="shared" si="33"/>
        <v>0.16021764869999999</v>
      </c>
      <c r="AA62">
        <f t="shared" si="33"/>
        <v>1.6021764870000001E-4</v>
      </c>
      <c r="AB62">
        <f t="shared" si="33"/>
        <v>1.602176487E-7</v>
      </c>
      <c r="AC62">
        <f t="shared" si="33"/>
        <v>1.6021764869999999E-10</v>
      </c>
      <c r="AD62">
        <f t="shared" si="33"/>
        <v>1.602176487E-13</v>
      </c>
      <c r="AE62">
        <f t="shared" si="33"/>
        <v>1.602176487E-16</v>
      </c>
      <c r="AF62">
        <f t="shared" si="33"/>
        <v>1.6021764869999999E-17</v>
      </c>
      <c r="AG62">
        <f t="shared" si="33"/>
        <v>1.602176487E-18</v>
      </c>
      <c r="AH62">
        <f t="shared" si="33"/>
        <v>1.602176487E-18</v>
      </c>
      <c r="AI62">
        <f t="shared" si="33"/>
        <v>1.6021764870000002E-20</v>
      </c>
      <c r="AJ62">
        <f t="shared" si="33"/>
        <v>1.6021764870000001E-21</v>
      </c>
      <c r="AK62">
        <f t="shared" si="33"/>
        <v>1.6021764870000001E-22</v>
      </c>
      <c r="AL62">
        <f t="shared" si="33"/>
        <v>1.6021764869999998E-25</v>
      </c>
      <c r="AM62">
        <f t="shared" si="33"/>
        <v>1.6021764870000002E-28</v>
      </c>
      <c r="AN62">
        <f t="shared" si="33"/>
        <v>1.602176487E-31</v>
      </c>
      <c r="AO62">
        <f t="shared" si="33"/>
        <v>1.6021764870000002E-34</v>
      </c>
      <c r="AP62">
        <f t="shared" si="33"/>
        <v>1.6021764870000001E-37</v>
      </c>
      <c r="AQ62">
        <f t="shared" si="33"/>
        <v>1.602176487E-40</v>
      </c>
      <c r="AR62">
        <f t="shared" si="33"/>
        <v>1.6021764869999999E-43</v>
      </c>
    </row>
    <row r="63" spans="1:44" x14ac:dyDescent="0.2">
      <c r="B63">
        <f t="shared" si="2"/>
        <v>0</v>
      </c>
      <c r="C63">
        <f t="shared" si="3"/>
        <v>-0.4</v>
      </c>
      <c r="D63">
        <f t="shared" si="4"/>
        <v>0</v>
      </c>
      <c r="E63">
        <v>-0.40999999999999948</v>
      </c>
      <c r="T63" s="62" t="s">
        <v>669</v>
      </c>
      <c r="U63">
        <f t="shared" si="34"/>
        <v>2684519.5376961729</v>
      </c>
      <c r="V63">
        <f t="shared" si="35"/>
        <v>2</v>
      </c>
      <c r="W63">
        <f t="shared" si="36"/>
        <v>1</v>
      </c>
      <c r="X63" t="e">
        <f t="shared" si="38"/>
        <v>#N/A</v>
      </c>
      <c r="Y63" t="e">
        <f t="shared" si="33"/>
        <v>#N/A</v>
      </c>
      <c r="Z63" t="e">
        <f t="shared" si="33"/>
        <v>#N/A</v>
      </c>
      <c r="AA63" t="e">
        <f t="shared" si="33"/>
        <v>#N/A</v>
      </c>
      <c r="AB63" t="e">
        <f t="shared" si="33"/>
        <v>#N/A</v>
      </c>
      <c r="AC63" t="e">
        <f t="shared" si="33"/>
        <v>#N/A</v>
      </c>
      <c r="AD63" t="e">
        <f t="shared" si="33"/>
        <v>#N/A</v>
      </c>
      <c r="AE63" t="e">
        <f t="shared" si="33"/>
        <v>#N/A</v>
      </c>
      <c r="AF63" t="e">
        <f t="shared" si="33"/>
        <v>#N/A</v>
      </c>
      <c r="AG63" t="e">
        <f t="shared" si="33"/>
        <v>#N/A</v>
      </c>
      <c r="AH63" t="e">
        <f t="shared" si="33"/>
        <v>#N/A</v>
      </c>
      <c r="AI63" t="e">
        <f t="shared" si="33"/>
        <v>#N/A</v>
      </c>
      <c r="AJ63" t="e">
        <f t="shared" si="33"/>
        <v>#N/A</v>
      </c>
      <c r="AK63" t="e">
        <f t="shared" si="33"/>
        <v>#N/A</v>
      </c>
      <c r="AL63" t="e">
        <f t="shared" si="33"/>
        <v>#N/A</v>
      </c>
      <c r="AM63" t="e">
        <f t="shared" si="33"/>
        <v>#N/A</v>
      </c>
      <c r="AN63" t="e">
        <f t="shared" si="33"/>
        <v>#N/A</v>
      </c>
      <c r="AO63" t="e">
        <f t="shared" si="33"/>
        <v>#N/A</v>
      </c>
      <c r="AP63" t="e">
        <f t="shared" si="33"/>
        <v>#N/A</v>
      </c>
      <c r="AQ63" t="e">
        <f t="shared" si="33"/>
        <v>#N/A</v>
      </c>
      <c r="AR63" t="e">
        <f t="shared" si="33"/>
        <v>#N/A</v>
      </c>
    </row>
    <row r="64" spans="1:44" x14ac:dyDescent="0.2">
      <c r="B64">
        <f t="shared" si="2"/>
        <v>0</v>
      </c>
      <c r="C64">
        <f t="shared" si="3"/>
        <v>-0.3</v>
      </c>
      <c r="D64">
        <f t="shared" si="4"/>
        <v>0</v>
      </c>
      <c r="E64">
        <v>-0.39999999999999947</v>
      </c>
      <c r="T64" s="62" t="s">
        <v>670</v>
      </c>
      <c r="U64">
        <f t="shared" si="34"/>
        <v>2684519.5376961729</v>
      </c>
      <c r="V64">
        <f t="shared" si="35"/>
        <v>2</v>
      </c>
      <c r="W64">
        <f t="shared" si="36"/>
        <v>1</v>
      </c>
      <c r="X64" t="e">
        <f t="shared" si="38"/>
        <v>#N/A</v>
      </c>
      <c r="Y64" t="e">
        <f t="shared" si="33"/>
        <v>#N/A</v>
      </c>
      <c r="Z64" t="e">
        <f t="shared" si="33"/>
        <v>#N/A</v>
      </c>
      <c r="AA64" t="e">
        <f t="shared" si="33"/>
        <v>#N/A</v>
      </c>
      <c r="AB64" t="e">
        <f t="shared" si="33"/>
        <v>#N/A</v>
      </c>
      <c r="AC64" t="e">
        <f t="shared" si="33"/>
        <v>#N/A</v>
      </c>
      <c r="AD64" t="e">
        <f t="shared" si="33"/>
        <v>#N/A</v>
      </c>
      <c r="AE64" t="e">
        <f t="shared" si="33"/>
        <v>#N/A</v>
      </c>
      <c r="AF64" t="e">
        <f t="shared" si="33"/>
        <v>#N/A</v>
      </c>
      <c r="AG64" t="e">
        <f t="shared" si="33"/>
        <v>#N/A</v>
      </c>
      <c r="AH64" t="e">
        <f t="shared" si="33"/>
        <v>#N/A</v>
      </c>
      <c r="AI64" t="e">
        <f t="shared" si="33"/>
        <v>#N/A</v>
      </c>
      <c r="AJ64" t="e">
        <f t="shared" si="33"/>
        <v>#N/A</v>
      </c>
      <c r="AK64" t="e">
        <f t="shared" si="33"/>
        <v>#N/A</v>
      </c>
      <c r="AL64" t="e">
        <f t="shared" si="33"/>
        <v>#N/A</v>
      </c>
      <c r="AM64" t="e">
        <f t="shared" si="33"/>
        <v>#N/A</v>
      </c>
      <c r="AN64" t="e">
        <f t="shared" si="33"/>
        <v>#N/A</v>
      </c>
      <c r="AO64" t="e">
        <f t="shared" si="33"/>
        <v>#N/A</v>
      </c>
      <c r="AP64" t="e">
        <f t="shared" si="33"/>
        <v>#N/A</v>
      </c>
      <c r="AQ64" t="e">
        <f t="shared" si="33"/>
        <v>#N/A</v>
      </c>
      <c r="AR64" t="e">
        <f t="shared" si="33"/>
        <v>#N/A</v>
      </c>
    </row>
    <row r="65" spans="2:74" x14ac:dyDescent="0.2">
      <c r="B65">
        <f t="shared" si="2"/>
        <v>0</v>
      </c>
      <c r="C65">
        <f t="shared" si="3"/>
        <v>-0.3</v>
      </c>
      <c r="D65">
        <f t="shared" si="4"/>
        <v>0</v>
      </c>
      <c r="E65">
        <v>-0.38999999999999946</v>
      </c>
      <c r="T65" s="62" t="s">
        <v>671</v>
      </c>
      <c r="U65">
        <f t="shared" si="34"/>
        <v>3600</v>
      </c>
      <c r="V65">
        <f t="shared" si="35"/>
        <v>2</v>
      </c>
      <c r="W65">
        <f t="shared" si="36"/>
        <v>1</v>
      </c>
      <c r="X65">
        <f t="shared" si="38"/>
        <v>3.5999999999999998E+27</v>
      </c>
      <c r="Y65">
        <f t="shared" si="33"/>
        <v>3.5999999999999998E+24</v>
      </c>
      <c r="Z65">
        <f t="shared" si="33"/>
        <v>3.6E+21</v>
      </c>
      <c r="AA65">
        <f t="shared" si="33"/>
        <v>3.6E+18</v>
      </c>
      <c r="AB65">
        <f t="shared" si="33"/>
        <v>3600000000000000</v>
      </c>
      <c r="AC65">
        <f t="shared" si="33"/>
        <v>3600000000000</v>
      </c>
      <c r="AD65">
        <f t="shared" si="33"/>
        <v>3600000000</v>
      </c>
      <c r="AE65">
        <f t="shared" si="33"/>
        <v>3600000</v>
      </c>
      <c r="AF65">
        <f t="shared" si="33"/>
        <v>360000</v>
      </c>
      <c r="AG65">
        <f t="shared" si="33"/>
        <v>36000</v>
      </c>
      <c r="AH65">
        <f t="shared" si="33"/>
        <v>36000</v>
      </c>
      <c r="AI65">
        <f t="shared" si="33"/>
        <v>360</v>
      </c>
      <c r="AJ65">
        <f t="shared" si="33"/>
        <v>36</v>
      </c>
      <c r="AK65">
        <f t="shared" si="33"/>
        <v>3.6</v>
      </c>
      <c r="AL65">
        <f t="shared" si="33"/>
        <v>3.5999999999999999E-3</v>
      </c>
      <c r="AM65">
        <f t="shared" si="33"/>
        <v>3.6000000000000003E-6</v>
      </c>
      <c r="AN65">
        <f t="shared" si="33"/>
        <v>3.6E-9</v>
      </c>
      <c r="AO65">
        <f t="shared" si="33"/>
        <v>3.6000000000000004E-12</v>
      </c>
      <c r="AP65">
        <f t="shared" si="33"/>
        <v>3.6000000000000001E-15</v>
      </c>
      <c r="AQ65">
        <f t="shared" si="33"/>
        <v>3.5999999999999993E-18</v>
      </c>
      <c r="AR65">
        <f t="shared" si="33"/>
        <v>3.5999999999999999E-21</v>
      </c>
    </row>
    <row r="66" spans="2:74" x14ac:dyDescent="0.2">
      <c r="B66">
        <f t="shared" si="2"/>
        <v>0</v>
      </c>
      <c r="C66">
        <f t="shared" si="3"/>
        <v>-0.3</v>
      </c>
      <c r="D66">
        <f t="shared" si="4"/>
        <v>0</v>
      </c>
      <c r="E66">
        <v>-0.37999999999999945</v>
      </c>
      <c r="T66" s="62" t="s">
        <v>672</v>
      </c>
      <c r="U66">
        <f t="shared" si="34"/>
        <v>3600</v>
      </c>
      <c r="V66">
        <f t="shared" si="35"/>
        <v>2</v>
      </c>
      <c r="W66">
        <f t="shared" si="36"/>
        <v>1</v>
      </c>
      <c r="X66">
        <f t="shared" si="38"/>
        <v>3.5999999999999998E+27</v>
      </c>
      <c r="Y66">
        <f t="shared" si="33"/>
        <v>3.5999999999999998E+24</v>
      </c>
      <c r="Z66">
        <f t="shared" si="33"/>
        <v>3.6E+21</v>
      </c>
      <c r="AA66">
        <f t="shared" si="33"/>
        <v>3.6E+18</v>
      </c>
      <c r="AB66">
        <f t="shared" si="33"/>
        <v>3600000000000000</v>
      </c>
      <c r="AC66">
        <f t="shared" si="33"/>
        <v>3600000000000</v>
      </c>
      <c r="AD66">
        <f t="shared" si="33"/>
        <v>3600000000</v>
      </c>
      <c r="AE66">
        <f t="shared" si="33"/>
        <v>3600000</v>
      </c>
      <c r="AF66">
        <f t="shared" si="33"/>
        <v>360000</v>
      </c>
      <c r="AG66">
        <f t="shared" si="33"/>
        <v>36000</v>
      </c>
      <c r="AH66">
        <f t="shared" si="33"/>
        <v>36000</v>
      </c>
      <c r="AI66">
        <f t="shared" si="33"/>
        <v>360</v>
      </c>
      <c r="AJ66">
        <f t="shared" si="33"/>
        <v>36</v>
      </c>
      <c r="AK66">
        <f t="shared" si="33"/>
        <v>3.6</v>
      </c>
      <c r="AL66">
        <f t="shared" si="33"/>
        <v>3.5999999999999999E-3</v>
      </c>
      <c r="AM66">
        <f t="shared" si="33"/>
        <v>3.6000000000000003E-6</v>
      </c>
      <c r="AN66">
        <f t="shared" si="33"/>
        <v>3.6E-9</v>
      </c>
      <c r="AO66">
        <f t="shared" si="33"/>
        <v>3.6000000000000004E-12</v>
      </c>
      <c r="AP66">
        <f t="shared" si="33"/>
        <v>3.6000000000000001E-15</v>
      </c>
      <c r="AQ66">
        <f t="shared" si="33"/>
        <v>3.5999999999999993E-18</v>
      </c>
      <c r="AR66">
        <f t="shared" si="33"/>
        <v>3.5999999999999999E-21</v>
      </c>
    </row>
    <row r="67" spans="2:74" x14ac:dyDescent="0.2">
      <c r="B67">
        <f t="shared" ref="B67:B130" si="39">TRUNC(E67)</f>
        <v>0</v>
      </c>
      <c r="C67">
        <f t="shared" ref="C67:C130" si="40">TRUNC(E67,1)</f>
        <v>-0.3</v>
      </c>
      <c r="D67">
        <f t="shared" ref="D67:D130" si="41">TRUNC(E67,-1)</f>
        <v>0</v>
      </c>
      <c r="E67">
        <v>-0.36999999999999944</v>
      </c>
      <c r="T67" s="62" t="s">
        <v>673</v>
      </c>
      <c r="U67">
        <f t="shared" si="34"/>
        <v>1.3558179483314003</v>
      </c>
      <c r="V67">
        <f t="shared" si="35"/>
        <v>2</v>
      </c>
      <c r="W67">
        <f t="shared" si="36"/>
        <v>1</v>
      </c>
      <c r="X67" t="e">
        <f t="shared" si="38"/>
        <v>#N/A</v>
      </c>
      <c r="Y67" t="e">
        <f t="shared" si="33"/>
        <v>#N/A</v>
      </c>
      <c r="Z67" t="e">
        <f t="shared" si="33"/>
        <v>#N/A</v>
      </c>
      <c r="AA67" t="e">
        <f t="shared" si="33"/>
        <v>#N/A</v>
      </c>
      <c r="AB67" t="e">
        <f t="shared" si="33"/>
        <v>#N/A</v>
      </c>
      <c r="AC67" t="e">
        <f t="shared" si="33"/>
        <v>#N/A</v>
      </c>
      <c r="AD67" t="e">
        <f t="shared" si="33"/>
        <v>#N/A</v>
      </c>
      <c r="AE67" t="e">
        <f t="shared" si="33"/>
        <v>#N/A</v>
      </c>
      <c r="AF67" t="e">
        <f t="shared" si="33"/>
        <v>#N/A</v>
      </c>
      <c r="AG67" t="e">
        <f t="shared" si="33"/>
        <v>#N/A</v>
      </c>
      <c r="AH67" t="e">
        <f t="shared" si="33"/>
        <v>#N/A</v>
      </c>
      <c r="AI67" t="e">
        <f t="shared" si="33"/>
        <v>#N/A</v>
      </c>
      <c r="AJ67" t="e">
        <f t="shared" si="33"/>
        <v>#N/A</v>
      </c>
      <c r="AK67" t="e">
        <f t="shared" si="33"/>
        <v>#N/A</v>
      </c>
      <c r="AL67" t="e">
        <f t="shared" si="33"/>
        <v>#N/A</v>
      </c>
      <c r="AM67" t="e">
        <f t="shared" si="33"/>
        <v>#N/A</v>
      </c>
      <c r="AN67" t="e">
        <f t="shared" si="33"/>
        <v>#N/A</v>
      </c>
      <c r="AO67" t="e">
        <f t="shared" si="33"/>
        <v>#N/A</v>
      </c>
      <c r="AP67" t="e">
        <f t="shared" si="33"/>
        <v>#N/A</v>
      </c>
      <c r="AQ67" t="e">
        <f t="shared" si="33"/>
        <v>#N/A</v>
      </c>
      <c r="AR67" t="e">
        <f t="shared" si="33"/>
        <v>#N/A</v>
      </c>
    </row>
    <row r="68" spans="2:74" x14ac:dyDescent="0.2">
      <c r="B68">
        <f t="shared" si="39"/>
        <v>0</v>
      </c>
      <c r="C68">
        <f t="shared" si="40"/>
        <v>-0.3</v>
      </c>
      <c r="D68">
        <f t="shared" si="41"/>
        <v>0</v>
      </c>
      <c r="E68">
        <v>-0.35999999999999943</v>
      </c>
      <c r="T68" s="62" t="s">
        <v>674</v>
      </c>
      <c r="U68">
        <f t="shared" si="34"/>
        <v>1055.05585262</v>
      </c>
      <c r="V68">
        <f t="shared" si="35"/>
        <v>2</v>
      </c>
      <c r="W68">
        <f t="shared" si="36"/>
        <v>1</v>
      </c>
      <c r="X68" t="e">
        <f t="shared" si="38"/>
        <v>#N/A</v>
      </c>
      <c r="Y68" t="e">
        <f t="shared" si="33"/>
        <v>#N/A</v>
      </c>
      <c r="Z68" t="e">
        <f t="shared" si="33"/>
        <v>#N/A</v>
      </c>
      <c r="AA68" t="e">
        <f t="shared" si="33"/>
        <v>#N/A</v>
      </c>
      <c r="AB68" t="e">
        <f t="shared" si="33"/>
        <v>#N/A</v>
      </c>
      <c r="AC68" t="e">
        <f t="shared" si="33"/>
        <v>#N/A</v>
      </c>
      <c r="AD68" t="e">
        <f t="shared" si="33"/>
        <v>#N/A</v>
      </c>
      <c r="AE68" t="e">
        <f t="shared" si="33"/>
        <v>#N/A</v>
      </c>
      <c r="AF68" t="e">
        <f t="shared" si="33"/>
        <v>#N/A</v>
      </c>
      <c r="AG68" t="e">
        <f t="shared" si="33"/>
        <v>#N/A</v>
      </c>
      <c r="AH68" t="e">
        <f t="shared" si="33"/>
        <v>#N/A</v>
      </c>
      <c r="AI68" t="e">
        <f t="shared" si="33"/>
        <v>#N/A</v>
      </c>
      <c r="AJ68" t="e">
        <f t="shared" si="33"/>
        <v>#N/A</v>
      </c>
      <c r="AK68" t="e">
        <f t="shared" si="33"/>
        <v>#N/A</v>
      </c>
      <c r="AL68" t="e">
        <f t="shared" si="33"/>
        <v>#N/A</v>
      </c>
      <c r="AM68" t="e">
        <f t="shared" si="33"/>
        <v>#N/A</v>
      </c>
      <c r="AN68" t="e">
        <f t="shared" si="33"/>
        <v>#N/A</v>
      </c>
      <c r="AO68" t="e">
        <f t="shared" si="33"/>
        <v>#N/A</v>
      </c>
      <c r="AP68" t="e">
        <f t="shared" si="33"/>
        <v>#N/A</v>
      </c>
      <c r="AQ68" t="e">
        <f t="shared" si="33"/>
        <v>#N/A</v>
      </c>
      <c r="AR68" t="e">
        <f t="shared" si="33"/>
        <v>#N/A</v>
      </c>
    </row>
    <row r="69" spans="2:74" x14ac:dyDescent="0.2">
      <c r="B69">
        <f t="shared" si="39"/>
        <v>0</v>
      </c>
      <c r="C69">
        <f t="shared" si="40"/>
        <v>-0.3</v>
      </c>
      <c r="D69">
        <f t="shared" si="41"/>
        <v>0</v>
      </c>
      <c r="E69">
        <v>-0.34999999999999942</v>
      </c>
      <c r="T69" s="62" t="s">
        <v>675</v>
      </c>
      <c r="U69">
        <f>CONVERT(1,T69,"J")</f>
        <v>1055.05585262</v>
      </c>
      <c r="V69">
        <f>CONVERT(2,T69,"J")/U69</f>
        <v>2</v>
      </c>
      <c r="W69">
        <f t="shared" si="36"/>
        <v>1</v>
      </c>
      <c r="X69" t="e">
        <f t="shared" si="38"/>
        <v>#N/A</v>
      </c>
      <c r="Y69" t="e">
        <f t="shared" si="33"/>
        <v>#N/A</v>
      </c>
      <c r="Z69" t="e">
        <f t="shared" si="33"/>
        <v>#N/A</v>
      </c>
      <c r="AA69" t="e">
        <f t="shared" si="33"/>
        <v>#N/A</v>
      </c>
      <c r="AB69" t="e">
        <f t="shared" si="33"/>
        <v>#N/A</v>
      </c>
      <c r="AC69" t="e">
        <f t="shared" si="33"/>
        <v>#N/A</v>
      </c>
      <c r="AD69" t="e">
        <f t="shared" si="33"/>
        <v>#N/A</v>
      </c>
      <c r="AE69" t="e">
        <f t="shared" si="33"/>
        <v>#N/A</v>
      </c>
      <c r="AF69" t="e">
        <f t="shared" si="33"/>
        <v>#N/A</v>
      </c>
      <c r="AG69" t="e">
        <f t="shared" si="33"/>
        <v>#N/A</v>
      </c>
      <c r="AH69" t="e">
        <f t="shared" si="33"/>
        <v>#N/A</v>
      </c>
      <c r="AI69" t="e">
        <f t="shared" si="33"/>
        <v>#N/A</v>
      </c>
      <c r="AJ69" t="e">
        <f t="shared" si="33"/>
        <v>#N/A</v>
      </c>
      <c r="AK69" t="e">
        <f t="shared" si="33"/>
        <v>#N/A</v>
      </c>
      <c r="AL69" t="e">
        <f t="shared" si="33"/>
        <v>#N/A</v>
      </c>
      <c r="AM69" t="e">
        <f t="shared" si="33"/>
        <v>#N/A</v>
      </c>
      <c r="AN69" t="e">
        <f t="shared" si="33"/>
        <v>#N/A</v>
      </c>
      <c r="AO69" t="e">
        <f t="shared" si="33"/>
        <v>#N/A</v>
      </c>
      <c r="AP69" t="e">
        <f t="shared" si="33"/>
        <v>#N/A</v>
      </c>
      <c r="AQ69" t="e">
        <f t="shared" si="33"/>
        <v>#N/A</v>
      </c>
      <c r="AR69" t="e">
        <f t="shared" si="33"/>
        <v>#N/A</v>
      </c>
    </row>
    <row r="70" spans="2:74" x14ac:dyDescent="0.2">
      <c r="B70">
        <f t="shared" si="39"/>
        <v>0</v>
      </c>
      <c r="C70">
        <f t="shared" si="40"/>
        <v>-0.3</v>
      </c>
      <c r="D70">
        <f t="shared" si="41"/>
        <v>0</v>
      </c>
      <c r="E70">
        <v>-0.33999999999999941</v>
      </c>
    </row>
    <row r="71" spans="2:74" x14ac:dyDescent="0.2">
      <c r="B71">
        <f t="shared" si="39"/>
        <v>0</v>
      </c>
      <c r="C71">
        <f t="shared" si="40"/>
        <v>-0.3</v>
      </c>
      <c r="D71">
        <f t="shared" si="41"/>
        <v>0</v>
      </c>
      <c r="E71">
        <v>-0.3299999999999994</v>
      </c>
      <c r="T71" s="62" t="s">
        <v>676</v>
      </c>
      <c r="U71" s="65">
        <f>CONVERT(1,T71,"w")</f>
        <v>745.69987158227025</v>
      </c>
      <c r="V71">
        <f>CONVERT(2,T71,"HP")/U71</f>
        <v>2.6820441791900558E-3</v>
      </c>
      <c r="W71">
        <f>CONVERT(U71,"w",T71)</f>
        <v>1</v>
      </c>
      <c r="X71" t="e">
        <f>CONVERT(1,X$1&amp;$T71,"w")</f>
        <v>#N/A</v>
      </c>
      <c r="Y71" t="e">
        <f t="shared" ref="Y71:AR75" si="42">CONVERT(1,Y$1&amp;$T71,"w")</f>
        <v>#N/A</v>
      </c>
      <c r="Z71" t="e">
        <f t="shared" si="42"/>
        <v>#N/A</v>
      </c>
      <c r="AA71" t="e">
        <f t="shared" si="42"/>
        <v>#N/A</v>
      </c>
      <c r="AB71" t="e">
        <f t="shared" si="42"/>
        <v>#N/A</v>
      </c>
      <c r="AC71" t="e">
        <f t="shared" si="42"/>
        <v>#N/A</v>
      </c>
      <c r="AD71" t="e">
        <f t="shared" si="42"/>
        <v>#N/A</v>
      </c>
      <c r="AE71" t="e">
        <f t="shared" si="42"/>
        <v>#N/A</v>
      </c>
      <c r="AF71" t="e">
        <f t="shared" si="42"/>
        <v>#N/A</v>
      </c>
      <c r="AG71" t="e">
        <f t="shared" si="42"/>
        <v>#N/A</v>
      </c>
      <c r="AH71" t="e">
        <f t="shared" si="42"/>
        <v>#N/A</v>
      </c>
      <c r="AI71" t="e">
        <f t="shared" si="42"/>
        <v>#N/A</v>
      </c>
      <c r="AJ71" t="e">
        <f t="shared" si="42"/>
        <v>#N/A</v>
      </c>
      <c r="AK71" t="e">
        <f t="shared" si="42"/>
        <v>#N/A</v>
      </c>
      <c r="AL71" t="e">
        <f t="shared" si="42"/>
        <v>#N/A</v>
      </c>
      <c r="AM71" t="e">
        <f t="shared" si="42"/>
        <v>#N/A</v>
      </c>
      <c r="AN71" t="e">
        <f t="shared" si="42"/>
        <v>#N/A</v>
      </c>
      <c r="AO71" t="e">
        <f t="shared" si="42"/>
        <v>#N/A</v>
      </c>
      <c r="AP71" t="e">
        <f t="shared" si="42"/>
        <v>#N/A</v>
      </c>
      <c r="AQ71" t="e">
        <f t="shared" si="42"/>
        <v>#N/A</v>
      </c>
      <c r="AR71" t="e">
        <f t="shared" si="42"/>
        <v>#N/A</v>
      </c>
    </row>
    <row r="72" spans="2:74" x14ac:dyDescent="0.2">
      <c r="B72">
        <f t="shared" si="39"/>
        <v>0</v>
      </c>
      <c r="C72">
        <f t="shared" si="40"/>
        <v>-0.3</v>
      </c>
      <c r="D72">
        <f t="shared" si="41"/>
        <v>0</v>
      </c>
      <c r="E72">
        <v>-0.3199999999999994</v>
      </c>
      <c r="H72" s="4">
        <v>-4</v>
      </c>
      <c r="I72" s="4">
        <v>-3</v>
      </c>
      <c r="J72" s="4">
        <v>-2</v>
      </c>
      <c r="K72" s="4">
        <v>-1</v>
      </c>
      <c r="L72" s="4">
        <v>0</v>
      </c>
      <c r="M72" s="4">
        <v>1</v>
      </c>
      <c r="N72" s="4">
        <v>2</v>
      </c>
      <c r="O72" s="4">
        <v>3</v>
      </c>
      <c r="P72" s="4">
        <v>4</v>
      </c>
      <c r="T72" s="62" t="s">
        <v>677</v>
      </c>
      <c r="U72">
        <f>CONVERT(1,T72,"w")</f>
        <v>745.69987158227025</v>
      </c>
      <c r="V72">
        <f>CONVERT(2,T72,"HP")/U72</f>
        <v>2.6820441791900558E-3</v>
      </c>
      <c r="W72">
        <f>CONVERT(U72,"w",T72)</f>
        <v>1</v>
      </c>
      <c r="X72" t="e">
        <f>CONVERT(1,X$1&amp;$T72,"w")</f>
        <v>#N/A</v>
      </c>
      <c r="Y72" t="e">
        <f t="shared" ref="Y72:AM72" si="43">CONVERT(1,Y$1&amp;$T72,"w")</f>
        <v>#N/A</v>
      </c>
      <c r="Z72" t="e">
        <f t="shared" si="43"/>
        <v>#N/A</v>
      </c>
      <c r="AA72" t="e">
        <f t="shared" si="43"/>
        <v>#N/A</v>
      </c>
      <c r="AB72" t="e">
        <f t="shared" si="43"/>
        <v>#N/A</v>
      </c>
      <c r="AC72" t="e">
        <f t="shared" si="43"/>
        <v>#N/A</v>
      </c>
      <c r="AD72" t="e">
        <f t="shared" si="43"/>
        <v>#N/A</v>
      </c>
      <c r="AE72" t="e">
        <f t="shared" si="43"/>
        <v>#N/A</v>
      </c>
      <c r="AF72" t="e">
        <f t="shared" si="43"/>
        <v>#N/A</v>
      </c>
      <c r="AG72" t="e">
        <f t="shared" si="43"/>
        <v>#N/A</v>
      </c>
      <c r="AH72" t="e">
        <f t="shared" si="43"/>
        <v>#N/A</v>
      </c>
      <c r="AI72" t="e">
        <f t="shared" si="43"/>
        <v>#N/A</v>
      </c>
      <c r="AJ72" t="e">
        <f t="shared" si="43"/>
        <v>#N/A</v>
      </c>
      <c r="AK72" t="e">
        <f t="shared" si="43"/>
        <v>#N/A</v>
      </c>
      <c r="AL72" t="e">
        <f t="shared" si="43"/>
        <v>#N/A</v>
      </c>
      <c r="AM72" t="e">
        <f t="shared" si="43"/>
        <v>#N/A</v>
      </c>
      <c r="AN72" t="e">
        <f t="shared" si="42"/>
        <v>#N/A</v>
      </c>
      <c r="AO72" t="e">
        <f t="shared" si="42"/>
        <v>#N/A</v>
      </c>
      <c r="AP72" t="e">
        <f t="shared" si="42"/>
        <v>#N/A</v>
      </c>
      <c r="AQ72" t="e">
        <f t="shared" si="42"/>
        <v>#N/A</v>
      </c>
      <c r="AR72" t="e">
        <f t="shared" si="42"/>
        <v>#N/A</v>
      </c>
      <c r="BE72">
        <f>SUM(BC76:BE78)</f>
        <v>6</v>
      </c>
    </row>
    <row r="73" spans="2:74" x14ac:dyDescent="0.2">
      <c r="B73">
        <f t="shared" si="39"/>
        <v>0</v>
      </c>
      <c r="C73">
        <f t="shared" si="40"/>
        <v>-0.3</v>
      </c>
      <c r="D73">
        <f t="shared" si="41"/>
        <v>0</v>
      </c>
      <c r="E73">
        <v>-0.30999999999999939</v>
      </c>
      <c r="H73" s="4"/>
      <c r="I73" s="4"/>
      <c r="J73" s="4"/>
      <c r="K73" s="4"/>
      <c r="L73" s="4" cm="1">
        <f t="array" ref="L73:M73">_xlfn.XMATCH("ß",{"ß","ss"},L72:M72,1)</f>
        <v>1</v>
      </c>
      <c r="M73" s="4">
        <v>1</v>
      </c>
      <c r="N73" s="4"/>
      <c r="O73" s="4"/>
      <c r="P73" s="4"/>
      <c r="T73" s="62" t="s">
        <v>678</v>
      </c>
      <c r="U73" s="64">
        <f>CONVERT(1,T73,"w")</f>
        <v>735.49874999999997</v>
      </c>
      <c r="V73">
        <f>CONVERT(2,T73,"HP")/U73</f>
        <v>2.6820441791900558E-3</v>
      </c>
      <c r="W73">
        <f>CONVERT(U73,"w",T73)</f>
        <v>1</v>
      </c>
      <c r="X73" t="e">
        <f>CONVERT(1,X$1&amp;$T73,"w")</f>
        <v>#N/A</v>
      </c>
      <c r="Y73" t="e">
        <f t="shared" si="42"/>
        <v>#N/A</v>
      </c>
      <c r="Z73" t="e">
        <f t="shared" si="42"/>
        <v>#N/A</v>
      </c>
      <c r="AA73" t="e">
        <f t="shared" si="42"/>
        <v>#N/A</v>
      </c>
      <c r="AB73" t="e">
        <f t="shared" si="42"/>
        <v>#N/A</v>
      </c>
      <c r="AC73" t="e">
        <f t="shared" si="42"/>
        <v>#N/A</v>
      </c>
      <c r="AD73" t="e">
        <f t="shared" si="42"/>
        <v>#N/A</v>
      </c>
      <c r="AE73" t="e">
        <f t="shared" si="42"/>
        <v>#N/A</v>
      </c>
      <c r="AF73" t="e">
        <f t="shared" si="42"/>
        <v>#N/A</v>
      </c>
      <c r="AG73" t="e">
        <f t="shared" si="42"/>
        <v>#N/A</v>
      </c>
      <c r="AH73" t="e">
        <f t="shared" si="42"/>
        <v>#N/A</v>
      </c>
      <c r="AI73" t="e">
        <f t="shared" si="42"/>
        <v>#N/A</v>
      </c>
      <c r="AJ73" t="e">
        <f t="shared" si="42"/>
        <v>#N/A</v>
      </c>
      <c r="AK73" t="e">
        <f t="shared" si="42"/>
        <v>#N/A</v>
      </c>
      <c r="AL73" t="e">
        <f t="shared" si="42"/>
        <v>#N/A</v>
      </c>
      <c r="AM73" t="e">
        <f t="shared" si="42"/>
        <v>#N/A</v>
      </c>
      <c r="AN73" t="e">
        <f t="shared" si="42"/>
        <v>#N/A</v>
      </c>
      <c r="AO73" t="e">
        <f t="shared" si="42"/>
        <v>#N/A</v>
      </c>
      <c r="AP73" t="e">
        <f t="shared" si="42"/>
        <v>#N/A</v>
      </c>
      <c r="AQ73" t="e">
        <f t="shared" si="42"/>
        <v>#N/A</v>
      </c>
      <c r="AR73" t="e">
        <f t="shared" si="42"/>
        <v>#N/A</v>
      </c>
      <c r="BE73">
        <f>SUM(BC79:BD80)</f>
        <v>2</v>
      </c>
    </row>
    <row r="74" spans="2:74" x14ac:dyDescent="0.2">
      <c r="B74">
        <f t="shared" si="39"/>
        <v>0</v>
      </c>
      <c r="C74">
        <f t="shared" si="40"/>
        <v>-0.2</v>
      </c>
      <c r="D74">
        <f t="shared" si="41"/>
        <v>0</v>
      </c>
      <c r="E74">
        <v>-0.29999999999999938</v>
      </c>
      <c r="H74" s="4"/>
      <c r="I74" s="4"/>
      <c r="J74" s="4"/>
      <c r="K74" s="4"/>
      <c r="L74" s="4" t="e">
        <f>MATCH("ß",{1,"ss",2.1,"c bau c",4.1},0)</f>
        <v>#N/A</v>
      </c>
      <c r="M74" s="4"/>
      <c r="N74" s="4"/>
      <c r="O74" s="4"/>
      <c r="P74" s="4"/>
      <c r="T74" s="62" t="s">
        <v>679</v>
      </c>
      <c r="U74">
        <f>CONVERT(1,T74,"w")</f>
        <v>1</v>
      </c>
      <c r="V74">
        <f>CONVERT(2,T74,"HP")/U74</f>
        <v>2.6820441791900558E-3</v>
      </c>
      <c r="W74">
        <f>CONVERT(U74,"w",T74)</f>
        <v>1</v>
      </c>
      <c r="X74" s="61">
        <f>CONVERT(1,X$1&amp;$T74,"w")</f>
        <v>9.9999999999999998E+23</v>
      </c>
      <c r="Y74">
        <f t="shared" si="42"/>
        <v>1E+21</v>
      </c>
      <c r="Z74">
        <f t="shared" si="42"/>
        <v>1E+18</v>
      </c>
      <c r="AA74">
        <f t="shared" si="42"/>
        <v>1000000000000000</v>
      </c>
      <c r="AB74">
        <f t="shared" si="42"/>
        <v>1000000000000</v>
      </c>
      <c r="AC74">
        <f t="shared" si="42"/>
        <v>1000000000</v>
      </c>
      <c r="AD74">
        <f t="shared" si="42"/>
        <v>1000000</v>
      </c>
      <c r="AE74">
        <f t="shared" si="42"/>
        <v>1000</v>
      </c>
      <c r="AF74">
        <f t="shared" si="42"/>
        <v>100</v>
      </c>
      <c r="AG74">
        <f t="shared" si="42"/>
        <v>10</v>
      </c>
      <c r="AH74">
        <f t="shared" si="42"/>
        <v>10</v>
      </c>
      <c r="AI74">
        <f t="shared" si="42"/>
        <v>0.1</v>
      </c>
      <c r="AJ74">
        <f t="shared" si="42"/>
        <v>0.01</v>
      </c>
      <c r="AK74">
        <f t="shared" si="42"/>
        <v>1E-3</v>
      </c>
      <c r="AL74">
        <f t="shared" si="42"/>
        <v>9.9999999999999995E-7</v>
      </c>
      <c r="AM74">
        <f t="shared" si="42"/>
        <v>1.0000000000000001E-9</v>
      </c>
      <c r="AN74">
        <f t="shared" si="42"/>
        <v>9.9999999999999998E-13</v>
      </c>
      <c r="AO74">
        <f t="shared" si="42"/>
        <v>1.0000000000000001E-15</v>
      </c>
      <c r="AP74">
        <f t="shared" si="42"/>
        <v>1.0000000000000001E-18</v>
      </c>
      <c r="AQ74">
        <f t="shared" si="42"/>
        <v>9.9999999999999991E-22</v>
      </c>
      <c r="AR74">
        <f t="shared" si="42"/>
        <v>9.9999999999999992E-25</v>
      </c>
    </row>
    <row r="75" spans="2:74" x14ac:dyDescent="0.2">
      <c r="B75">
        <f t="shared" si="39"/>
        <v>0</v>
      </c>
      <c r="C75">
        <f t="shared" si="40"/>
        <v>-0.2</v>
      </c>
      <c r="D75">
        <f t="shared" si="41"/>
        <v>0</v>
      </c>
      <c r="E75">
        <v>-0.28999999999999937</v>
      </c>
      <c r="H75" s="4"/>
      <c r="I75" s="4"/>
      <c r="J75" s="4"/>
      <c r="K75" s="4"/>
      <c r="L75" s="4">
        <f>_xlfn.XMATCH("ß",{1,"ss",2.1,"c bau c",4.1},0)</f>
        <v>2</v>
      </c>
      <c r="M75" s="4"/>
      <c r="N75" s="4"/>
      <c r="O75" s="4"/>
      <c r="P75" s="4"/>
      <c r="T75" s="62" t="s">
        <v>680</v>
      </c>
      <c r="U75">
        <f>CONVERT(1,T75,"w")</f>
        <v>1</v>
      </c>
      <c r="V75">
        <f>CONVERT(2,T75,"HP")/U75</f>
        <v>2.6820441791900558E-3</v>
      </c>
      <c r="W75">
        <f>CONVERT(U75,"w",T75)</f>
        <v>1</v>
      </c>
      <c r="X75">
        <f>CONVERT(1,X$1&amp;$T75,"w")</f>
        <v>9.9999999999999998E+23</v>
      </c>
      <c r="Y75">
        <f t="shared" si="42"/>
        <v>1E+21</v>
      </c>
      <c r="Z75">
        <f t="shared" si="42"/>
        <v>1E+18</v>
      </c>
      <c r="AA75">
        <f t="shared" si="42"/>
        <v>1000000000000000</v>
      </c>
      <c r="AB75">
        <f t="shared" si="42"/>
        <v>1000000000000</v>
      </c>
      <c r="AC75">
        <f t="shared" si="42"/>
        <v>1000000000</v>
      </c>
      <c r="AD75">
        <f t="shared" si="42"/>
        <v>1000000</v>
      </c>
      <c r="AE75">
        <f t="shared" si="42"/>
        <v>1000</v>
      </c>
      <c r="AF75">
        <f t="shared" si="42"/>
        <v>100</v>
      </c>
      <c r="AG75">
        <f t="shared" si="42"/>
        <v>10</v>
      </c>
      <c r="AH75">
        <f t="shared" si="42"/>
        <v>10</v>
      </c>
      <c r="AI75">
        <f t="shared" si="42"/>
        <v>0.1</v>
      </c>
      <c r="AJ75">
        <f t="shared" si="42"/>
        <v>0.01</v>
      </c>
      <c r="AK75">
        <f t="shared" si="42"/>
        <v>1E-3</v>
      </c>
      <c r="AL75">
        <f t="shared" si="42"/>
        <v>9.9999999999999995E-7</v>
      </c>
      <c r="AM75">
        <f t="shared" si="42"/>
        <v>1.0000000000000001E-9</v>
      </c>
      <c r="AN75">
        <f t="shared" si="42"/>
        <v>9.9999999999999998E-13</v>
      </c>
      <c r="AO75">
        <f t="shared" si="42"/>
        <v>1.0000000000000001E-15</v>
      </c>
      <c r="AP75">
        <f t="shared" si="42"/>
        <v>1.0000000000000001E-18</v>
      </c>
      <c r="AQ75">
        <f t="shared" si="42"/>
        <v>9.9999999999999991E-22</v>
      </c>
      <c r="AR75">
        <f t="shared" si="42"/>
        <v>9.9999999999999992E-25</v>
      </c>
    </row>
    <row r="76" spans="2:74" x14ac:dyDescent="0.2">
      <c r="B76">
        <f t="shared" si="39"/>
        <v>0</v>
      </c>
      <c r="C76">
        <f t="shared" si="40"/>
        <v>-0.2</v>
      </c>
      <c r="D76">
        <f t="shared" si="41"/>
        <v>0</v>
      </c>
      <c r="E76">
        <v>-0.27999999999999936</v>
      </c>
      <c r="H76" s="4" t="e" cm="1">
        <f t="array" ref="H76:P76">_xlfn.XMATCH("ß",{1,"ss",2.1,"c bau c",4.1},H72:P72)</f>
        <v>#VALUE!</v>
      </c>
      <c r="I76" s="4" t="e">
        <v>#VALUE!</v>
      </c>
      <c r="J76" s="4" t="e">
        <v>#VALUE!</v>
      </c>
      <c r="K76" s="4">
        <v>2</v>
      </c>
      <c r="L76" s="4">
        <v>2</v>
      </c>
      <c r="M76" s="4">
        <v>2</v>
      </c>
      <c r="N76" s="4" t="e">
        <v>#N/A</v>
      </c>
      <c r="O76" s="4" t="e">
        <v>#N/A</v>
      </c>
      <c r="P76" s="4" t="e">
        <v>#VALUE!</v>
      </c>
      <c r="T76" s="62"/>
      <c r="BC76">
        <f>5</f>
        <v>5</v>
      </c>
      <c r="BG76" t="b" cm="1">
        <f t="array" ref="BG76:BH94">_xlfn.ISFORMULA(BC75:BD93)</f>
        <v>0</v>
      </c>
      <c r="BH76" t="b">
        <v>0</v>
      </c>
      <c r="BK76" s="24" t="s">
        <v>822</v>
      </c>
      <c r="BL76" s="4"/>
      <c r="BM76" s="17" cm="1">
        <f t="array" ref="BM76:BQ76">COUPNCD("01/01/2000",BK76,4,{0,1,2,3,4})</f>
        <v>36616</v>
      </c>
      <c r="BN76" s="20">
        <v>36616</v>
      </c>
      <c r="BO76" s="20">
        <v>36616</v>
      </c>
      <c r="BP76" s="20">
        <v>36616</v>
      </c>
      <c r="BQ76" s="20">
        <v>36616</v>
      </c>
      <c r="BR76" s="17" cm="1">
        <f t="array" ref="BR76:BV76">COUPNCD("01/01/2000",BP76,4,{0,1,2,3,4})</f>
        <v>36616</v>
      </c>
      <c r="BS76" s="20">
        <v>36616</v>
      </c>
      <c r="BT76" s="20">
        <v>36616</v>
      </c>
      <c r="BU76" s="20">
        <v>36616</v>
      </c>
      <c r="BV76" s="20">
        <v>36616</v>
      </c>
    </row>
    <row r="77" spans="2:74" x14ac:dyDescent="0.2">
      <c r="B77">
        <f t="shared" si="39"/>
        <v>0</v>
      </c>
      <c r="C77">
        <f t="shared" si="40"/>
        <v>-0.2</v>
      </c>
      <c r="D77">
        <f t="shared" si="41"/>
        <v>0</v>
      </c>
      <c r="E77">
        <v>-0.26999999999999935</v>
      </c>
      <c r="H77" s="4"/>
      <c r="I77" s="4"/>
      <c r="J77" s="4"/>
      <c r="K77" s="4"/>
      <c r="L77" s="4" t="e">
        <f>_xlfn.XMATCH("ß",{1,"ss",2.1,"c bau c",4.1},2)</f>
        <v>#N/A</v>
      </c>
      <c r="M77" s="4"/>
      <c r="N77" s="4"/>
      <c r="O77" s="4"/>
      <c r="P77" s="4"/>
      <c r="T77" s="62" t="s">
        <v>312</v>
      </c>
      <c r="U77">
        <f>CONVERT(1,T77,"T")</f>
        <v>1</v>
      </c>
      <c r="V77">
        <f>CONVERT(2,T77,"T")/U77</f>
        <v>2</v>
      </c>
      <c r="W77">
        <f>CONVERT(U77,"T",T77)</f>
        <v>1</v>
      </c>
      <c r="X77">
        <f>CONVERT(1,X$1&amp;$T77,"T")</f>
        <v>9.9999999999999998E+23</v>
      </c>
      <c r="Y77">
        <f t="shared" ref="Y77:AR78" si="44">CONVERT(1,Y$1&amp;$T77,"T")</f>
        <v>1E+21</v>
      </c>
      <c r="Z77">
        <f t="shared" si="44"/>
        <v>1E+18</v>
      </c>
      <c r="AA77">
        <f t="shared" si="44"/>
        <v>1000000000000000</v>
      </c>
      <c r="AB77">
        <f t="shared" si="44"/>
        <v>1000000000000</v>
      </c>
      <c r="AC77">
        <f t="shared" si="44"/>
        <v>1000000000</v>
      </c>
      <c r="AD77">
        <f t="shared" si="44"/>
        <v>1000000</v>
      </c>
      <c r="AE77">
        <f t="shared" si="44"/>
        <v>1000</v>
      </c>
      <c r="AF77">
        <f t="shared" si="44"/>
        <v>100</v>
      </c>
      <c r="AG77">
        <f t="shared" si="44"/>
        <v>10</v>
      </c>
      <c r="AH77">
        <f t="shared" si="44"/>
        <v>10</v>
      </c>
      <c r="AI77">
        <f t="shared" si="44"/>
        <v>0.1</v>
      </c>
      <c r="AJ77">
        <f t="shared" si="44"/>
        <v>0.01</v>
      </c>
      <c r="AK77">
        <f t="shared" si="44"/>
        <v>1E-3</v>
      </c>
      <c r="AL77">
        <f t="shared" si="44"/>
        <v>9.9999999999999995E-7</v>
      </c>
      <c r="AM77">
        <f t="shared" si="44"/>
        <v>1.0000000000000001E-9</v>
      </c>
      <c r="AN77">
        <f t="shared" si="44"/>
        <v>9.9999999999999998E-13</v>
      </c>
      <c r="AO77">
        <f t="shared" si="44"/>
        <v>1.0000000000000001E-15</v>
      </c>
      <c r="AP77">
        <f t="shared" si="44"/>
        <v>1.0000000000000001E-18</v>
      </c>
      <c r="AQ77">
        <f t="shared" si="44"/>
        <v>9.9999999999999991E-22</v>
      </c>
      <c r="AR77">
        <f t="shared" si="44"/>
        <v>9.9999999999999992E-25</v>
      </c>
      <c r="BG77" t="b">
        <v>1</v>
      </c>
      <c r="BH77" t="b">
        <v>0</v>
      </c>
      <c r="BK77" s="24" t="s">
        <v>821</v>
      </c>
      <c r="BL77" s="4"/>
      <c r="BM77" s="17" cm="1">
        <f t="array" ref="BM77:BQ77">COUPNCD("01/01/2000",BK77,4,{0,1,2,3,4})</f>
        <v>36585</v>
      </c>
      <c r="BN77" s="20">
        <v>36585</v>
      </c>
      <c r="BO77" s="20">
        <v>36585</v>
      </c>
      <c r="BP77" s="20">
        <v>36585</v>
      </c>
      <c r="BQ77" s="20">
        <v>36585</v>
      </c>
      <c r="BR77" s="17" cm="1">
        <f t="array" ref="BR77:BV77">COUPNCD("01/01/2000",BP77,4,{0,1,2,3,4})</f>
        <v>36585</v>
      </c>
      <c r="BS77" s="20">
        <v>36585</v>
      </c>
      <c r="BT77" s="20">
        <v>36585</v>
      </c>
      <c r="BU77" s="20">
        <v>36585</v>
      </c>
      <c r="BV77" s="20">
        <v>36585</v>
      </c>
    </row>
    <row r="78" spans="2:74" x14ac:dyDescent="0.2">
      <c r="B78">
        <f t="shared" si="39"/>
        <v>0</v>
      </c>
      <c r="C78">
        <f t="shared" si="40"/>
        <v>-0.2</v>
      </c>
      <c r="D78">
        <f t="shared" si="41"/>
        <v>0</v>
      </c>
      <c r="E78">
        <v>-0.25999999999999934</v>
      </c>
      <c r="H78" s="4"/>
      <c r="I78" s="4"/>
      <c r="J78" s="4"/>
      <c r="K78" s="4"/>
      <c r="L78" s="4">
        <f>MATCH("ß?",{1,"ßs",2.1,"c bau c",4.1},0)</f>
        <v>2</v>
      </c>
      <c r="M78" s="4" t="e">
        <f>MATCH("A?",{1,"as",2.1,"c bau c",4.1},5)</f>
        <v>#N/A</v>
      </c>
      <c r="N78" s="4"/>
      <c r="O78" s="4"/>
      <c r="P78" s="4"/>
      <c r="T78" s="62" t="s">
        <v>681</v>
      </c>
      <c r="U78">
        <f>CONVERT(1,T78,"T")</f>
        <v>1E-4</v>
      </c>
      <c r="V78">
        <f>CONVERT(2,T78,"T")/U78</f>
        <v>2</v>
      </c>
      <c r="W78">
        <f>CONVERT(U78,"T",T78)</f>
        <v>1</v>
      </c>
      <c r="X78">
        <f>CONVERT(1,X$1&amp;$T78,"T")</f>
        <v>1E+20</v>
      </c>
      <c r="Y78">
        <f t="shared" si="44"/>
        <v>1E+17</v>
      </c>
      <c r="Z78">
        <f t="shared" si="44"/>
        <v>100000000000000</v>
      </c>
      <c r="AA78">
        <f t="shared" si="44"/>
        <v>100000000000</v>
      </c>
      <c r="AB78">
        <f t="shared" si="44"/>
        <v>100000000</v>
      </c>
      <c r="AC78">
        <f t="shared" si="44"/>
        <v>100000</v>
      </c>
      <c r="AD78">
        <f t="shared" si="44"/>
        <v>100</v>
      </c>
      <c r="AE78">
        <f t="shared" si="44"/>
        <v>0.1</v>
      </c>
      <c r="AF78">
        <f t="shared" si="44"/>
        <v>0.01</v>
      </c>
      <c r="AG78">
        <f t="shared" si="44"/>
        <v>1E-3</v>
      </c>
      <c r="AH78">
        <f t="shared" si="44"/>
        <v>1E-3</v>
      </c>
      <c r="AI78">
        <f t="shared" si="44"/>
        <v>1.0000000000000001E-5</v>
      </c>
      <c r="AJ78">
        <f t="shared" si="44"/>
        <v>1.0000000000000002E-6</v>
      </c>
      <c r="AK78">
        <f t="shared" si="44"/>
        <v>1.0000000000000001E-7</v>
      </c>
      <c r="AL78">
        <f t="shared" si="44"/>
        <v>1E-10</v>
      </c>
      <c r="AM78">
        <f t="shared" si="44"/>
        <v>1.0000000000000002E-13</v>
      </c>
      <c r="AN78">
        <f t="shared" si="44"/>
        <v>9.9999999999999998E-17</v>
      </c>
      <c r="AO78">
        <f t="shared" si="44"/>
        <v>1.0000000000000001E-19</v>
      </c>
      <c r="AP78">
        <f t="shared" si="44"/>
        <v>1.0000000000000002E-22</v>
      </c>
      <c r="AQ78">
        <f t="shared" si="44"/>
        <v>9.9999999999999992E-26</v>
      </c>
      <c r="AR78">
        <f t="shared" si="44"/>
        <v>9.9999999999999997E-29</v>
      </c>
      <c r="BB78">
        <f t="array" ref="BB78:BC82">BF70:BG74+1</f>
        <v>1</v>
      </c>
      <c r="BC78">
        <v>1</v>
      </c>
      <c r="BG78" t="b">
        <v>0</v>
      </c>
      <c r="BH78" t="b">
        <v>0</v>
      </c>
      <c r="BK78" s="24" t="s">
        <v>823</v>
      </c>
      <c r="BL78" s="4"/>
      <c r="BM78" s="17" cm="1">
        <f t="array" ref="BM78:BQ78">COUPNCD("01/01/2000",BK78,4,{0,1,2,3,4})</f>
        <v>36556</v>
      </c>
      <c r="BN78" s="20">
        <v>36556</v>
      </c>
      <c r="BO78" s="20">
        <v>36556</v>
      </c>
      <c r="BP78" s="20">
        <v>36556</v>
      </c>
      <c r="BQ78" s="20">
        <v>36556</v>
      </c>
      <c r="BR78" s="17" cm="1">
        <f t="array" ref="BR78:BV78">COUPNCD("01/01/2000",BP78,4,{0,1,2,3,4})</f>
        <v>36556</v>
      </c>
      <c r="BS78" s="20">
        <v>36556</v>
      </c>
      <c r="BT78" s="20">
        <v>36556</v>
      </c>
      <c r="BU78" s="20">
        <v>36556</v>
      </c>
      <c r="BV78" s="20">
        <v>36556</v>
      </c>
    </row>
    <row r="79" spans="2:74" x14ac:dyDescent="0.2">
      <c r="B79">
        <f t="shared" si="39"/>
        <v>0</v>
      </c>
      <c r="C79">
        <f t="shared" si="40"/>
        <v>-0.2</v>
      </c>
      <c r="D79">
        <f t="shared" si="41"/>
        <v>0</v>
      </c>
      <c r="E79">
        <v>-0.24999999999999933</v>
      </c>
      <c r="H79" s="4"/>
      <c r="I79" s="4"/>
      <c r="J79" s="4"/>
      <c r="K79" s="4" t="e">
        <f>_xlfn.XMATCH(4.1,{"","a",1.1,4.1},0,2)</f>
        <v>#N/A</v>
      </c>
      <c r="L79" s="4" t="e">
        <f>_xlfn.XMATCH("ß?",{1,"ssa",2.1,"c bau c",4.1},2)</f>
        <v>#N/A</v>
      </c>
      <c r="M79" s="4"/>
      <c r="N79" s="4" t="e">
        <f>_xlfn.XMATCH("ß?",{1,"sss",2.1,"c bau c",4.1},2)</f>
        <v>#N/A</v>
      </c>
      <c r="O79" s="4"/>
      <c r="P79" s="4"/>
      <c r="BB79">
        <v>1</v>
      </c>
      <c r="BC79">
        <v>1</v>
      </c>
      <c r="BG79" t="b">
        <v>1</v>
      </c>
      <c r="BH79" t="b">
        <v>0</v>
      </c>
      <c r="BK79" s="24" t="s">
        <v>824</v>
      </c>
      <c r="BL79" s="4"/>
      <c r="BM79" s="17" cm="1">
        <f t="array" ref="BM79:BQ79">COUPNCD("01/01/2000",BK79,4,{0,1,2,3,4})</f>
        <v>36616</v>
      </c>
      <c r="BN79" s="20">
        <v>36616</v>
      </c>
      <c r="BO79" s="20">
        <v>36616</v>
      </c>
      <c r="BP79" s="20">
        <v>36616</v>
      </c>
      <c r="BQ79" s="20">
        <v>36616</v>
      </c>
      <c r="BR79" s="17" cm="1">
        <f t="array" ref="BR79:BV79">COUPNCD("01/01/2000",BP79,4,{0,1,2,3,4})</f>
        <v>36616</v>
      </c>
      <c r="BS79" s="20">
        <v>36616</v>
      </c>
      <c r="BT79" s="20">
        <v>36616</v>
      </c>
      <c r="BU79" s="20">
        <v>36616</v>
      </c>
      <c r="BV79" s="20">
        <v>36616</v>
      </c>
    </row>
    <row r="80" spans="2:74" x14ac:dyDescent="0.2">
      <c r="B80">
        <f t="shared" si="39"/>
        <v>0</v>
      </c>
      <c r="C80">
        <f t="shared" si="40"/>
        <v>-0.2</v>
      </c>
      <c r="D80">
        <f t="shared" si="41"/>
        <v>0</v>
      </c>
      <c r="E80">
        <v>-0.23999999999999932</v>
      </c>
      <c r="H80" s="4"/>
      <c r="I80" s="4"/>
      <c r="J80" s="4"/>
      <c r="K80" s="4" t="e">
        <f>_xlfn.XMATCH(4.1,{"","a",1.1,4.1},0,-2)</f>
        <v>#N/A</v>
      </c>
      <c r="L80" s="4">
        <f>_xlfn.XMATCH("A?",{1,"a?",2.1,"c bau c",4.1},0)</f>
        <v>2</v>
      </c>
      <c r="M80" s="4"/>
      <c r="N80" s="4" t="e">
        <f>_xlfn.XMATCH("ß",{1,"Ss",2.1,"c bau c",4.1},1,2)</f>
        <v>#N/A</v>
      </c>
      <c r="O80" s="4"/>
      <c r="P80" s="4"/>
      <c r="T80" s="62" t="s">
        <v>614</v>
      </c>
      <c r="U80">
        <f t="shared" ref="U80:U87" si="45">CONVERT(1,T80,"K")</f>
        <v>274.14999999999998</v>
      </c>
      <c r="V80">
        <f>CONVERT(2,T80,"K")/U80</f>
        <v>1.0036476381542951</v>
      </c>
      <c r="W80">
        <f>CONVERT(U80,"K",T80)</f>
        <v>1</v>
      </c>
      <c r="X80" t="e">
        <f t="shared" ref="X80:X87" si="46">CONVERT(1,X$1&amp;$T80,"K")</f>
        <v>#N/A</v>
      </c>
      <c r="Y80" t="e">
        <f t="shared" ref="Y80:AR87" si="47">CONVERT(1,Y$1&amp;$T80,"K")</f>
        <v>#N/A</v>
      </c>
      <c r="Z80" t="e">
        <f t="shared" si="47"/>
        <v>#N/A</v>
      </c>
      <c r="AA80" t="e">
        <f t="shared" si="47"/>
        <v>#N/A</v>
      </c>
      <c r="AB80" t="e">
        <f t="shared" si="47"/>
        <v>#N/A</v>
      </c>
      <c r="AC80" t="e">
        <f t="shared" si="47"/>
        <v>#N/A</v>
      </c>
      <c r="AD80" t="e">
        <f t="shared" si="47"/>
        <v>#N/A</v>
      </c>
      <c r="AE80" t="e">
        <f t="shared" si="47"/>
        <v>#N/A</v>
      </c>
      <c r="AF80" t="e">
        <f t="shared" si="47"/>
        <v>#N/A</v>
      </c>
      <c r="AG80" t="e">
        <f t="shared" si="47"/>
        <v>#N/A</v>
      </c>
      <c r="AH80" t="e">
        <f t="shared" si="47"/>
        <v>#N/A</v>
      </c>
      <c r="AI80" t="e">
        <f t="shared" si="47"/>
        <v>#N/A</v>
      </c>
      <c r="AJ80" t="e">
        <f t="shared" si="47"/>
        <v>#N/A</v>
      </c>
      <c r="AK80" t="e">
        <f t="shared" si="47"/>
        <v>#N/A</v>
      </c>
      <c r="AL80" t="e">
        <f t="shared" si="47"/>
        <v>#N/A</v>
      </c>
      <c r="AM80" t="e">
        <f t="shared" si="47"/>
        <v>#N/A</v>
      </c>
      <c r="AN80" t="e">
        <f t="shared" si="47"/>
        <v>#N/A</v>
      </c>
      <c r="AO80" t="e">
        <f t="shared" si="47"/>
        <v>#N/A</v>
      </c>
      <c r="AP80" t="e">
        <f t="shared" si="47"/>
        <v>#N/A</v>
      </c>
      <c r="AQ80" t="e">
        <f t="shared" si="47"/>
        <v>#N/A</v>
      </c>
      <c r="AR80" t="e">
        <f t="shared" si="47"/>
        <v>#N/A</v>
      </c>
      <c r="BB80">
        <v>1</v>
      </c>
      <c r="BC80">
        <v>1</v>
      </c>
      <c r="BG80" t="b">
        <v>1</v>
      </c>
      <c r="BH80" t="b">
        <v>0</v>
      </c>
      <c r="BK80" s="24" t="s">
        <v>825</v>
      </c>
      <c r="BL80" s="4"/>
      <c r="BM80" s="17" cm="1">
        <f t="array" ref="BM80:BQ80">COUPNCD("01/01/2000",BK80,4,{0,1,2,3,4})</f>
        <v>36585</v>
      </c>
      <c r="BN80" s="20">
        <v>36585</v>
      </c>
      <c r="BO80" s="20">
        <v>36585</v>
      </c>
      <c r="BP80" s="20">
        <v>36585</v>
      </c>
      <c r="BQ80" s="20">
        <v>36585</v>
      </c>
      <c r="BR80" s="17" cm="1">
        <f t="array" ref="BR80:BV80">COUPNCD("01/01/2000",BP80,4,{0,1,2,3,4})</f>
        <v>36585</v>
      </c>
      <c r="BS80" s="20">
        <v>36585</v>
      </c>
      <c r="BT80" s="20">
        <v>36585</v>
      </c>
      <c r="BU80" s="20">
        <v>36585</v>
      </c>
      <c r="BV80" s="20">
        <v>36585</v>
      </c>
    </row>
    <row r="81" spans="2:74" x14ac:dyDescent="0.2">
      <c r="B81">
        <f t="shared" si="39"/>
        <v>0</v>
      </c>
      <c r="C81">
        <f t="shared" si="40"/>
        <v>-0.2</v>
      </c>
      <c r="D81">
        <f t="shared" si="41"/>
        <v>0</v>
      </c>
      <c r="E81">
        <v>-0.22999999999999932</v>
      </c>
      <c r="H81" s="4"/>
      <c r="I81" s="4"/>
      <c r="J81" s="4"/>
      <c r="K81" s="4">
        <f>_xlfn.XMATCH(4.1,{1.1,4.1,"","a"},0,2)</f>
        <v>2</v>
      </c>
      <c r="L81" s="4">
        <f>_xlfn.XMATCH("A?",{1,"aa",2.1,"c bau c",4.1},2)</f>
        <v>2</v>
      </c>
      <c r="M81" s="4"/>
      <c r="N81" s="4">
        <f>_xlfn.XMATCH("ss",{1,"SS","c bau c",4.1},0,2)</f>
        <v>2</v>
      </c>
      <c r="O81" s="4"/>
      <c r="P81" s="4"/>
      <c r="T81" s="62" t="s">
        <v>682</v>
      </c>
      <c r="U81">
        <f t="shared" si="45"/>
        <v>274.14999999999998</v>
      </c>
      <c r="V81">
        <f t="shared" ref="V81:V87" si="48">CONVERT(2,T81,"K")/U81</f>
        <v>1.0036476381542951</v>
      </c>
      <c r="W81">
        <f t="shared" ref="W81:W87" si="49">CONVERT(U81,"K",T81)</f>
        <v>1</v>
      </c>
      <c r="X81" t="e">
        <f t="shared" si="46"/>
        <v>#N/A</v>
      </c>
      <c r="Y81" t="e">
        <f t="shared" ref="Y81:AM81" si="50">CONVERT(1,Y$1&amp;$T81,"K")</f>
        <v>#N/A</v>
      </c>
      <c r="Z81" t="e">
        <f t="shared" si="50"/>
        <v>#N/A</v>
      </c>
      <c r="AA81" t="e">
        <f t="shared" si="50"/>
        <v>#N/A</v>
      </c>
      <c r="AB81" t="e">
        <f t="shared" si="50"/>
        <v>#N/A</v>
      </c>
      <c r="AC81" t="e">
        <f t="shared" si="50"/>
        <v>#N/A</v>
      </c>
      <c r="AD81" t="e">
        <f t="shared" si="50"/>
        <v>#N/A</v>
      </c>
      <c r="AE81" t="e">
        <f t="shared" si="50"/>
        <v>#N/A</v>
      </c>
      <c r="AF81" t="e">
        <f t="shared" si="50"/>
        <v>#N/A</v>
      </c>
      <c r="AG81" t="e">
        <f t="shared" si="50"/>
        <v>#N/A</v>
      </c>
      <c r="AH81" t="e">
        <f t="shared" si="50"/>
        <v>#N/A</v>
      </c>
      <c r="AI81" t="e">
        <f t="shared" si="50"/>
        <v>#N/A</v>
      </c>
      <c r="AJ81" t="e">
        <f t="shared" si="50"/>
        <v>#N/A</v>
      </c>
      <c r="AK81" t="e">
        <f t="shared" si="50"/>
        <v>#N/A</v>
      </c>
      <c r="AL81" t="e">
        <f t="shared" si="50"/>
        <v>#N/A</v>
      </c>
      <c r="AM81" t="e">
        <f t="shared" si="50"/>
        <v>#N/A</v>
      </c>
      <c r="AN81" t="e">
        <f t="shared" si="47"/>
        <v>#N/A</v>
      </c>
      <c r="AO81" t="e">
        <f t="shared" si="47"/>
        <v>#N/A</v>
      </c>
      <c r="AP81" t="e">
        <f t="shared" si="47"/>
        <v>#N/A</v>
      </c>
      <c r="AQ81" t="e">
        <f t="shared" si="47"/>
        <v>#N/A</v>
      </c>
      <c r="AR81" t="e">
        <f t="shared" si="47"/>
        <v>#N/A</v>
      </c>
      <c r="BB81">
        <v>1</v>
      </c>
      <c r="BC81">
        <v>1</v>
      </c>
      <c r="BG81" t="b">
        <v>1</v>
      </c>
      <c r="BH81" t="b">
        <v>0</v>
      </c>
      <c r="BK81" s="24" t="s">
        <v>826</v>
      </c>
      <c r="BM81" s="17" cm="1">
        <f t="array" ref="BM81:BQ81">COUPNCD("01/01/2000",BK81,4,{0,1,2,3,4})</f>
        <v>36556</v>
      </c>
      <c r="BN81" s="20">
        <v>36556</v>
      </c>
      <c r="BO81" s="20">
        <v>36556</v>
      </c>
      <c r="BP81" s="20">
        <v>36556</v>
      </c>
      <c r="BQ81" s="20">
        <v>36556</v>
      </c>
      <c r="BR81" s="17" cm="1">
        <f t="array" ref="BR81:BV81">COUPNCD("01/01/2000",BP81,4,{0,1,2,3,4})</f>
        <v>36556</v>
      </c>
      <c r="BS81" s="20">
        <v>36556</v>
      </c>
      <c r="BT81" s="20">
        <v>36556</v>
      </c>
      <c r="BU81" s="20">
        <v>36556</v>
      </c>
      <c r="BV81" s="20">
        <v>36556</v>
      </c>
    </row>
    <row r="82" spans="2:74" x14ac:dyDescent="0.2">
      <c r="B82">
        <f t="shared" si="39"/>
        <v>0</v>
      </c>
      <c r="C82">
        <f t="shared" si="40"/>
        <v>-0.2</v>
      </c>
      <c r="D82">
        <f t="shared" si="41"/>
        <v>0</v>
      </c>
      <c r="E82">
        <v>-0.21999999999999931</v>
      </c>
      <c r="H82" s="4"/>
      <c r="I82" s="4"/>
      <c r="J82" s="4"/>
      <c r="K82" s="4">
        <f>_xlfn.XMATCH(4.1,{1.1,4.1,"","a"},-1,-2)</f>
        <v>2</v>
      </c>
      <c r="L82" s="4" t="e">
        <f>_xlfn.XMATCH("A?",{1,"aa",2.1,"c bau c",4.1},0)</f>
        <v>#N/A</v>
      </c>
      <c r="M82" s="4"/>
      <c r="N82" s="4"/>
      <c r="O82" s="4"/>
      <c r="P82" s="4"/>
      <c r="T82" s="62" t="s">
        <v>615</v>
      </c>
      <c r="U82">
        <f t="shared" si="45"/>
        <v>255.92777777777775</v>
      </c>
      <c r="V82">
        <f t="shared" si="48"/>
        <v>1.0021707512970239</v>
      </c>
      <c r="W82">
        <f t="shared" si="49"/>
        <v>0.99999999999998934</v>
      </c>
      <c r="X82" t="e">
        <f t="shared" si="46"/>
        <v>#N/A</v>
      </c>
      <c r="Y82" t="e">
        <f t="shared" si="47"/>
        <v>#N/A</v>
      </c>
      <c r="Z82" t="e">
        <f t="shared" si="47"/>
        <v>#N/A</v>
      </c>
      <c r="AA82" t="e">
        <f t="shared" si="47"/>
        <v>#N/A</v>
      </c>
      <c r="AB82" t="e">
        <f t="shared" si="47"/>
        <v>#N/A</v>
      </c>
      <c r="AC82" t="e">
        <f t="shared" si="47"/>
        <v>#N/A</v>
      </c>
      <c r="AD82" t="e">
        <f t="shared" si="47"/>
        <v>#N/A</v>
      </c>
      <c r="AE82" t="e">
        <f t="shared" si="47"/>
        <v>#N/A</v>
      </c>
      <c r="AF82" t="e">
        <f t="shared" si="47"/>
        <v>#N/A</v>
      </c>
      <c r="AG82" t="e">
        <f t="shared" si="47"/>
        <v>#N/A</v>
      </c>
      <c r="AH82" t="e">
        <f t="shared" si="47"/>
        <v>#N/A</v>
      </c>
      <c r="AI82" t="e">
        <f t="shared" si="47"/>
        <v>#N/A</v>
      </c>
      <c r="AJ82" t="e">
        <f t="shared" si="47"/>
        <v>#N/A</v>
      </c>
      <c r="AK82" t="e">
        <f t="shared" si="47"/>
        <v>#N/A</v>
      </c>
      <c r="AL82" t="e">
        <f t="shared" si="47"/>
        <v>#N/A</v>
      </c>
      <c r="AM82" t="e">
        <f t="shared" si="47"/>
        <v>#N/A</v>
      </c>
      <c r="AN82" t="e">
        <f t="shared" si="47"/>
        <v>#N/A</v>
      </c>
      <c r="AO82" t="e">
        <f t="shared" si="47"/>
        <v>#N/A</v>
      </c>
      <c r="AP82" t="e">
        <f t="shared" si="47"/>
        <v>#N/A</v>
      </c>
      <c r="AQ82" t="e">
        <f t="shared" si="47"/>
        <v>#N/A</v>
      </c>
      <c r="AR82" t="e">
        <f t="shared" si="47"/>
        <v>#N/A</v>
      </c>
      <c r="BB82">
        <v>1</v>
      </c>
      <c r="BC82">
        <v>1</v>
      </c>
      <c r="BG82" t="b">
        <v>1</v>
      </c>
      <c r="BH82" t="b">
        <v>0</v>
      </c>
      <c r="BK82" s="24" t="s">
        <v>827</v>
      </c>
      <c r="BM82" s="17" cm="1">
        <f t="array" ref="BM82:BQ82">COUPNCD("01/01/2000",BK82,4,{0,1,2,3,4})</f>
        <v>36616</v>
      </c>
      <c r="BN82" s="20">
        <v>36616</v>
      </c>
      <c r="BO82" s="20">
        <v>36616</v>
      </c>
      <c r="BP82" s="20">
        <v>36616</v>
      </c>
      <c r="BQ82" s="20">
        <v>36616</v>
      </c>
      <c r="BR82" s="17" cm="1">
        <f t="array" ref="BR82:BV82">COUPNCD("01/01/2000",BP82,4,{0,1,2,3,4})</f>
        <v>36616</v>
      </c>
      <c r="BS82" s="20">
        <v>36616</v>
      </c>
      <c r="BT82" s="20">
        <v>36616</v>
      </c>
      <c r="BU82" s="20">
        <v>36616</v>
      </c>
      <c r="BV82" s="20">
        <v>36616</v>
      </c>
    </row>
    <row r="83" spans="2:74" x14ac:dyDescent="0.2">
      <c r="B83">
        <f t="shared" si="39"/>
        <v>0</v>
      </c>
      <c r="C83">
        <f t="shared" si="40"/>
        <v>-0.2</v>
      </c>
      <c r="D83">
        <f t="shared" si="41"/>
        <v>0</v>
      </c>
      <c r="E83">
        <v>-0.2099999999999993</v>
      </c>
      <c r="H83" s="4"/>
      <c r="I83" s="4"/>
      <c r="J83" s="4"/>
      <c r="K83" s="4">
        <f>_xlfn.XMATCH(4.1,{2,"s","a",4.1,1.1},1,2)</f>
        <v>2</v>
      </c>
      <c r="L83" s="4" t="e">
        <f>_xlfn.XMATCH("ß",{1,"SS",2.1,"c bau c",4.1},2)</f>
        <v>#N/A</v>
      </c>
      <c r="M83" s="4"/>
      <c r="N83" s="4"/>
      <c r="O83" s="4"/>
      <c r="P83" s="4"/>
      <c r="T83" s="62" t="s">
        <v>683</v>
      </c>
      <c r="U83">
        <f t="shared" si="45"/>
        <v>255.92777777777775</v>
      </c>
      <c r="V83">
        <f t="shared" si="48"/>
        <v>1.0021707512970239</v>
      </c>
      <c r="W83">
        <f t="shared" si="49"/>
        <v>0.99999999999998934</v>
      </c>
      <c r="X83" t="e">
        <f t="shared" si="46"/>
        <v>#N/A</v>
      </c>
      <c r="Y83" t="e">
        <f t="shared" si="47"/>
        <v>#N/A</v>
      </c>
      <c r="Z83" t="e">
        <f t="shared" si="47"/>
        <v>#N/A</v>
      </c>
      <c r="AA83" t="e">
        <f t="shared" si="47"/>
        <v>#N/A</v>
      </c>
      <c r="AB83" t="e">
        <f t="shared" si="47"/>
        <v>#N/A</v>
      </c>
      <c r="AC83" t="e">
        <f t="shared" si="47"/>
        <v>#N/A</v>
      </c>
      <c r="AD83" t="e">
        <f t="shared" si="47"/>
        <v>#N/A</v>
      </c>
      <c r="AE83" t="e">
        <f t="shared" si="47"/>
        <v>#N/A</v>
      </c>
      <c r="AF83" t="e">
        <f t="shared" si="47"/>
        <v>#N/A</v>
      </c>
      <c r="AG83" t="e">
        <f t="shared" si="47"/>
        <v>#N/A</v>
      </c>
      <c r="AH83" t="e">
        <f t="shared" si="47"/>
        <v>#N/A</v>
      </c>
      <c r="AI83" t="e">
        <f t="shared" si="47"/>
        <v>#N/A</v>
      </c>
      <c r="AJ83" t="e">
        <f t="shared" si="47"/>
        <v>#N/A</v>
      </c>
      <c r="AK83" t="e">
        <f t="shared" si="47"/>
        <v>#N/A</v>
      </c>
      <c r="AL83" t="e">
        <f t="shared" si="47"/>
        <v>#N/A</v>
      </c>
      <c r="AM83" t="e">
        <f t="shared" si="47"/>
        <v>#N/A</v>
      </c>
      <c r="AN83" t="e">
        <f t="shared" si="47"/>
        <v>#N/A</v>
      </c>
      <c r="AO83" t="e">
        <f t="shared" si="47"/>
        <v>#N/A</v>
      </c>
      <c r="AP83" t="e">
        <f t="shared" si="47"/>
        <v>#N/A</v>
      </c>
      <c r="AQ83" t="e">
        <f t="shared" si="47"/>
        <v>#N/A</v>
      </c>
      <c r="AR83" t="e">
        <f t="shared" si="47"/>
        <v>#N/A</v>
      </c>
      <c r="BD83">
        <f>7</f>
        <v>7</v>
      </c>
      <c r="BG83" t="b">
        <v>1</v>
      </c>
      <c r="BH83" t="b">
        <v>0</v>
      </c>
      <c r="BK83" s="24" t="s">
        <v>828</v>
      </c>
      <c r="BM83" s="17" cm="1">
        <f t="array" ref="BM83:BQ83">COUPNCD("01/01/2000",BK83,4,{0,1,2,3,4})</f>
        <v>36585</v>
      </c>
      <c r="BN83" s="20">
        <v>36585</v>
      </c>
      <c r="BO83" s="20">
        <v>36585</v>
      </c>
      <c r="BP83" s="20">
        <v>36585</v>
      </c>
      <c r="BQ83" s="20">
        <v>36585</v>
      </c>
      <c r="BR83" s="17" cm="1">
        <f t="array" ref="BR83:BV83">COUPNCD("01/01/2000",BP83,4,{0,1,2,3,4})</f>
        <v>36585</v>
      </c>
      <c r="BS83" s="20">
        <v>36585</v>
      </c>
      <c r="BT83" s="20">
        <v>36585</v>
      </c>
      <c r="BU83" s="20">
        <v>36585</v>
      </c>
      <c r="BV83" s="20">
        <v>36585</v>
      </c>
    </row>
    <row r="84" spans="2:74" x14ac:dyDescent="0.2">
      <c r="B84">
        <f t="shared" si="39"/>
        <v>0</v>
      </c>
      <c r="C84">
        <f t="shared" si="40"/>
        <v>-0.1</v>
      </c>
      <c r="D84">
        <f t="shared" si="41"/>
        <v>0</v>
      </c>
      <c r="E84">
        <v>-0.19999999999999929</v>
      </c>
      <c r="H84" s="4"/>
      <c r="I84" s="4"/>
      <c r="J84" s="4"/>
      <c r="K84" s="4"/>
      <c r="L84" s="4">
        <f>_xlfn.XMATCH("ss",{1,"SS","c bau c",4.1},0,2)</f>
        <v>2</v>
      </c>
      <c r="M84" s="4">
        <f>INT(-1.7)</f>
        <v>-2</v>
      </c>
      <c r="N84" s="4"/>
      <c r="O84" s="4"/>
      <c r="P84" s="4"/>
      <c r="T84" s="62" t="s">
        <v>684</v>
      </c>
      <c r="U84">
        <f t="shared" si="45"/>
        <v>1</v>
      </c>
      <c r="V84">
        <f t="shared" si="48"/>
        <v>2</v>
      </c>
      <c r="W84">
        <f t="shared" si="49"/>
        <v>1</v>
      </c>
      <c r="X84">
        <f t="shared" si="46"/>
        <v>9.9999999999999998E+23</v>
      </c>
      <c r="Y84">
        <f t="shared" si="47"/>
        <v>1E+21</v>
      </c>
      <c r="Z84">
        <f t="shared" si="47"/>
        <v>1E+18</v>
      </c>
      <c r="AA84">
        <f t="shared" si="47"/>
        <v>1000000000000000</v>
      </c>
      <c r="AB84">
        <f t="shared" si="47"/>
        <v>1000000000000</v>
      </c>
      <c r="AC84">
        <f t="shared" si="47"/>
        <v>1000000000</v>
      </c>
      <c r="AD84">
        <f t="shared" si="47"/>
        <v>1000000</v>
      </c>
      <c r="AE84">
        <f t="shared" si="47"/>
        <v>1000</v>
      </c>
      <c r="AF84">
        <f t="shared" si="47"/>
        <v>100</v>
      </c>
      <c r="AG84">
        <f t="shared" si="47"/>
        <v>10</v>
      </c>
      <c r="AH84">
        <f t="shared" si="47"/>
        <v>10</v>
      </c>
      <c r="AI84">
        <f t="shared" si="47"/>
        <v>0.1</v>
      </c>
      <c r="AJ84">
        <f t="shared" si="47"/>
        <v>0.01</v>
      </c>
      <c r="AK84">
        <f t="shared" si="47"/>
        <v>1E-3</v>
      </c>
      <c r="AL84">
        <f t="shared" si="47"/>
        <v>9.9999999999999995E-7</v>
      </c>
      <c r="AM84">
        <f t="shared" si="47"/>
        <v>1.0000000000000001E-9</v>
      </c>
      <c r="AN84">
        <f t="shared" si="47"/>
        <v>9.9999999999999998E-13</v>
      </c>
      <c r="AO84">
        <f t="shared" si="47"/>
        <v>1.0000000000000001E-15</v>
      </c>
      <c r="AP84">
        <f t="shared" si="47"/>
        <v>1.0000000000000001E-18</v>
      </c>
      <c r="AQ84">
        <f t="shared" si="47"/>
        <v>9.9999999999999991E-22</v>
      </c>
      <c r="AR84">
        <f t="shared" si="47"/>
        <v>9.9999999999999992E-25</v>
      </c>
      <c r="BD84">
        <v>6</v>
      </c>
      <c r="BG84" t="b">
        <v>0</v>
      </c>
      <c r="BH84" t="b">
        <v>1</v>
      </c>
      <c r="BK84" s="24" t="s">
        <v>829</v>
      </c>
      <c r="BM84" s="17" cm="1">
        <f t="array" ref="BM84:BQ84">COUPNCD("01/01/2000",BK84,4,{0,1,2,3,4})</f>
        <v>36556</v>
      </c>
      <c r="BN84" s="20">
        <v>36556</v>
      </c>
      <c r="BO84" s="20">
        <v>36556</v>
      </c>
      <c r="BP84" s="20">
        <v>36556</v>
      </c>
      <c r="BQ84" s="20">
        <v>36556</v>
      </c>
      <c r="BR84" s="17" cm="1">
        <f t="array" ref="BR84:BV84">COUPNCD("01/01/2000",BP84,4,{0,1,2,3,4})</f>
        <v>36556</v>
      </c>
      <c r="BS84" s="20">
        <v>36556</v>
      </c>
      <c r="BT84" s="20">
        <v>36556</v>
      </c>
      <c r="BU84" s="20">
        <v>36556</v>
      </c>
      <c r="BV84" s="20">
        <v>36556</v>
      </c>
    </row>
    <row r="85" spans="2:74" x14ac:dyDescent="0.2">
      <c r="B85">
        <f t="shared" si="39"/>
        <v>0</v>
      </c>
      <c r="C85">
        <f t="shared" si="40"/>
        <v>-0.1</v>
      </c>
      <c r="D85">
        <f t="shared" si="41"/>
        <v>0</v>
      </c>
      <c r="E85">
        <v>-0.18999999999999928</v>
      </c>
      <c r="H85" s="4"/>
      <c r="I85" s="4"/>
      <c r="J85" s="4"/>
      <c r="K85" s="4"/>
      <c r="L85" s="4" t="e">
        <f>_xlfn.XMATCH(2,{1,"SS",2.1,"c bau c",4.1},1,0)</f>
        <v>#VALUE!</v>
      </c>
      <c r="M85" s="4" t="s">
        <v>496</v>
      </c>
      <c r="N85" s="4"/>
      <c r="O85" s="4"/>
      <c r="P85" s="4"/>
      <c r="T85" s="62" t="s">
        <v>685</v>
      </c>
      <c r="U85">
        <f t="shared" si="45"/>
        <v>1</v>
      </c>
      <c r="V85">
        <f t="shared" si="48"/>
        <v>2</v>
      </c>
      <c r="W85">
        <f t="shared" si="49"/>
        <v>1</v>
      </c>
      <c r="X85">
        <f t="shared" si="46"/>
        <v>9.9999999999999998E+23</v>
      </c>
      <c r="Y85">
        <f t="shared" si="47"/>
        <v>1E+21</v>
      </c>
      <c r="Z85">
        <f t="shared" si="47"/>
        <v>1E+18</v>
      </c>
      <c r="AA85">
        <f t="shared" si="47"/>
        <v>1000000000000000</v>
      </c>
      <c r="AB85">
        <f t="shared" si="47"/>
        <v>1000000000000</v>
      </c>
      <c r="AC85">
        <f t="shared" si="47"/>
        <v>1000000000</v>
      </c>
      <c r="AD85">
        <f t="shared" si="47"/>
        <v>1000000</v>
      </c>
      <c r="AE85">
        <f t="shared" si="47"/>
        <v>1000</v>
      </c>
      <c r="AF85">
        <f t="shared" si="47"/>
        <v>100</v>
      </c>
      <c r="AG85">
        <f t="shared" si="47"/>
        <v>10</v>
      </c>
      <c r="AH85">
        <f t="shared" si="47"/>
        <v>10</v>
      </c>
      <c r="AI85">
        <f t="shared" si="47"/>
        <v>0.1</v>
      </c>
      <c r="AJ85">
        <f t="shared" si="47"/>
        <v>0.01</v>
      </c>
      <c r="AK85">
        <f t="shared" si="47"/>
        <v>1E-3</v>
      </c>
      <c r="AL85">
        <f t="shared" si="47"/>
        <v>9.9999999999999995E-7</v>
      </c>
      <c r="AM85">
        <f t="shared" si="47"/>
        <v>1.0000000000000001E-9</v>
      </c>
      <c r="AN85">
        <f t="shared" si="47"/>
        <v>9.9999999999999998E-13</v>
      </c>
      <c r="AO85">
        <f t="shared" si="47"/>
        <v>1.0000000000000001E-15</v>
      </c>
      <c r="AP85">
        <f t="shared" si="47"/>
        <v>1.0000000000000001E-18</v>
      </c>
      <c r="AQ85">
        <f t="shared" si="47"/>
        <v>9.9999999999999991E-22</v>
      </c>
      <c r="AR85">
        <f t="shared" si="47"/>
        <v>9.9999999999999992E-25</v>
      </c>
      <c r="BG85" t="b">
        <v>0</v>
      </c>
      <c r="BH85" t="b">
        <v>0</v>
      </c>
      <c r="BK85" s="24" t="s">
        <v>830</v>
      </c>
      <c r="BM85" s="17" cm="1">
        <f t="array" ref="BM85:BQ85">COUPNCD("01/01/2000",BK85,4,{0,1,2,3,4})</f>
        <v>36616</v>
      </c>
      <c r="BN85" s="20">
        <v>36616</v>
      </c>
      <c r="BO85" s="20">
        <v>36616</v>
      </c>
      <c r="BP85" s="20">
        <v>36616</v>
      </c>
      <c r="BQ85" s="20">
        <v>36616</v>
      </c>
      <c r="BR85" s="17" cm="1">
        <f t="array" ref="BR85:BV85">COUPNCD("01/01/2000",BP85,4,{0,1,2,3,4})</f>
        <v>36616</v>
      </c>
      <c r="BS85" s="20">
        <v>36616</v>
      </c>
      <c r="BT85" s="20">
        <v>36616</v>
      </c>
      <c r="BU85" s="20">
        <v>36616</v>
      </c>
      <c r="BV85" s="20">
        <v>36616</v>
      </c>
    </row>
    <row r="86" spans="2:74" x14ac:dyDescent="0.2">
      <c r="B86">
        <f t="shared" si="39"/>
        <v>0</v>
      </c>
      <c r="C86">
        <f t="shared" si="40"/>
        <v>-0.1</v>
      </c>
      <c r="D86">
        <f t="shared" si="41"/>
        <v>0</v>
      </c>
      <c r="E86">
        <v>-0.17999999999999927</v>
      </c>
      <c r="H86" s="4"/>
      <c r="I86" s="4"/>
      <c r="J86" s="4"/>
      <c r="K86" s="4"/>
      <c r="L86" s="4"/>
      <c r="M86" s="4" t="b">
        <v>1</v>
      </c>
      <c r="N86" s="4" t="b">
        <f>M86&lt;M85</f>
        <v>0</v>
      </c>
      <c r="O86" s="4"/>
      <c r="P86" s="4"/>
      <c r="T86" s="62" t="s">
        <v>686</v>
      </c>
      <c r="U86">
        <f t="shared" si="45"/>
        <v>0.55555555555555558</v>
      </c>
      <c r="V86">
        <f>CONVERT(1,T86,"K")/U86</f>
        <v>1</v>
      </c>
      <c r="W86">
        <f t="shared" si="49"/>
        <v>1</v>
      </c>
      <c r="X86" t="e">
        <f t="shared" si="46"/>
        <v>#N/A</v>
      </c>
      <c r="Y86" t="e">
        <f t="shared" si="47"/>
        <v>#N/A</v>
      </c>
      <c r="Z86" t="e">
        <f t="shared" si="47"/>
        <v>#N/A</v>
      </c>
      <c r="AA86" t="e">
        <f t="shared" si="47"/>
        <v>#N/A</v>
      </c>
      <c r="AB86" t="e">
        <f t="shared" si="47"/>
        <v>#N/A</v>
      </c>
      <c r="AC86" t="e">
        <f t="shared" si="47"/>
        <v>#N/A</v>
      </c>
      <c r="AD86" t="e">
        <f t="shared" si="47"/>
        <v>#N/A</v>
      </c>
      <c r="AE86" t="e">
        <f t="shared" si="47"/>
        <v>#N/A</v>
      </c>
      <c r="AF86" t="e">
        <f t="shared" si="47"/>
        <v>#N/A</v>
      </c>
      <c r="AG86" t="e">
        <f t="shared" si="47"/>
        <v>#N/A</v>
      </c>
      <c r="AH86" t="e">
        <f t="shared" si="47"/>
        <v>#N/A</v>
      </c>
      <c r="AI86" t="e">
        <f t="shared" si="47"/>
        <v>#N/A</v>
      </c>
      <c r="AJ86" t="e">
        <f t="shared" si="47"/>
        <v>#N/A</v>
      </c>
      <c r="AK86" t="e">
        <f t="shared" si="47"/>
        <v>#N/A</v>
      </c>
      <c r="AL86" t="e">
        <f t="shared" si="47"/>
        <v>#N/A</v>
      </c>
      <c r="AM86" t="e">
        <f t="shared" si="47"/>
        <v>#N/A</v>
      </c>
      <c r="AN86" t="e">
        <f t="shared" si="47"/>
        <v>#N/A</v>
      </c>
      <c r="AO86" t="e">
        <f t="shared" si="47"/>
        <v>#N/A</v>
      </c>
      <c r="AP86" t="e">
        <f t="shared" si="47"/>
        <v>#N/A</v>
      </c>
      <c r="AQ86" t="e">
        <f t="shared" si="47"/>
        <v>#N/A</v>
      </c>
      <c r="AR86" t="e">
        <f t="shared" si="47"/>
        <v>#N/A</v>
      </c>
      <c r="BG86" t="b">
        <v>0</v>
      </c>
      <c r="BH86" t="b">
        <v>0</v>
      </c>
      <c r="BK86" s="24" t="s">
        <v>831</v>
      </c>
      <c r="BM86" s="17" cm="1">
        <f t="array" ref="BM86:BQ86">COUPNCD("01/01/2000",BK86,4,{0,1,2,3,4})</f>
        <v>36585</v>
      </c>
      <c r="BN86" s="20">
        <v>36585</v>
      </c>
      <c r="BO86" s="20">
        <v>36585</v>
      </c>
      <c r="BP86" s="20">
        <v>36585</v>
      </c>
      <c r="BQ86" s="20">
        <v>36585</v>
      </c>
      <c r="BR86" s="17" cm="1">
        <f t="array" ref="BR86:BV86">COUPNCD("01/01/2000",BP86,4,{0,1,2,3,4})</f>
        <v>36585</v>
      </c>
      <c r="BS86" s="20">
        <v>36585</v>
      </c>
      <c r="BT86" s="20">
        <v>36585</v>
      </c>
      <c r="BU86" s="20">
        <v>36585</v>
      </c>
      <c r="BV86" s="20">
        <v>36585</v>
      </c>
    </row>
    <row r="87" spans="2:74" x14ac:dyDescent="0.2">
      <c r="B87">
        <f t="shared" si="39"/>
        <v>0</v>
      </c>
      <c r="C87">
        <f t="shared" si="40"/>
        <v>-0.1</v>
      </c>
      <c r="D87">
        <f t="shared" si="41"/>
        <v>0</v>
      </c>
      <c r="E87">
        <v>-0.16999999999999926</v>
      </c>
      <c r="H87" s="4"/>
      <c r="I87" s="4"/>
      <c r="J87" s="4"/>
      <c r="K87" s="4"/>
      <c r="L87" s="4" t="e">
        <f>_xlfn.XMATCH(1,{1,2,2.1,3,4.1},0,-2)</f>
        <v>#N/A</v>
      </c>
      <c r="M87" s="4">
        <v>2</v>
      </c>
      <c r="N87" s="4" t="b">
        <f>M86&lt;M87</f>
        <v>0</v>
      </c>
      <c r="O87" s="4"/>
      <c r="P87" s="4"/>
      <c r="T87" s="62" t="s">
        <v>687</v>
      </c>
      <c r="U87" s="63">
        <f t="shared" si="45"/>
        <v>274.39999999999998</v>
      </c>
      <c r="V87">
        <f t="shared" si="48"/>
        <v>1.0045553935860059</v>
      </c>
      <c r="W87">
        <f t="shared" si="49"/>
        <v>1</v>
      </c>
      <c r="X87" t="e">
        <f t="shared" si="46"/>
        <v>#N/A</v>
      </c>
      <c r="Y87" t="e">
        <f t="shared" si="47"/>
        <v>#N/A</v>
      </c>
      <c r="Z87" t="e">
        <f t="shared" si="47"/>
        <v>#N/A</v>
      </c>
      <c r="AA87" t="e">
        <f t="shared" si="47"/>
        <v>#N/A</v>
      </c>
      <c r="AB87" t="e">
        <f t="shared" si="47"/>
        <v>#N/A</v>
      </c>
      <c r="AC87" t="e">
        <f t="shared" si="47"/>
        <v>#N/A</v>
      </c>
      <c r="AD87" t="e">
        <f t="shared" si="47"/>
        <v>#N/A</v>
      </c>
      <c r="AE87" t="e">
        <f t="shared" si="47"/>
        <v>#N/A</v>
      </c>
      <c r="AF87" t="e">
        <f t="shared" si="47"/>
        <v>#N/A</v>
      </c>
      <c r="AG87" t="e">
        <f t="shared" si="47"/>
        <v>#N/A</v>
      </c>
      <c r="AH87" t="e">
        <f t="shared" si="47"/>
        <v>#N/A</v>
      </c>
      <c r="AI87" t="e">
        <f t="shared" si="47"/>
        <v>#N/A</v>
      </c>
      <c r="AJ87" t="e">
        <f t="shared" si="47"/>
        <v>#N/A</v>
      </c>
      <c r="AK87" t="e">
        <f t="shared" si="47"/>
        <v>#N/A</v>
      </c>
      <c r="AL87" t="e">
        <f t="shared" si="47"/>
        <v>#N/A</v>
      </c>
      <c r="AM87" t="e">
        <f t="shared" si="47"/>
        <v>#N/A</v>
      </c>
      <c r="AN87" t="e">
        <f t="shared" si="47"/>
        <v>#N/A</v>
      </c>
      <c r="AO87" t="e">
        <f t="shared" si="47"/>
        <v>#N/A</v>
      </c>
      <c r="AP87" t="e">
        <f t="shared" si="47"/>
        <v>#N/A</v>
      </c>
      <c r="AQ87" t="e">
        <f t="shared" si="47"/>
        <v>#N/A</v>
      </c>
      <c r="AR87" t="e">
        <f t="shared" si="47"/>
        <v>#N/A</v>
      </c>
      <c r="BG87" t="b">
        <v>0</v>
      </c>
      <c r="BH87" t="b">
        <v>0</v>
      </c>
      <c r="BK87" s="24" t="s">
        <v>832</v>
      </c>
      <c r="BM87" s="17" cm="1">
        <f t="array" ref="BM87:BQ87">COUPNCD("01/01/2000",BK87,4,{0,1,2,3,4})</f>
        <v>36556</v>
      </c>
      <c r="BN87" s="20">
        <v>36556</v>
      </c>
      <c r="BO87" s="20">
        <v>36556</v>
      </c>
      <c r="BP87" s="20">
        <v>36556</v>
      </c>
      <c r="BQ87" s="20">
        <v>36556</v>
      </c>
      <c r="BR87" s="17" cm="1">
        <f t="array" ref="BR87:BV87">COUPNCD("01/01/2000",BP87,4,{0,1,2,3,4})</f>
        <v>36556</v>
      </c>
      <c r="BS87" s="20">
        <v>36556</v>
      </c>
      <c r="BT87" s="20">
        <v>36556</v>
      </c>
      <c r="BU87" s="20">
        <v>36556</v>
      </c>
      <c r="BV87" s="20">
        <v>36556</v>
      </c>
    </row>
    <row r="88" spans="2:74" x14ac:dyDescent="0.2">
      <c r="B88">
        <f t="shared" si="39"/>
        <v>0</v>
      </c>
      <c r="C88">
        <f t="shared" si="40"/>
        <v>-0.1</v>
      </c>
      <c r="D88">
        <f t="shared" si="41"/>
        <v>0</v>
      </c>
      <c r="E88">
        <v>-0.15999999999999925</v>
      </c>
      <c r="H88" s="4"/>
      <c r="I88" s="4"/>
      <c r="J88" s="4"/>
      <c r="K88" s="4"/>
      <c r="L88" s="4">
        <f>_xlfn.XMATCH(1,{4.1,3,2.1,2,1},1,2)</f>
        <v>1</v>
      </c>
      <c r="M88" s="4"/>
      <c r="N88" s="4" t="b">
        <f>M86&gt;M87</f>
        <v>1</v>
      </c>
      <c r="O88" s="4"/>
      <c r="P88" s="4"/>
      <c r="U88" s="63"/>
      <c r="BG88" t="b">
        <v>0</v>
      </c>
      <c r="BH88" t="b">
        <v>0</v>
      </c>
    </row>
    <row r="89" spans="2:74" x14ac:dyDescent="0.2">
      <c r="B89">
        <f t="shared" si="39"/>
        <v>0</v>
      </c>
      <c r="C89">
        <f t="shared" si="40"/>
        <v>-0.1</v>
      </c>
      <c r="D89">
        <f t="shared" si="41"/>
        <v>0</v>
      </c>
      <c r="E89">
        <v>-0.14999999999999925</v>
      </c>
      <c r="H89" s="4"/>
      <c r="I89" s="4"/>
      <c r="J89" s="4"/>
      <c r="K89" s="4"/>
      <c r="L89" s="4">
        <f>_xlfn.XMATCH(FALSE,{"a",4.1,3,2.1,2,TRUE,"b"},-1,2)</f>
        <v>5</v>
      </c>
      <c r="M89" s="4">
        <v>3.5</v>
      </c>
      <c r="N89" s="4">
        <f>_xlfn.XMATCH(M89,{4,3,2,1,1,2,3.4,3.6},1,1)</f>
        <v>8</v>
      </c>
      <c r="O89" s="4"/>
      <c r="P89" s="4"/>
      <c r="T89" s="62" t="s">
        <v>688</v>
      </c>
      <c r="U89">
        <f>CONVERT(1,T89,"m3")</f>
        <v>4.9289215937499996E-6</v>
      </c>
      <c r="V89">
        <f>CONVERT(2,T89,"L")/U89</f>
        <v>2000</v>
      </c>
      <c r="W89">
        <f>CONVERT(U89,"m3",T89)</f>
        <v>1</v>
      </c>
      <c r="X89" t="e">
        <f t="shared" ref="X89:X95" si="51">CONVERT(1,X$1&amp;$T89,"L")</f>
        <v>#N/A</v>
      </c>
      <c r="Y89" t="e">
        <f t="shared" ref="Y89:AR102" si="52">CONVERT(1,Y$1&amp;$T89,"L")</f>
        <v>#N/A</v>
      </c>
      <c r="Z89" t="e">
        <f t="shared" si="52"/>
        <v>#N/A</v>
      </c>
      <c r="AA89" t="e">
        <f t="shared" si="52"/>
        <v>#N/A</v>
      </c>
      <c r="AB89" t="e">
        <f t="shared" si="52"/>
        <v>#N/A</v>
      </c>
      <c r="AC89" t="e">
        <f t="shared" si="52"/>
        <v>#N/A</v>
      </c>
      <c r="AD89" t="e">
        <f t="shared" si="52"/>
        <v>#N/A</v>
      </c>
      <c r="AE89" t="e">
        <f t="shared" si="52"/>
        <v>#N/A</v>
      </c>
      <c r="AF89" t="e">
        <f t="shared" si="52"/>
        <v>#N/A</v>
      </c>
      <c r="AG89" t="e">
        <f t="shared" si="52"/>
        <v>#N/A</v>
      </c>
      <c r="AH89" t="e">
        <f t="shared" si="52"/>
        <v>#N/A</v>
      </c>
      <c r="AI89" t="e">
        <f t="shared" si="52"/>
        <v>#N/A</v>
      </c>
      <c r="AJ89" t="e">
        <f t="shared" si="52"/>
        <v>#N/A</v>
      </c>
      <c r="AK89" t="e">
        <f t="shared" si="52"/>
        <v>#N/A</v>
      </c>
      <c r="AL89" t="e">
        <f t="shared" si="52"/>
        <v>#N/A</v>
      </c>
      <c r="AM89" t="e">
        <f t="shared" si="52"/>
        <v>#N/A</v>
      </c>
      <c r="AN89" t="e">
        <f t="shared" si="52"/>
        <v>#N/A</v>
      </c>
      <c r="AO89" t="e">
        <f t="shared" si="52"/>
        <v>#N/A</v>
      </c>
      <c r="AP89" t="e">
        <f t="shared" si="52"/>
        <v>#N/A</v>
      </c>
      <c r="AQ89" t="e">
        <f t="shared" si="52"/>
        <v>#N/A</v>
      </c>
      <c r="AR89" t="e">
        <f t="shared" si="52"/>
        <v>#N/A</v>
      </c>
      <c r="BG89" t="b">
        <v>0</v>
      </c>
      <c r="BH89" t="b">
        <v>0</v>
      </c>
    </row>
    <row r="90" spans="2:74" x14ac:dyDescent="0.2">
      <c r="B90">
        <f t="shared" si="39"/>
        <v>0</v>
      </c>
      <c r="C90">
        <f t="shared" si="40"/>
        <v>-0.1</v>
      </c>
      <c r="D90">
        <f t="shared" si="41"/>
        <v>0</v>
      </c>
      <c r="E90">
        <v>-0.13999999999999924</v>
      </c>
      <c r="H90" s="4"/>
      <c r="I90" s="4"/>
      <c r="J90" s="4"/>
      <c r="K90" s="4"/>
      <c r="L90" s="4">
        <f>_xlfn.XMATCH(3.5,{9,4.1,3,2.1,2},-1,-2)</f>
        <v>3</v>
      </c>
      <c r="M90" s="4"/>
      <c r="N90" s="4">
        <f>_xlfn.XMATCH(M89,{4,3,2,1,1,2,3.4,3.6},-1,1)</f>
        <v>7</v>
      </c>
      <c r="O90" s="4"/>
      <c r="P90" s="4"/>
      <c r="T90" s="62" t="s">
        <v>689</v>
      </c>
      <c r="U90">
        <f t="shared" ref="U90:U127" si="53">CONVERT(1,T90,"L")</f>
        <v>5.0000000000000001E-3</v>
      </c>
      <c r="V90">
        <f t="shared" ref="V90:V127" si="54">CONVERT(2,T90,"L")/U90</f>
        <v>2</v>
      </c>
      <c r="W90">
        <f>CONVERT(U90,"L",T90)</f>
        <v>1</v>
      </c>
      <c r="X90" t="e">
        <f t="shared" si="51"/>
        <v>#N/A</v>
      </c>
      <c r="Y90" t="e">
        <f t="shared" ref="Y90:AM90" si="55">CONVERT(1,Y$1&amp;$T90,"L")</f>
        <v>#N/A</v>
      </c>
      <c r="Z90" t="e">
        <f t="shared" si="55"/>
        <v>#N/A</v>
      </c>
      <c r="AA90" t="e">
        <f t="shared" si="55"/>
        <v>#N/A</v>
      </c>
      <c r="AB90" t="e">
        <f t="shared" si="55"/>
        <v>#N/A</v>
      </c>
      <c r="AC90" t="e">
        <f t="shared" si="55"/>
        <v>#N/A</v>
      </c>
      <c r="AD90" t="e">
        <f t="shared" si="55"/>
        <v>#N/A</v>
      </c>
      <c r="AE90" t="e">
        <f t="shared" si="55"/>
        <v>#N/A</v>
      </c>
      <c r="AF90" t="e">
        <f t="shared" si="55"/>
        <v>#N/A</v>
      </c>
      <c r="AG90" t="e">
        <f t="shared" si="55"/>
        <v>#N/A</v>
      </c>
      <c r="AH90" t="e">
        <f t="shared" si="55"/>
        <v>#N/A</v>
      </c>
      <c r="AI90" t="e">
        <f t="shared" si="55"/>
        <v>#N/A</v>
      </c>
      <c r="AJ90" t="e">
        <f t="shared" si="55"/>
        <v>#N/A</v>
      </c>
      <c r="AK90" t="e">
        <f t="shared" si="55"/>
        <v>#N/A</v>
      </c>
      <c r="AL90" t="e">
        <f t="shared" si="55"/>
        <v>#N/A</v>
      </c>
      <c r="AM90" t="e">
        <f t="shared" si="55"/>
        <v>#N/A</v>
      </c>
      <c r="AN90" t="e">
        <f t="shared" si="52"/>
        <v>#N/A</v>
      </c>
      <c r="AO90" t="e">
        <f t="shared" si="52"/>
        <v>#N/A</v>
      </c>
      <c r="AP90" t="e">
        <f t="shared" si="52"/>
        <v>#N/A</v>
      </c>
      <c r="AQ90" t="e">
        <f t="shared" si="52"/>
        <v>#N/A</v>
      </c>
      <c r="AR90" t="e">
        <f t="shared" si="52"/>
        <v>#N/A</v>
      </c>
      <c r="BG90" t="b">
        <v>0</v>
      </c>
      <c r="BH90" t="b">
        <v>0</v>
      </c>
    </row>
    <row r="91" spans="2:74" x14ac:dyDescent="0.2">
      <c r="B91">
        <f t="shared" si="39"/>
        <v>0</v>
      </c>
      <c r="C91">
        <f t="shared" si="40"/>
        <v>-0.1</v>
      </c>
      <c r="D91">
        <f t="shared" si="41"/>
        <v>0</v>
      </c>
      <c r="E91">
        <v>-0.12999999999999923</v>
      </c>
      <c r="H91" s="4"/>
      <c r="I91" s="4"/>
      <c r="J91" s="4"/>
      <c r="K91" s="4"/>
      <c r="L91" s="4" t="e">
        <f>_xlfn.XMATCH(0,{1,2,3,4,5},-1,2)</f>
        <v>#N/A</v>
      </c>
      <c r="M91" s="4"/>
      <c r="N91" s="4"/>
      <c r="O91" s="4"/>
      <c r="P91" s="4"/>
      <c r="T91" s="62" t="s">
        <v>690</v>
      </c>
      <c r="U91">
        <f t="shared" si="53"/>
        <v>1.478676478125E-2</v>
      </c>
      <c r="V91">
        <f t="shared" si="54"/>
        <v>2</v>
      </c>
      <c r="W91">
        <f t="shared" ref="W91:W127" si="56">CONVERT(U91,"L",T91)</f>
        <v>1</v>
      </c>
      <c r="X91" t="e">
        <f t="shared" si="51"/>
        <v>#N/A</v>
      </c>
      <c r="Y91" t="e">
        <f t="shared" si="52"/>
        <v>#N/A</v>
      </c>
      <c r="Z91" t="e">
        <f t="shared" si="52"/>
        <v>#N/A</v>
      </c>
      <c r="AA91" t="e">
        <f t="shared" si="52"/>
        <v>#N/A</v>
      </c>
      <c r="AB91" t="e">
        <f t="shared" si="52"/>
        <v>#N/A</v>
      </c>
      <c r="AC91" t="e">
        <f t="shared" si="52"/>
        <v>#N/A</v>
      </c>
      <c r="AD91" t="e">
        <f t="shared" si="52"/>
        <v>#N/A</v>
      </c>
      <c r="AE91" t="e">
        <f t="shared" si="52"/>
        <v>#N/A</v>
      </c>
      <c r="AF91" t="e">
        <f t="shared" si="52"/>
        <v>#N/A</v>
      </c>
      <c r="AG91" t="e">
        <f t="shared" si="52"/>
        <v>#N/A</v>
      </c>
      <c r="AH91" t="e">
        <f t="shared" si="52"/>
        <v>#N/A</v>
      </c>
      <c r="AI91" t="e">
        <f t="shared" si="52"/>
        <v>#N/A</v>
      </c>
      <c r="AJ91" t="e">
        <f t="shared" si="52"/>
        <v>#N/A</v>
      </c>
      <c r="AK91" t="e">
        <f t="shared" si="52"/>
        <v>#N/A</v>
      </c>
      <c r="AL91" t="e">
        <f t="shared" si="52"/>
        <v>#N/A</v>
      </c>
      <c r="AM91" t="e">
        <f t="shared" si="52"/>
        <v>#N/A</v>
      </c>
      <c r="AN91" t="e">
        <f t="shared" si="52"/>
        <v>#N/A</v>
      </c>
      <c r="AO91" t="e">
        <f t="shared" si="52"/>
        <v>#N/A</v>
      </c>
      <c r="AP91" t="e">
        <f t="shared" si="52"/>
        <v>#N/A</v>
      </c>
      <c r="AQ91" t="e">
        <f t="shared" si="52"/>
        <v>#N/A</v>
      </c>
      <c r="AR91" t="e">
        <f t="shared" si="52"/>
        <v>#N/A</v>
      </c>
      <c r="BG91" t="b">
        <v>0</v>
      </c>
      <c r="BH91" t="b">
        <v>0</v>
      </c>
    </row>
    <row r="92" spans="2:74" x14ac:dyDescent="0.2">
      <c r="B92">
        <f t="shared" si="39"/>
        <v>0</v>
      </c>
      <c r="C92">
        <f t="shared" si="40"/>
        <v>-0.1</v>
      </c>
      <c r="D92">
        <f t="shared" si="41"/>
        <v>0</v>
      </c>
      <c r="E92">
        <v>-0.11999999999999923</v>
      </c>
      <c r="H92" s="4"/>
      <c r="I92" s="4"/>
      <c r="J92" s="4"/>
      <c r="K92" s="4"/>
      <c r="L92" s="4">
        <f>_xlfn.XMATCH(FALSE,{"a",FALSE,4.1,3,2.1,2,FALSE,"b"},1,-2)</f>
        <v>2</v>
      </c>
      <c r="M92" s="4"/>
      <c r="N92" s="4"/>
      <c r="O92" s="4"/>
      <c r="P92" s="4"/>
      <c r="T92" s="62" t="s">
        <v>691</v>
      </c>
      <c r="U92">
        <f t="shared" si="53"/>
        <v>2.9573529562499999E-2</v>
      </c>
      <c r="V92">
        <f t="shared" si="54"/>
        <v>2</v>
      </c>
      <c r="W92">
        <f t="shared" si="56"/>
        <v>1</v>
      </c>
      <c r="X92" t="e">
        <f t="shared" si="51"/>
        <v>#N/A</v>
      </c>
      <c r="Y92" t="e">
        <f t="shared" si="52"/>
        <v>#N/A</v>
      </c>
      <c r="Z92" t="e">
        <f t="shared" si="52"/>
        <v>#N/A</v>
      </c>
      <c r="AA92" t="e">
        <f t="shared" si="52"/>
        <v>#N/A</v>
      </c>
      <c r="AB92" t="e">
        <f t="shared" si="52"/>
        <v>#N/A</v>
      </c>
      <c r="AC92" t="e">
        <f t="shared" si="52"/>
        <v>#N/A</v>
      </c>
      <c r="AD92" t="e">
        <f t="shared" si="52"/>
        <v>#N/A</v>
      </c>
      <c r="AE92" t="e">
        <f t="shared" si="52"/>
        <v>#N/A</v>
      </c>
      <c r="AF92" t="e">
        <f t="shared" si="52"/>
        <v>#N/A</v>
      </c>
      <c r="AG92" t="e">
        <f t="shared" si="52"/>
        <v>#N/A</v>
      </c>
      <c r="AH92" t="e">
        <f t="shared" si="52"/>
        <v>#N/A</v>
      </c>
      <c r="AI92" t="e">
        <f t="shared" si="52"/>
        <v>#N/A</v>
      </c>
      <c r="AJ92" t="e">
        <f t="shared" si="52"/>
        <v>#N/A</v>
      </c>
      <c r="AK92" t="e">
        <f t="shared" si="52"/>
        <v>#N/A</v>
      </c>
      <c r="AL92" t="e">
        <f t="shared" si="52"/>
        <v>#N/A</v>
      </c>
      <c r="AM92" t="e">
        <f t="shared" si="52"/>
        <v>#N/A</v>
      </c>
      <c r="AN92" t="e">
        <f t="shared" si="52"/>
        <v>#N/A</v>
      </c>
      <c r="AO92" t="e">
        <f t="shared" si="52"/>
        <v>#N/A</v>
      </c>
      <c r="AP92" t="e">
        <f t="shared" si="52"/>
        <v>#N/A</v>
      </c>
      <c r="AQ92" t="e">
        <f t="shared" si="52"/>
        <v>#N/A</v>
      </c>
      <c r="AR92" t="e">
        <f t="shared" si="52"/>
        <v>#N/A</v>
      </c>
      <c r="BG92" t="b">
        <v>0</v>
      </c>
      <c r="BH92" t="b">
        <v>0</v>
      </c>
    </row>
    <row r="93" spans="2:74" x14ac:dyDescent="0.2">
      <c r="B93">
        <f t="shared" si="39"/>
        <v>0</v>
      </c>
      <c r="C93">
        <f t="shared" si="40"/>
        <v>-0.1</v>
      </c>
      <c r="D93">
        <f t="shared" si="41"/>
        <v>0</v>
      </c>
      <c r="E93">
        <v>-0.10999999999999924</v>
      </c>
      <c r="H93" s="4"/>
      <c r="I93" s="4"/>
      <c r="J93" s="4"/>
      <c r="K93" s="4"/>
      <c r="L93" s="4">
        <f>_xlfn.XMATCH(FALSE,{"a",FALSE,4.1,3,2.1,2,FALSE,"b"},-1,-2)</f>
        <v>2</v>
      </c>
      <c r="M93" s="4"/>
      <c r="N93" s="4"/>
      <c r="O93" s="4"/>
      <c r="P93" s="4"/>
      <c r="T93" s="62" t="s">
        <v>692</v>
      </c>
      <c r="U93">
        <f t="shared" si="53"/>
        <v>0.23658823649999999</v>
      </c>
      <c r="V93">
        <f t="shared" si="54"/>
        <v>2</v>
      </c>
      <c r="W93">
        <f t="shared" si="56"/>
        <v>1</v>
      </c>
      <c r="X93" t="e">
        <f t="shared" si="51"/>
        <v>#N/A</v>
      </c>
      <c r="Y93" t="e">
        <f t="shared" si="52"/>
        <v>#N/A</v>
      </c>
      <c r="Z93" t="e">
        <f t="shared" si="52"/>
        <v>#N/A</v>
      </c>
      <c r="AA93" t="e">
        <f t="shared" si="52"/>
        <v>#N/A</v>
      </c>
      <c r="AB93" t="e">
        <f t="shared" si="52"/>
        <v>#N/A</v>
      </c>
      <c r="AC93" t="e">
        <f t="shared" si="52"/>
        <v>#N/A</v>
      </c>
      <c r="AD93" t="e">
        <f t="shared" si="52"/>
        <v>#N/A</v>
      </c>
      <c r="AE93" t="e">
        <f t="shared" si="52"/>
        <v>#N/A</v>
      </c>
      <c r="AF93" t="e">
        <f t="shared" si="52"/>
        <v>#N/A</v>
      </c>
      <c r="AG93" t="e">
        <f t="shared" si="52"/>
        <v>#N/A</v>
      </c>
      <c r="AH93" t="e">
        <f t="shared" si="52"/>
        <v>#N/A</v>
      </c>
      <c r="AI93" t="e">
        <f t="shared" si="52"/>
        <v>#N/A</v>
      </c>
      <c r="AJ93" t="e">
        <f t="shared" si="52"/>
        <v>#N/A</v>
      </c>
      <c r="AK93" t="e">
        <f t="shared" si="52"/>
        <v>#N/A</v>
      </c>
      <c r="AL93" t="e">
        <f t="shared" si="52"/>
        <v>#N/A</v>
      </c>
      <c r="AM93" t="e">
        <f t="shared" si="52"/>
        <v>#N/A</v>
      </c>
      <c r="AN93" t="e">
        <f t="shared" si="52"/>
        <v>#N/A</v>
      </c>
      <c r="AO93" t="e">
        <f t="shared" si="52"/>
        <v>#N/A</v>
      </c>
      <c r="AP93" t="e">
        <f t="shared" si="52"/>
        <v>#N/A</v>
      </c>
      <c r="AQ93" t="e">
        <f t="shared" si="52"/>
        <v>#N/A</v>
      </c>
      <c r="AR93" t="e">
        <f t="shared" si="52"/>
        <v>#N/A</v>
      </c>
      <c r="BD93">
        <f>3</f>
        <v>3</v>
      </c>
      <c r="BG93" t="b">
        <v>0</v>
      </c>
      <c r="BH93" t="b">
        <v>0</v>
      </c>
    </row>
    <row r="94" spans="2:74" x14ac:dyDescent="0.2">
      <c r="B94">
        <f t="shared" si="39"/>
        <v>0</v>
      </c>
      <c r="C94">
        <f t="shared" si="40"/>
        <v>0</v>
      </c>
      <c r="D94">
        <f t="shared" si="41"/>
        <v>0</v>
      </c>
      <c r="E94">
        <v>-9.9999999999999242E-2</v>
      </c>
      <c r="H94" s="4"/>
      <c r="I94" s="4"/>
      <c r="J94" s="4"/>
      <c r="K94" s="4"/>
      <c r="L94" s="4">
        <f>_xlfn.XMATCH(FALSE,{"a",2,FALSE,4.1,3,2.1,2,FALSE,9,9},-1,2)</f>
        <v>8</v>
      </c>
      <c r="M94" s="4"/>
      <c r="N94" s="4"/>
      <c r="O94" s="4"/>
      <c r="P94" s="4"/>
      <c r="T94" s="62" t="s">
        <v>693</v>
      </c>
      <c r="U94">
        <f t="shared" si="53"/>
        <v>0.47317647299999999</v>
      </c>
      <c r="V94">
        <f t="shared" si="54"/>
        <v>2</v>
      </c>
      <c r="W94">
        <f t="shared" si="56"/>
        <v>1</v>
      </c>
      <c r="X94" t="e">
        <f t="shared" si="51"/>
        <v>#N/A</v>
      </c>
      <c r="Y94" t="e">
        <f t="shared" si="52"/>
        <v>#N/A</v>
      </c>
      <c r="Z94" t="e">
        <f t="shared" si="52"/>
        <v>#N/A</v>
      </c>
      <c r="AA94" t="e">
        <f t="shared" si="52"/>
        <v>#N/A</v>
      </c>
      <c r="AB94" t="e">
        <f t="shared" si="52"/>
        <v>#N/A</v>
      </c>
      <c r="AC94" t="e">
        <f t="shared" si="52"/>
        <v>#N/A</v>
      </c>
      <c r="AD94" t="e">
        <f t="shared" si="52"/>
        <v>#N/A</v>
      </c>
      <c r="AE94" t="e">
        <f t="shared" si="52"/>
        <v>#N/A</v>
      </c>
      <c r="AF94" t="e">
        <f t="shared" si="52"/>
        <v>#N/A</v>
      </c>
      <c r="AG94" t="e">
        <f t="shared" si="52"/>
        <v>#N/A</v>
      </c>
      <c r="AH94" t="e">
        <f t="shared" si="52"/>
        <v>#N/A</v>
      </c>
      <c r="AI94" t="e">
        <f t="shared" si="52"/>
        <v>#N/A</v>
      </c>
      <c r="AJ94" t="e">
        <f t="shared" si="52"/>
        <v>#N/A</v>
      </c>
      <c r="AK94" t="e">
        <f t="shared" si="52"/>
        <v>#N/A</v>
      </c>
      <c r="AL94" t="e">
        <f t="shared" si="52"/>
        <v>#N/A</v>
      </c>
      <c r="AM94" t="e">
        <f t="shared" si="52"/>
        <v>#N/A</v>
      </c>
      <c r="AN94" t="e">
        <f t="shared" si="52"/>
        <v>#N/A</v>
      </c>
      <c r="AO94" t="e">
        <f t="shared" si="52"/>
        <v>#N/A</v>
      </c>
      <c r="AP94" t="e">
        <f t="shared" si="52"/>
        <v>#N/A</v>
      </c>
      <c r="AQ94" t="e">
        <f t="shared" si="52"/>
        <v>#N/A</v>
      </c>
      <c r="AR94" t="e">
        <f t="shared" si="52"/>
        <v>#N/A</v>
      </c>
      <c r="BG94" t="b">
        <v>0</v>
      </c>
      <c r="BH94" t="b">
        <v>1</v>
      </c>
    </row>
    <row r="95" spans="2:74" x14ac:dyDescent="0.2">
      <c r="B95">
        <f t="shared" si="39"/>
        <v>0</v>
      </c>
      <c r="C95">
        <f t="shared" si="40"/>
        <v>0</v>
      </c>
      <c r="D95">
        <f t="shared" si="41"/>
        <v>0</v>
      </c>
      <c r="E95">
        <v>-8.9999999999999247E-2</v>
      </c>
      <c r="T95" s="62" t="s">
        <v>694</v>
      </c>
      <c r="U95">
        <f t="shared" si="53"/>
        <v>0.47317647299999999</v>
      </c>
      <c r="V95">
        <f t="shared" si="54"/>
        <v>2</v>
      </c>
      <c r="W95">
        <f t="shared" si="56"/>
        <v>1</v>
      </c>
      <c r="X95" t="e">
        <f t="shared" si="51"/>
        <v>#N/A</v>
      </c>
      <c r="Y95" t="e">
        <f t="shared" si="52"/>
        <v>#N/A</v>
      </c>
      <c r="Z95" t="e">
        <f t="shared" si="52"/>
        <v>#N/A</v>
      </c>
      <c r="AA95" t="e">
        <f t="shared" si="52"/>
        <v>#N/A</v>
      </c>
      <c r="AB95" t="e">
        <f t="shared" si="52"/>
        <v>#N/A</v>
      </c>
      <c r="AC95" t="e">
        <f t="shared" si="52"/>
        <v>#N/A</v>
      </c>
      <c r="AD95" t="e">
        <f t="shared" si="52"/>
        <v>#N/A</v>
      </c>
      <c r="AE95" t="e">
        <f t="shared" si="52"/>
        <v>#N/A</v>
      </c>
      <c r="AF95" t="e">
        <f t="shared" si="52"/>
        <v>#N/A</v>
      </c>
      <c r="AG95" t="e">
        <f t="shared" si="52"/>
        <v>#N/A</v>
      </c>
      <c r="AH95" t="e">
        <f t="shared" si="52"/>
        <v>#N/A</v>
      </c>
      <c r="AI95" t="e">
        <f t="shared" si="52"/>
        <v>#N/A</v>
      </c>
      <c r="AJ95" t="e">
        <f t="shared" si="52"/>
        <v>#N/A</v>
      </c>
      <c r="AK95" t="e">
        <f t="shared" si="52"/>
        <v>#N/A</v>
      </c>
      <c r="AL95" t="e">
        <f t="shared" si="52"/>
        <v>#N/A</v>
      </c>
      <c r="AM95" t="e">
        <f t="shared" si="52"/>
        <v>#N/A</v>
      </c>
      <c r="AN95" t="e">
        <f t="shared" si="52"/>
        <v>#N/A</v>
      </c>
      <c r="AO95" t="e">
        <f t="shared" si="52"/>
        <v>#N/A</v>
      </c>
      <c r="AP95" t="e">
        <f t="shared" si="52"/>
        <v>#N/A</v>
      </c>
      <c r="AQ95" t="e">
        <f t="shared" si="52"/>
        <v>#N/A</v>
      </c>
      <c r="AR95" t="e">
        <f t="shared" si="52"/>
        <v>#N/A</v>
      </c>
      <c r="BD95" s="72" t="str" cm="1">
        <f t="array" ref="BD95:BK104">_xlfn.PIVOTBY({"r1","r2";2,1;2,2;3,1},{"c1","c2";1,1;2,1;2,2},{"v1","v2";1,3;2,5;3,2},_xleta.PERCENTOF,3,2,1,0,1,{"f";1;1;1},3)</f>
        <v/>
      </c>
      <c r="BE95" t="str">
        <v/>
      </c>
      <c r="BF95" t="str">
        <v>c1, c2</v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M95" t="str" cm="1">
        <f t="array" ref="BM95:BT104">_xlfn.PIVOTBY({"r1","r2";2,1;2,2;3,1},{"c1","c2";1,1;2,1;2,2},{"v1","v2";1,3;2,5;3,2},_xleta.PERCENTOF,3,2,1,0,1,{"f";1;1;1},4)</f>
        <v/>
      </c>
      <c r="BN95" t="str">
        <v/>
      </c>
      <c r="BO95" t="str">
        <v>c1, c2</v>
      </c>
      <c r="BP95" t="str">
        <v/>
      </c>
      <c r="BQ95" t="str">
        <v/>
      </c>
      <c r="BR95" t="str">
        <v/>
      </c>
      <c r="BS95" t="str">
        <v/>
      </c>
      <c r="BT95" t="str">
        <v/>
      </c>
    </row>
    <row r="96" spans="2:74" x14ac:dyDescent="0.2">
      <c r="B96">
        <f t="shared" si="39"/>
        <v>0</v>
      </c>
      <c r="C96">
        <f t="shared" si="40"/>
        <v>0</v>
      </c>
      <c r="D96">
        <f t="shared" si="41"/>
        <v>0</v>
      </c>
      <c r="E96">
        <v>-7.9999999999999252E-2</v>
      </c>
      <c r="H96" s="13" t="str" cm="1">
        <f t="array" ref="H96:K99">_xlfn.PIVOTBY({2;2;3},{1;2;2},{1;2;3},_xleta.SUM)</f>
        <v/>
      </c>
      <c r="I96" s="14">
        <v>1</v>
      </c>
      <c r="J96" s="14">
        <v>2</v>
      </c>
      <c r="K96" s="14" t="str">
        <v>Total</v>
      </c>
      <c r="L96" s="14" t="e" cm="1">
        <f t="array" ref="L96">_xlfn.PIVOTBY({2;2;3},{1;2;2},{1;2;3},LOOKUP!L91)</f>
        <v>#N/A</v>
      </c>
      <c r="M96" s="14"/>
      <c r="N96" s="15"/>
      <c r="O96" s="15"/>
      <c r="P96" s="15"/>
      <c r="Q96" s="15"/>
      <c r="T96" s="62" t="s">
        <v>695</v>
      </c>
      <c r="U96">
        <f>CONVERT(1,T96,"L")</f>
        <v>0.56826125000000005</v>
      </c>
      <c r="V96">
        <f t="shared" si="54"/>
        <v>2</v>
      </c>
      <c r="W96">
        <f t="shared" si="56"/>
        <v>1</v>
      </c>
      <c r="AA96">
        <f t="shared" si="52"/>
        <v>568261250000000</v>
      </c>
      <c r="AB96">
        <f t="shared" si="52"/>
        <v>568261250000</v>
      </c>
      <c r="AC96">
        <f t="shared" si="52"/>
        <v>568261250</v>
      </c>
      <c r="AD96">
        <f t="shared" si="52"/>
        <v>568261.25</v>
      </c>
      <c r="AE96">
        <f t="shared" si="52"/>
        <v>568.26125000000002</v>
      </c>
      <c r="AF96">
        <f t="shared" si="52"/>
        <v>56.826125000000005</v>
      </c>
      <c r="AG96">
        <f t="shared" si="52"/>
        <v>5.6826125000000003</v>
      </c>
      <c r="AH96">
        <f t="shared" si="52"/>
        <v>5.6826125000000003</v>
      </c>
      <c r="AI96">
        <f t="shared" si="52"/>
        <v>5.6826125000000005E-2</v>
      </c>
      <c r="AJ96">
        <f t="shared" si="52"/>
        <v>5.6826125000000007E-3</v>
      </c>
      <c r="AK96">
        <f t="shared" si="52"/>
        <v>5.6826125000000011E-4</v>
      </c>
      <c r="AL96">
        <f t="shared" si="52"/>
        <v>5.6826125000000007E-7</v>
      </c>
      <c r="AM96">
        <f t="shared" si="52"/>
        <v>5.6826125000000005E-10</v>
      </c>
      <c r="AN96">
        <f t="shared" si="52"/>
        <v>5.6826125000000006E-13</v>
      </c>
      <c r="AO96">
        <f t="shared" si="52"/>
        <v>5.6826125000000006E-16</v>
      </c>
      <c r="AP96">
        <f t="shared" si="52"/>
        <v>5.6826125000000013E-19</v>
      </c>
      <c r="AQ96">
        <f t="shared" si="52"/>
        <v>5.6826124999999998E-22</v>
      </c>
      <c r="AR96">
        <f t="shared" si="52"/>
        <v>5.6826125000000004E-25</v>
      </c>
      <c r="BD96" t="str">
        <v/>
      </c>
      <c r="BE96" t="str">
        <v/>
      </c>
      <c r="BF96">
        <v>1</v>
      </c>
      <c r="BG96">
        <v>1</v>
      </c>
      <c r="BH96">
        <v>2</v>
      </c>
      <c r="BI96">
        <v>2</v>
      </c>
      <c r="BJ96">
        <v>2</v>
      </c>
      <c r="BK96">
        <v>2</v>
      </c>
      <c r="BM96" t="str">
        <v/>
      </c>
      <c r="BN96" t="str">
        <v/>
      </c>
      <c r="BO96">
        <v>1</v>
      </c>
      <c r="BP96">
        <v>1</v>
      </c>
      <c r="BQ96">
        <v>2</v>
      </c>
      <c r="BR96">
        <v>2</v>
      </c>
      <c r="BS96">
        <v>2</v>
      </c>
      <c r="BT96">
        <v>2</v>
      </c>
    </row>
    <row r="97" spans="2:72" x14ac:dyDescent="0.2">
      <c r="B97">
        <f t="shared" si="39"/>
        <v>0</v>
      </c>
      <c r="C97">
        <f t="shared" si="40"/>
        <v>0</v>
      </c>
      <c r="D97">
        <f t="shared" si="41"/>
        <v>0</v>
      </c>
      <c r="E97">
        <v>-6.9999999999999257E-2</v>
      </c>
      <c r="H97" s="13">
        <v>2</v>
      </c>
      <c r="I97" s="14">
        <v>1</v>
      </c>
      <c r="J97" s="14">
        <v>2</v>
      </c>
      <c r="K97" s="14">
        <v>3</v>
      </c>
      <c r="L97" s="14"/>
      <c r="M97" s="14"/>
      <c r="N97" s="15"/>
      <c r="O97" s="15"/>
      <c r="P97" s="15"/>
      <c r="Q97" s="15"/>
      <c r="T97" s="62" t="s">
        <v>696</v>
      </c>
      <c r="U97">
        <f t="shared" si="53"/>
        <v>0.94635294599999997</v>
      </c>
      <c r="V97">
        <f t="shared" si="54"/>
        <v>2</v>
      </c>
      <c r="W97">
        <f t="shared" si="56"/>
        <v>1</v>
      </c>
      <c r="X97" t="e">
        <f>CONVERT(1,X$1&amp;$T97,"L")</f>
        <v>#N/A</v>
      </c>
      <c r="Y97" t="e">
        <f t="shared" si="52"/>
        <v>#N/A</v>
      </c>
      <c r="Z97" t="e">
        <f t="shared" si="52"/>
        <v>#N/A</v>
      </c>
      <c r="AA97" t="e">
        <f t="shared" si="52"/>
        <v>#N/A</v>
      </c>
      <c r="AB97" t="e">
        <f t="shared" si="52"/>
        <v>#N/A</v>
      </c>
      <c r="AC97" t="e">
        <f t="shared" si="52"/>
        <v>#N/A</v>
      </c>
      <c r="AD97" t="e">
        <f t="shared" si="52"/>
        <v>#N/A</v>
      </c>
      <c r="AE97" t="e">
        <f t="shared" si="52"/>
        <v>#N/A</v>
      </c>
      <c r="AF97" t="e">
        <f t="shared" si="52"/>
        <v>#N/A</v>
      </c>
      <c r="AG97" t="e">
        <f t="shared" si="52"/>
        <v>#N/A</v>
      </c>
      <c r="AH97" t="e">
        <f t="shared" si="52"/>
        <v>#N/A</v>
      </c>
      <c r="AI97" t="e">
        <f t="shared" si="52"/>
        <v>#N/A</v>
      </c>
      <c r="AJ97" t="e">
        <f t="shared" si="52"/>
        <v>#N/A</v>
      </c>
      <c r="AK97" t="e">
        <f t="shared" si="52"/>
        <v>#N/A</v>
      </c>
      <c r="AL97" t="e">
        <f t="shared" si="52"/>
        <v>#N/A</v>
      </c>
      <c r="AM97" t="e">
        <f t="shared" si="52"/>
        <v>#N/A</v>
      </c>
      <c r="AN97" t="e">
        <f t="shared" si="52"/>
        <v>#N/A</v>
      </c>
      <c r="AO97" t="e">
        <f t="shared" si="52"/>
        <v>#N/A</v>
      </c>
      <c r="AP97" t="e">
        <f t="shared" si="52"/>
        <v>#N/A</v>
      </c>
      <c r="AQ97" t="e">
        <f t="shared" si="52"/>
        <v>#N/A</v>
      </c>
      <c r="AR97" t="e">
        <f t="shared" si="52"/>
        <v>#N/A</v>
      </c>
      <c r="BD97" t="str">
        <v/>
      </c>
      <c r="BE97" t="str">
        <v/>
      </c>
      <c r="BF97">
        <v>1</v>
      </c>
      <c r="BG97">
        <v>1</v>
      </c>
      <c r="BH97">
        <v>1</v>
      </c>
      <c r="BI97">
        <v>1</v>
      </c>
      <c r="BJ97">
        <v>2</v>
      </c>
      <c r="BK97">
        <v>2</v>
      </c>
      <c r="BM97" t="str">
        <v/>
      </c>
      <c r="BN97" t="str">
        <v/>
      </c>
      <c r="BO97">
        <v>1</v>
      </c>
      <c r="BP97">
        <v>1</v>
      </c>
      <c r="BQ97">
        <v>1</v>
      </c>
      <c r="BR97">
        <v>1</v>
      </c>
      <c r="BS97">
        <v>2</v>
      </c>
      <c r="BT97">
        <v>2</v>
      </c>
    </row>
    <row r="98" spans="2:72" x14ac:dyDescent="0.2">
      <c r="B98">
        <f t="shared" si="39"/>
        <v>0</v>
      </c>
      <c r="C98">
        <f t="shared" si="40"/>
        <v>0</v>
      </c>
      <c r="D98">
        <f t="shared" si="41"/>
        <v>0</v>
      </c>
      <c r="E98">
        <v>-5.9999999999999255E-2</v>
      </c>
      <c r="H98" s="13">
        <v>3</v>
      </c>
      <c r="I98" s="14" t="str">
        <v/>
      </c>
      <c r="J98" s="14">
        <v>3</v>
      </c>
      <c r="K98" s="14">
        <v>3</v>
      </c>
      <c r="L98" s="14"/>
      <c r="M98" s="14"/>
      <c r="N98" s="15"/>
      <c r="O98" s="15"/>
      <c r="P98" s="15"/>
      <c r="Q98" s="15"/>
      <c r="T98" s="62" t="s">
        <v>697</v>
      </c>
      <c r="U98">
        <f t="shared" si="53"/>
        <v>1.1365225000000001</v>
      </c>
      <c r="V98">
        <f t="shared" si="54"/>
        <v>2</v>
      </c>
      <c r="W98">
        <f t="shared" si="56"/>
        <v>1</v>
      </c>
      <c r="X98" t="e">
        <f>CONVERT(1,X$1&amp;$T98,"L")</f>
        <v>#N/A</v>
      </c>
      <c r="Y98" t="e">
        <f t="shared" si="52"/>
        <v>#N/A</v>
      </c>
      <c r="Z98" t="e">
        <f t="shared" si="52"/>
        <v>#N/A</v>
      </c>
      <c r="AA98" t="e">
        <f t="shared" si="52"/>
        <v>#N/A</v>
      </c>
      <c r="AB98" t="e">
        <f t="shared" si="52"/>
        <v>#N/A</v>
      </c>
      <c r="AC98" t="e">
        <f t="shared" si="52"/>
        <v>#N/A</v>
      </c>
      <c r="AD98" t="e">
        <f t="shared" si="52"/>
        <v>#N/A</v>
      </c>
      <c r="AE98" t="e">
        <f t="shared" si="52"/>
        <v>#N/A</v>
      </c>
      <c r="AF98" t="e">
        <f t="shared" si="52"/>
        <v>#N/A</v>
      </c>
      <c r="AG98" t="e">
        <f t="shared" si="52"/>
        <v>#N/A</v>
      </c>
      <c r="AH98" t="e">
        <f t="shared" si="52"/>
        <v>#N/A</v>
      </c>
      <c r="AI98" t="e">
        <f t="shared" si="52"/>
        <v>#N/A</v>
      </c>
      <c r="AJ98" t="e">
        <f t="shared" si="52"/>
        <v>#N/A</v>
      </c>
      <c r="AK98" t="e">
        <f t="shared" si="52"/>
        <v>#N/A</v>
      </c>
      <c r="AL98" t="e">
        <f t="shared" si="52"/>
        <v>#N/A</v>
      </c>
      <c r="AM98" t="e">
        <f t="shared" si="52"/>
        <v>#N/A</v>
      </c>
      <c r="AN98" t="e">
        <f t="shared" si="52"/>
        <v>#N/A</v>
      </c>
      <c r="AO98" t="e">
        <f t="shared" si="52"/>
        <v>#N/A</v>
      </c>
      <c r="AP98" t="e">
        <f t="shared" si="52"/>
        <v>#N/A</v>
      </c>
      <c r="AQ98" t="e">
        <f t="shared" si="52"/>
        <v>#N/A</v>
      </c>
      <c r="AR98" t="e">
        <f t="shared" si="52"/>
        <v>#N/A</v>
      </c>
      <c r="BD98" t="str">
        <v>r1</v>
      </c>
      <c r="BE98" t="str">
        <v>r2</v>
      </c>
      <c r="BF98" t="str">
        <v>v1</v>
      </c>
      <c r="BG98" t="str">
        <v>v2</v>
      </c>
      <c r="BH98" t="str">
        <v>v1</v>
      </c>
      <c r="BI98" t="str">
        <v>v2</v>
      </c>
      <c r="BJ98" t="str">
        <v>v1</v>
      </c>
      <c r="BK98" t="str">
        <v>v2</v>
      </c>
      <c r="BM98" t="str">
        <v>r1</v>
      </c>
      <c r="BN98" t="str">
        <v>r2</v>
      </c>
      <c r="BO98" t="str">
        <v>v1</v>
      </c>
      <c r="BP98" t="str">
        <v>v2</v>
      </c>
      <c r="BQ98" t="str">
        <v>v1</v>
      </c>
      <c r="BR98" t="str">
        <v>v2</v>
      </c>
      <c r="BS98" t="str">
        <v>v1</v>
      </c>
      <c r="BT98" t="str">
        <v>v2</v>
      </c>
    </row>
    <row r="99" spans="2:72" x14ac:dyDescent="0.2">
      <c r="B99">
        <f t="shared" si="39"/>
        <v>0</v>
      </c>
      <c r="C99">
        <f t="shared" si="40"/>
        <v>0</v>
      </c>
      <c r="D99">
        <f t="shared" si="41"/>
        <v>0</v>
      </c>
      <c r="E99">
        <v>-4.9999999999999253E-2</v>
      </c>
      <c r="H99" s="13" t="str">
        <v>Total</v>
      </c>
      <c r="I99" s="14">
        <v>1</v>
      </c>
      <c r="J99" s="14">
        <v>5</v>
      </c>
      <c r="K99" s="14">
        <v>6</v>
      </c>
      <c r="L99" s="14"/>
      <c r="M99" s="14"/>
      <c r="N99" s="15"/>
      <c r="O99" s="15"/>
      <c r="P99" s="15"/>
      <c r="Q99" s="15"/>
      <c r="T99" s="62" t="s">
        <v>698</v>
      </c>
      <c r="U99">
        <f t="shared" si="53"/>
        <v>3.7854117839999999</v>
      </c>
      <c r="V99">
        <f t="shared" si="54"/>
        <v>2</v>
      </c>
      <c r="W99">
        <f t="shared" si="56"/>
        <v>1</v>
      </c>
      <c r="X99" t="e">
        <f>CONVERT(1,X$1&amp;$T99,"L")</f>
        <v>#N/A</v>
      </c>
      <c r="Y99" t="e">
        <f t="shared" si="52"/>
        <v>#N/A</v>
      </c>
      <c r="Z99" t="e">
        <f t="shared" si="52"/>
        <v>#N/A</v>
      </c>
      <c r="AA99" t="e">
        <f t="shared" si="52"/>
        <v>#N/A</v>
      </c>
      <c r="AB99" t="e">
        <f t="shared" si="52"/>
        <v>#N/A</v>
      </c>
      <c r="AC99" t="e">
        <f t="shared" si="52"/>
        <v>#N/A</v>
      </c>
      <c r="AD99" t="e">
        <f t="shared" si="52"/>
        <v>#N/A</v>
      </c>
      <c r="AE99" t="e">
        <f t="shared" si="52"/>
        <v>#N/A</v>
      </c>
      <c r="AF99" t="e">
        <f t="shared" si="52"/>
        <v>#N/A</v>
      </c>
      <c r="AG99" t="e">
        <f t="shared" si="52"/>
        <v>#N/A</v>
      </c>
      <c r="AH99" t="e">
        <f t="shared" si="52"/>
        <v>#N/A</v>
      </c>
      <c r="AI99" t="e">
        <f t="shared" si="52"/>
        <v>#N/A</v>
      </c>
      <c r="AJ99" t="e">
        <f t="shared" si="52"/>
        <v>#N/A</v>
      </c>
      <c r="AK99" t="e">
        <f t="shared" si="52"/>
        <v>#N/A</v>
      </c>
      <c r="AL99" t="e">
        <f t="shared" si="52"/>
        <v>#N/A</v>
      </c>
      <c r="AM99" t="e">
        <f t="shared" si="52"/>
        <v>#N/A</v>
      </c>
      <c r="AN99" t="e">
        <f t="shared" si="52"/>
        <v>#N/A</v>
      </c>
      <c r="AO99" t="e">
        <f t="shared" si="52"/>
        <v>#N/A</v>
      </c>
      <c r="AP99" t="e">
        <f t="shared" si="52"/>
        <v>#N/A</v>
      </c>
      <c r="AQ99" t="e">
        <f t="shared" si="52"/>
        <v>#N/A</v>
      </c>
      <c r="AR99" t="e">
        <f t="shared" si="52"/>
        <v>#N/A</v>
      </c>
      <c r="BD99">
        <v>2</v>
      </c>
      <c r="BE99">
        <v>1</v>
      </c>
      <c r="BF99">
        <v>1</v>
      </c>
      <c r="BG99">
        <v>1</v>
      </c>
      <c r="BH99" t="str">
        <v/>
      </c>
      <c r="BI99" t="str">
        <v/>
      </c>
      <c r="BJ99" t="str">
        <v/>
      </c>
      <c r="BK99" t="str">
        <v/>
      </c>
      <c r="BM99">
        <v>2</v>
      </c>
      <c r="BN99">
        <v>1</v>
      </c>
      <c r="BO99">
        <v>1</v>
      </c>
      <c r="BP99">
        <v>1</v>
      </c>
      <c r="BQ99" t="str">
        <v/>
      </c>
      <c r="BR99" t="str">
        <v/>
      </c>
      <c r="BS99" t="str">
        <v/>
      </c>
      <c r="BT99" t="str">
        <v/>
      </c>
    </row>
    <row r="100" spans="2:72" x14ac:dyDescent="0.2">
      <c r="B100">
        <f t="shared" si="39"/>
        <v>0</v>
      </c>
      <c r="C100">
        <f t="shared" si="40"/>
        <v>0</v>
      </c>
      <c r="D100">
        <f t="shared" si="41"/>
        <v>0</v>
      </c>
      <c r="E100">
        <v>-3.9999999999999251E-2</v>
      </c>
      <c r="H100" s="13" t="str" cm="1">
        <f t="array" ref="H100:K103">_xlfn.PIVOTBY({2;2;3},{1;2;2},{1;2;3},_xleta.IF)</f>
        <v/>
      </c>
      <c r="I100" s="14">
        <v>1</v>
      </c>
      <c r="J100" s="14">
        <v>2</v>
      </c>
      <c r="K100" s="14" t="str">
        <v>Total</v>
      </c>
      <c r="L100" s="14"/>
      <c r="M100" s="14"/>
      <c r="N100" s="15" t="str" cm="1">
        <f t="array" ref="N100:Q103">_xlfn.PIVOTBY({2;2;3},{1;2;2},{1;2;3},_xleta.SUM)</f>
        <v/>
      </c>
      <c r="O100" s="15">
        <v>1</v>
      </c>
      <c r="P100" s="15">
        <v>2</v>
      </c>
      <c r="Q100" s="15" t="str">
        <v>Total</v>
      </c>
      <c r="T100" s="62" t="s">
        <v>699</v>
      </c>
      <c r="U100">
        <f t="shared" si="53"/>
        <v>4.5460900000000004</v>
      </c>
      <c r="V100">
        <f t="shared" si="54"/>
        <v>2</v>
      </c>
      <c r="W100">
        <f t="shared" si="56"/>
        <v>1</v>
      </c>
      <c r="X100" t="e">
        <f>CONVERT(1,X$1&amp;$T100,"L")</f>
        <v>#N/A</v>
      </c>
      <c r="Y100" t="e">
        <f t="shared" si="52"/>
        <v>#N/A</v>
      </c>
      <c r="Z100" t="e">
        <f t="shared" si="52"/>
        <v>#N/A</v>
      </c>
      <c r="AA100" t="e">
        <f t="shared" si="52"/>
        <v>#N/A</v>
      </c>
      <c r="AB100" t="e">
        <f t="shared" si="52"/>
        <v>#N/A</v>
      </c>
      <c r="AC100" t="e">
        <f t="shared" si="52"/>
        <v>#N/A</v>
      </c>
      <c r="AD100" t="e">
        <f t="shared" si="52"/>
        <v>#N/A</v>
      </c>
      <c r="AE100" t="e">
        <f t="shared" si="52"/>
        <v>#N/A</v>
      </c>
      <c r="AF100" t="e">
        <f t="shared" si="52"/>
        <v>#N/A</v>
      </c>
      <c r="AG100" t="e">
        <f t="shared" si="52"/>
        <v>#N/A</v>
      </c>
      <c r="AH100" t="e">
        <f t="shared" si="52"/>
        <v>#N/A</v>
      </c>
      <c r="AI100" t="e">
        <f t="shared" si="52"/>
        <v>#N/A</v>
      </c>
      <c r="AJ100" t="e">
        <f t="shared" si="52"/>
        <v>#N/A</v>
      </c>
      <c r="AK100" t="e">
        <f t="shared" si="52"/>
        <v>#N/A</v>
      </c>
      <c r="AL100" t="e">
        <f t="shared" si="52"/>
        <v>#N/A</v>
      </c>
      <c r="AM100" t="e">
        <f t="shared" si="52"/>
        <v>#N/A</v>
      </c>
      <c r="AN100" t="e">
        <f t="shared" si="52"/>
        <v>#N/A</v>
      </c>
      <c r="AO100" t="e">
        <f t="shared" si="52"/>
        <v>#N/A</v>
      </c>
      <c r="AP100" t="e">
        <f t="shared" si="52"/>
        <v>#N/A</v>
      </c>
      <c r="AQ100" t="e">
        <f t="shared" si="52"/>
        <v>#N/A</v>
      </c>
      <c r="AR100" t="e">
        <f t="shared" si="52"/>
        <v>#N/A</v>
      </c>
      <c r="BD100">
        <v>2</v>
      </c>
      <c r="BE100">
        <v>2</v>
      </c>
      <c r="BF100" t="str">
        <v/>
      </c>
      <c r="BG100" t="str">
        <v/>
      </c>
      <c r="BH100">
        <v>1</v>
      </c>
      <c r="BI100">
        <v>1</v>
      </c>
      <c r="BJ100" t="str">
        <v/>
      </c>
      <c r="BK100" t="str">
        <v/>
      </c>
      <c r="BM100">
        <v>2</v>
      </c>
      <c r="BN100">
        <v>2</v>
      </c>
      <c r="BO100" t="str">
        <v/>
      </c>
      <c r="BP100" t="str">
        <v/>
      </c>
      <c r="BQ100">
        <v>1</v>
      </c>
      <c r="BR100">
        <v>1</v>
      </c>
      <c r="BS100" t="str">
        <v/>
      </c>
      <c r="BT100" t="str">
        <v/>
      </c>
    </row>
    <row r="101" spans="2:72" x14ac:dyDescent="0.2">
      <c r="B101">
        <f t="shared" si="39"/>
        <v>0</v>
      </c>
      <c r="C101">
        <f t="shared" si="40"/>
        <v>0</v>
      </c>
      <c r="D101">
        <f t="shared" si="41"/>
        <v>0</v>
      </c>
      <c r="E101">
        <v>-2.9999999999999249E-2</v>
      </c>
      <c r="H101" s="13">
        <v>2</v>
      </c>
      <c r="I101" s="14" t="e">
        <v>#VALUE!</v>
      </c>
      <c r="J101" s="14" t="e">
        <v>#VALUE!</v>
      </c>
      <c r="K101" s="14" t="e">
        <v>#VALUE!</v>
      </c>
      <c r="L101" s="14"/>
      <c r="M101" s="14"/>
      <c r="N101" s="15">
        <v>2</v>
      </c>
      <c r="O101" s="15">
        <v>1</v>
      </c>
      <c r="P101" s="15">
        <v>2</v>
      </c>
      <c r="Q101" s="15">
        <v>3</v>
      </c>
      <c r="T101" s="62" t="s">
        <v>700</v>
      </c>
      <c r="U101">
        <f t="shared" si="53"/>
        <v>1</v>
      </c>
      <c r="V101">
        <f t="shared" si="54"/>
        <v>2</v>
      </c>
      <c r="W101">
        <f t="shared" si="56"/>
        <v>1</v>
      </c>
      <c r="Y101">
        <f t="shared" si="52"/>
        <v>1E+21</v>
      </c>
      <c r="Z101">
        <f t="shared" si="52"/>
        <v>1E+18</v>
      </c>
      <c r="AA101">
        <f t="shared" si="52"/>
        <v>1000000000000000</v>
      </c>
      <c r="AB101">
        <f t="shared" si="52"/>
        <v>1000000000000</v>
      </c>
      <c r="AC101">
        <f t="shared" si="52"/>
        <v>1000000000</v>
      </c>
      <c r="AD101">
        <f t="shared" si="52"/>
        <v>1000000</v>
      </c>
      <c r="AE101">
        <f t="shared" si="52"/>
        <v>1000</v>
      </c>
      <c r="AF101">
        <f t="shared" si="52"/>
        <v>100</v>
      </c>
      <c r="AG101">
        <f t="shared" si="52"/>
        <v>10</v>
      </c>
      <c r="AH101">
        <f t="shared" si="52"/>
        <v>10</v>
      </c>
      <c r="AI101">
        <f t="shared" si="52"/>
        <v>0.1</v>
      </c>
      <c r="AJ101">
        <f t="shared" si="52"/>
        <v>0.01</v>
      </c>
      <c r="AK101">
        <f t="shared" si="52"/>
        <v>1E-3</v>
      </c>
      <c r="AL101">
        <f t="shared" si="52"/>
        <v>9.9999999999999995E-7</v>
      </c>
      <c r="AM101">
        <f t="shared" si="52"/>
        <v>1.0000000000000001E-9</v>
      </c>
      <c r="AN101">
        <f t="shared" si="52"/>
        <v>9.9999999999999998E-13</v>
      </c>
      <c r="AO101">
        <f t="shared" si="52"/>
        <v>1.0000000000000001E-15</v>
      </c>
      <c r="AP101">
        <f t="shared" si="52"/>
        <v>1.0000000000000001E-18</v>
      </c>
      <c r="AQ101">
        <f t="shared" si="52"/>
        <v>9.9999999999999991E-22</v>
      </c>
      <c r="AR101">
        <f t="shared" si="52"/>
        <v>9.9999999999999992E-25</v>
      </c>
      <c r="BD101">
        <v>2</v>
      </c>
      <c r="BE101" t="str">
        <v/>
      </c>
      <c r="BF101">
        <v>1</v>
      </c>
      <c r="BG101">
        <v>1</v>
      </c>
      <c r="BH101">
        <v>1</v>
      </c>
      <c r="BI101">
        <v>1</v>
      </c>
      <c r="BJ101" t="str">
        <v/>
      </c>
      <c r="BK101" t="str">
        <v/>
      </c>
      <c r="BM101">
        <v>2</v>
      </c>
      <c r="BN101" t="str">
        <v/>
      </c>
      <c r="BO101">
        <v>1</v>
      </c>
      <c r="BP101">
        <v>1</v>
      </c>
      <c r="BQ101">
        <v>1</v>
      </c>
      <c r="BR101">
        <v>1</v>
      </c>
      <c r="BS101" t="str">
        <v/>
      </c>
      <c r="BT101" t="str">
        <v/>
      </c>
    </row>
    <row r="102" spans="2:72" x14ac:dyDescent="0.2">
      <c r="B102">
        <f t="shared" si="39"/>
        <v>0</v>
      </c>
      <c r="C102">
        <f t="shared" si="40"/>
        <v>0</v>
      </c>
      <c r="D102">
        <f t="shared" si="41"/>
        <v>0</v>
      </c>
      <c r="E102">
        <v>-1.9999999999999248E-2</v>
      </c>
      <c r="H102" s="13">
        <v>3</v>
      </c>
      <c r="I102" s="14" t="str">
        <v/>
      </c>
      <c r="J102" s="14" t="e">
        <v>#VALUE!</v>
      </c>
      <c r="K102" s="14" t="e">
        <v>#VALUE!</v>
      </c>
      <c r="L102" s="14"/>
      <c r="M102" s="14"/>
      <c r="N102" s="15">
        <v>3</v>
      </c>
      <c r="O102" s="15" t="str">
        <v/>
      </c>
      <c r="P102" s="15">
        <v>3</v>
      </c>
      <c r="Q102" s="15">
        <v>3</v>
      </c>
      <c r="T102" s="62" t="s">
        <v>701</v>
      </c>
      <c r="U102">
        <f t="shared" si="53"/>
        <v>1</v>
      </c>
      <c r="V102">
        <f t="shared" si="54"/>
        <v>2</v>
      </c>
      <c r="W102">
        <f t="shared" si="56"/>
        <v>1</v>
      </c>
      <c r="Y102">
        <f t="shared" si="52"/>
        <v>1E+21</v>
      </c>
      <c r="Z102">
        <f t="shared" si="52"/>
        <v>1E+18</v>
      </c>
      <c r="AA102">
        <f t="shared" si="52"/>
        <v>1000000000000000</v>
      </c>
      <c r="AB102">
        <f t="shared" si="52"/>
        <v>1000000000000</v>
      </c>
      <c r="AC102">
        <f t="shared" si="52"/>
        <v>1000000000</v>
      </c>
      <c r="AD102">
        <f t="shared" si="52"/>
        <v>1000000</v>
      </c>
      <c r="AE102">
        <f t="shared" si="52"/>
        <v>1000</v>
      </c>
      <c r="AF102">
        <f t="shared" si="52"/>
        <v>100</v>
      </c>
      <c r="AG102">
        <f t="shared" si="52"/>
        <v>10</v>
      </c>
      <c r="AH102">
        <f t="shared" si="52"/>
        <v>10</v>
      </c>
      <c r="AI102">
        <f t="shared" ref="Y102:AR113" si="57">CONVERT(1,AI$1&amp;$T102,"L")</f>
        <v>0.1</v>
      </c>
      <c r="AJ102">
        <f t="shared" si="57"/>
        <v>0.01</v>
      </c>
      <c r="AK102">
        <f t="shared" si="57"/>
        <v>1E-3</v>
      </c>
      <c r="AL102">
        <f t="shared" si="57"/>
        <v>9.9999999999999995E-7</v>
      </c>
      <c r="AM102">
        <f t="shared" si="57"/>
        <v>1.0000000000000001E-9</v>
      </c>
      <c r="AN102">
        <f t="shared" si="57"/>
        <v>9.9999999999999998E-13</v>
      </c>
      <c r="AO102">
        <f t="shared" si="57"/>
        <v>1.0000000000000001E-15</v>
      </c>
      <c r="AP102">
        <f t="shared" si="57"/>
        <v>1.0000000000000001E-18</v>
      </c>
      <c r="AQ102">
        <f t="shared" si="57"/>
        <v>9.9999999999999991E-22</v>
      </c>
      <c r="AR102">
        <f t="shared" si="57"/>
        <v>9.9999999999999992E-25</v>
      </c>
      <c r="BD102">
        <v>3</v>
      </c>
      <c r="BE102">
        <v>1</v>
      </c>
      <c r="BF102" t="str">
        <v/>
      </c>
      <c r="BG102" t="str">
        <v/>
      </c>
      <c r="BH102" t="str">
        <v/>
      </c>
      <c r="BI102" t="str">
        <v/>
      </c>
      <c r="BJ102">
        <v>1</v>
      </c>
      <c r="BK102">
        <v>1</v>
      </c>
      <c r="BM102">
        <v>3</v>
      </c>
      <c r="BN102">
        <v>1</v>
      </c>
      <c r="BO102" t="str">
        <v/>
      </c>
      <c r="BP102" t="str">
        <v/>
      </c>
      <c r="BQ102" t="str">
        <v/>
      </c>
      <c r="BR102" t="str">
        <v/>
      </c>
      <c r="BS102">
        <v>1</v>
      </c>
      <c r="BT102">
        <v>1</v>
      </c>
    </row>
    <row r="103" spans="2:72" x14ac:dyDescent="0.2">
      <c r="B103">
        <f t="shared" si="39"/>
        <v>0</v>
      </c>
      <c r="C103">
        <f t="shared" si="40"/>
        <v>0</v>
      </c>
      <c r="D103">
        <f t="shared" si="41"/>
        <v>0</v>
      </c>
      <c r="E103">
        <v>-9.9999999999992473E-3</v>
      </c>
      <c r="H103" s="13" t="str">
        <v>Total</v>
      </c>
      <c r="I103" s="14" t="e">
        <v>#VALUE!</v>
      </c>
      <c r="J103" s="14" t="e">
        <v>#VALUE!</v>
      </c>
      <c r="K103" s="14" t="e">
        <v>#VALUE!</v>
      </c>
      <c r="L103" s="14"/>
      <c r="M103" s="14"/>
      <c r="N103" s="15" t="str">
        <v>Total</v>
      </c>
      <c r="O103" s="15">
        <v>1</v>
      </c>
      <c r="P103" s="15">
        <v>5</v>
      </c>
      <c r="Q103" s="15">
        <v>6</v>
      </c>
      <c r="T103" s="62" t="s">
        <v>702</v>
      </c>
      <c r="U103">
        <f t="shared" si="53"/>
        <v>1</v>
      </c>
      <c r="V103">
        <f t="shared" si="54"/>
        <v>2</v>
      </c>
      <c r="W103">
        <f t="shared" si="56"/>
        <v>1</v>
      </c>
      <c r="Y103">
        <f t="shared" si="57"/>
        <v>1E+21</v>
      </c>
      <c r="Z103">
        <f t="shared" si="57"/>
        <v>1E+18</v>
      </c>
      <c r="AA103">
        <f t="shared" si="57"/>
        <v>1000000000000000</v>
      </c>
      <c r="AB103">
        <f t="shared" si="57"/>
        <v>1000000000000</v>
      </c>
      <c r="AC103">
        <f t="shared" si="57"/>
        <v>1000000000</v>
      </c>
      <c r="AD103">
        <f t="shared" si="57"/>
        <v>1000000</v>
      </c>
      <c r="AE103">
        <f t="shared" si="57"/>
        <v>1000</v>
      </c>
      <c r="AF103">
        <f t="shared" si="57"/>
        <v>100</v>
      </c>
      <c r="AG103">
        <f t="shared" si="57"/>
        <v>10</v>
      </c>
      <c r="AH103">
        <f t="shared" si="57"/>
        <v>10</v>
      </c>
      <c r="AI103">
        <f t="shared" si="57"/>
        <v>0.1</v>
      </c>
      <c r="AJ103">
        <f t="shared" si="57"/>
        <v>0.01</v>
      </c>
      <c r="AK103">
        <f t="shared" si="57"/>
        <v>1E-3</v>
      </c>
      <c r="AL103">
        <f t="shared" si="57"/>
        <v>9.9999999999999995E-7</v>
      </c>
      <c r="AM103">
        <f t="shared" si="57"/>
        <v>1.0000000000000001E-9</v>
      </c>
      <c r="AN103">
        <f t="shared" si="57"/>
        <v>9.9999999999999998E-13</v>
      </c>
      <c r="AO103">
        <f t="shared" si="57"/>
        <v>1.0000000000000001E-15</v>
      </c>
      <c r="AP103">
        <f t="shared" si="57"/>
        <v>1.0000000000000001E-18</v>
      </c>
      <c r="AQ103">
        <f t="shared" si="57"/>
        <v>9.9999999999999991E-22</v>
      </c>
      <c r="AR103">
        <f t="shared" si="57"/>
        <v>9.9999999999999992E-25</v>
      </c>
      <c r="BD103">
        <v>3</v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>
        <v>1</v>
      </c>
      <c r="BK103">
        <v>1</v>
      </c>
      <c r="BM103">
        <v>3</v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>
        <v>1</v>
      </c>
      <c r="BT103">
        <v>1</v>
      </c>
    </row>
    <row r="104" spans="2:72" x14ac:dyDescent="0.2">
      <c r="B104">
        <f t="shared" si="39"/>
        <v>0</v>
      </c>
      <c r="C104">
        <f t="shared" si="40"/>
        <v>0</v>
      </c>
      <c r="D104">
        <f t="shared" si="41"/>
        <v>0</v>
      </c>
      <c r="E104">
        <v>7.5286998857393428E-16</v>
      </c>
      <c r="T104" s="62" t="s">
        <v>703</v>
      </c>
      <c r="U104">
        <f>CONVERT(1,T104,"L")</f>
        <v>1E-27</v>
      </c>
      <c r="V104">
        <f t="shared" si="54"/>
        <v>2</v>
      </c>
      <c r="W104">
        <f t="shared" si="56"/>
        <v>1</v>
      </c>
      <c r="AA104">
        <f>CONVERT(1,"Pang3","L")</f>
        <v>1E+18</v>
      </c>
      <c r="AB104">
        <f t="shared" si="57"/>
        <v>1000000000.0000001</v>
      </c>
      <c r="AC104">
        <f t="shared" si="57"/>
        <v>1</v>
      </c>
      <c r="AD104">
        <f t="shared" si="57"/>
        <v>1.0000000000000001E-9</v>
      </c>
      <c r="AE104">
        <f t="shared" si="57"/>
        <v>1.0000000000000001E-18</v>
      </c>
      <c r="AF104">
        <f t="shared" si="57"/>
        <v>1.0000000000000001E-21</v>
      </c>
      <c r="AG104">
        <f t="shared" si="57"/>
        <v>1.0000000000000001E-24</v>
      </c>
      <c r="AH104">
        <f t="shared" si="57"/>
        <v>1.0000000000000001E-24</v>
      </c>
      <c r="AI104">
        <f t="shared" si="57"/>
        <v>1.0000000000000001E-30</v>
      </c>
      <c r="AJ104">
        <f t="shared" si="57"/>
        <v>1.0000000000000001E-33</v>
      </c>
      <c r="AK104">
        <f t="shared" si="57"/>
        <v>1.0000000000000001E-36</v>
      </c>
      <c r="AL104">
        <f t="shared" si="57"/>
        <v>1.0000000000000001E-45</v>
      </c>
      <c r="AM104">
        <f t="shared" si="57"/>
        <v>1E-54</v>
      </c>
      <c r="AN104">
        <f t="shared" si="57"/>
        <v>9.9999999999999993E-64</v>
      </c>
      <c r="AO104">
        <f t="shared" si="57"/>
        <v>9.9999999999999997E-73</v>
      </c>
      <c r="AP104">
        <f t="shared" si="57"/>
        <v>1.0000000000000001E-81</v>
      </c>
      <c r="AQ104">
        <f t="shared" si="57"/>
        <v>1.0000000000000002E-90</v>
      </c>
      <c r="AR104">
        <f t="shared" si="57"/>
        <v>1E-99</v>
      </c>
      <c r="BD104" t="str">
        <v>Grand Total</v>
      </c>
      <c r="BE104" t="str">
        <v/>
      </c>
      <c r="BF104">
        <v>1</v>
      </c>
      <c r="BG104">
        <v>1</v>
      </c>
      <c r="BH104">
        <v>0.4</v>
      </c>
      <c r="BI104">
        <v>0.7142857142857143</v>
      </c>
      <c r="BJ104">
        <v>0.6</v>
      </c>
      <c r="BK104">
        <v>0.2857142857142857</v>
      </c>
      <c r="BM104" t="str">
        <v>Grand Total</v>
      </c>
      <c r="BN104" t="str">
        <v/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</row>
    <row r="105" spans="2:72" x14ac:dyDescent="0.2">
      <c r="B105">
        <f t="shared" si="39"/>
        <v>0</v>
      </c>
      <c r="C105">
        <f t="shared" si="40"/>
        <v>0</v>
      </c>
      <c r="D105">
        <f t="shared" si="41"/>
        <v>0</v>
      </c>
      <c r="E105">
        <v>1.0000000000000753E-2</v>
      </c>
      <c r="T105" s="62" t="s">
        <v>717</v>
      </c>
      <c r="U105">
        <f t="shared" si="53"/>
        <v>1E-27</v>
      </c>
      <c r="V105">
        <f t="shared" si="54"/>
        <v>2</v>
      </c>
      <c r="W105">
        <f t="shared" si="56"/>
        <v>1</v>
      </c>
      <c r="AA105">
        <f t="shared" si="57"/>
        <v>1E+18</v>
      </c>
      <c r="AB105">
        <f>CONVERT(1,AB$1&amp;$T105,"L")</f>
        <v>1000000000.0000001</v>
      </c>
      <c r="AC105">
        <f t="shared" si="57"/>
        <v>1</v>
      </c>
      <c r="AD105">
        <f t="shared" si="57"/>
        <v>1.0000000000000001E-9</v>
      </c>
      <c r="AE105">
        <f t="shared" si="57"/>
        <v>1.0000000000000001E-18</v>
      </c>
      <c r="AF105">
        <f t="shared" si="57"/>
        <v>1.0000000000000001E-21</v>
      </c>
      <c r="AG105">
        <f t="shared" si="57"/>
        <v>1.0000000000000001E-24</v>
      </c>
      <c r="AH105">
        <f t="shared" si="57"/>
        <v>1.0000000000000001E-24</v>
      </c>
      <c r="AI105">
        <f t="shared" si="57"/>
        <v>1.0000000000000001E-30</v>
      </c>
      <c r="AJ105">
        <f t="shared" si="57"/>
        <v>1.0000000000000001E-33</v>
      </c>
      <c r="AK105">
        <f t="shared" si="57"/>
        <v>1.0000000000000001E-36</v>
      </c>
      <c r="AL105">
        <f t="shared" si="57"/>
        <v>1.0000000000000001E-45</v>
      </c>
      <c r="AM105">
        <f t="shared" si="57"/>
        <v>1E-54</v>
      </c>
      <c r="AN105">
        <f t="shared" si="57"/>
        <v>9.9999999999999993E-64</v>
      </c>
      <c r="AO105">
        <f t="shared" si="57"/>
        <v>9.9999999999999997E-73</v>
      </c>
      <c r="AP105">
        <f t="shared" si="57"/>
        <v>1.0000000000000001E-81</v>
      </c>
      <c r="AQ105">
        <f t="shared" si="57"/>
        <v>1.0000000000000002E-90</v>
      </c>
      <c r="AR105">
        <f t="shared" si="57"/>
        <v>1E-99</v>
      </c>
    </row>
    <row r="106" spans="2:72" x14ac:dyDescent="0.2">
      <c r="B106">
        <f t="shared" si="39"/>
        <v>0</v>
      </c>
      <c r="C106">
        <f t="shared" si="40"/>
        <v>0</v>
      </c>
      <c r="D106">
        <f t="shared" si="41"/>
        <v>0</v>
      </c>
      <c r="E106">
        <v>2.0000000000000753E-2</v>
      </c>
      <c r="T106" s="62" t="s">
        <v>704</v>
      </c>
      <c r="U106">
        <f t="shared" si="53"/>
        <v>158.98729492800001</v>
      </c>
      <c r="V106">
        <f t="shared" si="54"/>
        <v>2</v>
      </c>
      <c r="W106">
        <f t="shared" si="56"/>
        <v>1</v>
      </c>
      <c r="X106" t="e">
        <f t="shared" ref="X106:X113" si="58">CONVERT(1,X$1&amp;$T106,"L")</f>
        <v>#N/A</v>
      </c>
      <c r="Y106" t="e">
        <f t="shared" si="57"/>
        <v>#N/A</v>
      </c>
      <c r="Z106" t="e">
        <f t="shared" si="57"/>
        <v>#N/A</v>
      </c>
      <c r="AA106" t="e">
        <f t="shared" si="57"/>
        <v>#N/A</v>
      </c>
      <c r="AB106" t="e">
        <f t="shared" si="57"/>
        <v>#N/A</v>
      </c>
      <c r="AC106" t="e">
        <f t="shared" si="57"/>
        <v>#N/A</v>
      </c>
      <c r="AD106" t="e">
        <f t="shared" si="57"/>
        <v>#N/A</v>
      </c>
      <c r="AE106" t="e">
        <f t="shared" si="57"/>
        <v>#N/A</v>
      </c>
      <c r="AF106" t="e">
        <f t="shared" si="57"/>
        <v>#N/A</v>
      </c>
      <c r="AG106" t="e">
        <f t="shared" si="57"/>
        <v>#N/A</v>
      </c>
      <c r="AH106" t="e">
        <f t="shared" si="57"/>
        <v>#N/A</v>
      </c>
      <c r="AI106" t="e">
        <f t="shared" si="57"/>
        <v>#N/A</v>
      </c>
      <c r="AJ106" t="e">
        <f t="shared" si="57"/>
        <v>#N/A</v>
      </c>
      <c r="AK106" t="e">
        <f t="shared" si="57"/>
        <v>#N/A</v>
      </c>
      <c r="AL106" t="e">
        <f t="shared" si="57"/>
        <v>#N/A</v>
      </c>
      <c r="AM106" t="e">
        <f t="shared" si="57"/>
        <v>#N/A</v>
      </c>
      <c r="AN106" t="e">
        <f t="shared" si="57"/>
        <v>#N/A</v>
      </c>
      <c r="AO106" t="e">
        <f t="shared" si="57"/>
        <v>#N/A</v>
      </c>
      <c r="AP106" t="e">
        <f t="shared" si="57"/>
        <v>#N/A</v>
      </c>
      <c r="AQ106" t="e">
        <f t="shared" si="57"/>
        <v>#N/A</v>
      </c>
      <c r="AR106" t="e">
        <f t="shared" si="57"/>
        <v>#N/A</v>
      </c>
    </row>
    <row r="107" spans="2:72" x14ac:dyDescent="0.2">
      <c r="B107">
        <f t="shared" si="39"/>
        <v>0</v>
      </c>
      <c r="C107">
        <f t="shared" si="40"/>
        <v>0</v>
      </c>
      <c r="D107">
        <f t="shared" si="41"/>
        <v>0</v>
      </c>
      <c r="E107">
        <v>3.0000000000000755E-2</v>
      </c>
      <c r="T107" s="62" t="s">
        <v>705</v>
      </c>
      <c r="U107">
        <f t="shared" si="53"/>
        <v>35.239070166879998</v>
      </c>
      <c r="V107">
        <f t="shared" si="54"/>
        <v>2</v>
      </c>
      <c r="W107">
        <f t="shared" si="56"/>
        <v>1</v>
      </c>
      <c r="X107" t="e">
        <f t="shared" si="58"/>
        <v>#N/A</v>
      </c>
      <c r="Y107" t="e">
        <f t="shared" si="57"/>
        <v>#N/A</v>
      </c>
      <c r="Z107" t="e">
        <f t="shared" si="57"/>
        <v>#N/A</v>
      </c>
      <c r="AA107" t="e">
        <f t="shared" si="57"/>
        <v>#N/A</v>
      </c>
      <c r="AB107" t="e">
        <f t="shared" si="57"/>
        <v>#N/A</v>
      </c>
      <c r="AC107" t="e">
        <f t="shared" si="57"/>
        <v>#N/A</v>
      </c>
      <c r="AD107" t="e">
        <f t="shared" si="57"/>
        <v>#N/A</v>
      </c>
      <c r="AE107" t="e">
        <f t="shared" si="57"/>
        <v>#N/A</v>
      </c>
      <c r="AF107" t="e">
        <f t="shared" si="57"/>
        <v>#N/A</v>
      </c>
      <c r="AG107" t="e">
        <f t="shared" si="57"/>
        <v>#N/A</v>
      </c>
      <c r="AH107" t="e">
        <f t="shared" si="57"/>
        <v>#N/A</v>
      </c>
      <c r="AI107" t="e">
        <f t="shared" si="57"/>
        <v>#N/A</v>
      </c>
      <c r="AJ107" t="e">
        <f t="shared" si="57"/>
        <v>#N/A</v>
      </c>
      <c r="AK107" t="e">
        <f t="shared" si="57"/>
        <v>#N/A</v>
      </c>
      <c r="AL107" t="e">
        <f t="shared" si="57"/>
        <v>#N/A</v>
      </c>
      <c r="AM107" t="e">
        <f t="shared" si="57"/>
        <v>#N/A</v>
      </c>
      <c r="AN107" t="e">
        <f t="shared" si="57"/>
        <v>#N/A</v>
      </c>
      <c r="AO107" t="e">
        <f t="shared" si="57"/>
        <v>#N/A</v>
      </c>
      <c r="AP107" t="e">
        <f t="shared" si="57"/>
        <v>#N/A</v>
      </c>
      <c r="AQ107" t="e">
        <f t="shared" si="57"/>
        <v>#N/A</v>
      </c>
      <c r="AR107" t="e">
        <f t="shared" si="57"/>
        <v>#N/A</v>
      </c>
    </row>
    <row r="108" spans="2:72" x14ac:dyDescent="0.2">
      <c r="B108">
        <f t="shared" si="39"/>
        <v>0</v>
      </c>
      <c r="C108">
        <f t="shared" si="40"/>
        <v>0</v>
      </c>
      <c r="D108">
        <f t="shared" si="41"/>
        <v>0</v>
      </c>
      <c r="E108">
        <v>4.0000000000000757E-2</v>
      </c>
      <c r="T108" s="62" t="s">
        <v>706</v>
      </c>
      <c r="U108">
        <f t="shared" si="53"/>
        <v>28.316846592000001</v>
      </c>
      <c r="V108">
        <f t="shared" si="54"/>
        <v>2</v>
      </c>
      <c r="W108">
        <f t="shared" si="56"/>
        <v>1</v>
      </c>
      <c r="X108" t="e">
        <f t="shared" si="58"/>
        <v>#N/A</v>
      </c>
      <c r="Y108" t="e">
        <f t="shared" si="57"/>
        <v>#N/A</v>
      </c>
      <c r="Z108" t="e">
        <f t="shared" si="57"/>
        <v>#N/A</v>
      </c>
      <c r="AA108" t="e">
        <f t="shared" si="57"/>
        <v>#N/A</v>
      </c>
      <c r="AB108" t="e">
        <f t="shared" si="57"/>
        <v>#N/A</v>
      </c>
      <c r="AC108" t="e">
        <f t="shared" si="57"/>
        <v>#N/A</v>
      </c>
      <c r="AD108" t="e">
        <f t="shared" si="57"/>
        <v>#N/A</v>
      </c>
      <c r="AE108" t="e">
        <f t="shared" si="57"/>
        <v>#N/A</v>
      </c>
      <c r="AF108" t="e">
        <f t="shared" si="57"/>
        <v>#N/A</v>
      </c>
      <c r="AG108" t="e">
        <f t="shared" si="57"/>
        <v>#N/A</v>
      </c>
      <c r="AH108" t="e">
        <f t="shared" si="57"/>
        <v>#N/A</v>
      </c>
      <c r="AI108" t="e">
        <f t="shared" si="57"/>
        <v>#N/A</v>
      </c>
      <c r="AJ108" t="e">
        <f t="shared" si="57"/>
        <v>#N/A</v>
      </c>
      <c r="AK108" t="e">
        <f t="shared" si="57"/>
        <v>#N/A</v>
      </c>
      <c r="AL108" t="e">
        <f t="shared" si="57"/>
        <v>#N/A</v>
      </c>
      <c r="AM108" t="e">
        <f t="shared" si="57"/>
        <v>#N/A</v>
      </c>
      <c r="AN108" t="e">
        <f t="shared" si="57"/>
        <v>#N/A</v>
      </c>
      <c r="AO108" t="e">
        <f t="shared" si="57"/>
        <v>#N/A</v>
      </c>
      <c r="AP108" t="e">
        <f t="shared" si="57"/>
        <v>#N/A</v>
      </c>
      <c r="AQ108" t="e">
        <f t="shared" si="57"/>
        <v>#N/A</v>
      </c>
      <c r="AR108" t="e">
        <f t="shared" si="57"/>
        <v>#N/A</v>
      </c>
    </row>
    <row r="109" spans="2:72" x14ac:dyDescent="0.2">
      <c r="B109">
        <f t="shared" si="39"/>
        <v>0</v>
      </c>
      <c r="C109">
        <f t="shared" si="40"/>
        <v>0</v>
      </c>
      <c r="D109">
        <f t="shared" si="41"/>
        <v>0</v>
      </c>
      <c r="E109">
        <v>5.0000000000000759E-2</v>
      </c>
      <c r="T109" s="62" t="s">
        <v>718</v>
      </c>
      <c r="U109">
        <f t="shared" si="53"/>
        <v>28.316846592000001</v>
      </c>
      <c r="V109">
        <f t="shared" si="54"/>
        <v>2</v>
      </c>
      <c r="W109">
        <f t="shared" si="56"/>
        <v>1</v>
      </c>
      <c r="X109" t="e">
        <f t="shared" si="58"/>
        <v>#N/A</v>
      </c>
      <c r="Y109" t="e">
        <f t="shared" si="57"/>
        <v>#N/A</v>
      </c>
      <c r="Z109" t="e">
        <f t="shared" si="57"/>
        <v>#N/A</v>
      </c>
      <c r="AA109" t="e">
        <f t="shared" si="57"/>
        <v>#N/A</v>
      </c>
      <c r="AB109" t="e">
        <f t="shared" si="57"/>
        <v>#N/A</v>
      </c>
      <c r="AC109" t="e">
        <f t="shared" si="57"/>
        <v>#N/A</v>
      </c>
      <c r="AD109" t="e">
        <f t="shared" si="57"/>
        <v>#N/A</v>
      </c>
      <c r="AE109" t="e">
        <f t="shared" si="57"/>
        <v>#N/A</v>
      </c>
      <c r="AF109" t="e">
        <f t="shared" si="57"/>
        <v>#N/A</v>
      </c>
      <c r="AG109" t="e">
        <f t="shared" si="57"/>
        <v>#N/A</v>
      </c>
      <c r="AH109" t="e">
        <f t="shared" si="57"/>
        <v>#N/A</v>
      </c>
      <c r="AI109" t="e">
        <f t="shared" si="57"/>
        <v>#N/A</v>
      </c>
      <c r="AJ109" t="e">
        <f t="shared" si="57"/>
        <v>#N/A</v>
      </c>
      <c r="AK109" t="e">
        <f t="shared" si="57"/>
        <v>#N/A</v>
      </c>
      <c r="AL109" t="e">
        <f t="shared" si="57"/>
        <v>#N/A</v>
      </c>
      <c r="AM109" t="e">
        <f t="shared" si="57"/>
        <v>#N/A</v>
      </c>
      <c r="AN109" t="e">
        <f t="shared" si="57"/>
        <v>#N/A</v>
      </c>
      <c r="AO109" t="e">
        <f t="shared" si="57"/>
        <v>#N/A</v>
      </c>
      <c r="AP109" t="e">
        <f t="shared" si="57"/>
        <v>#N/A</v>
      </c>
      <c r="AQ109" t="e">
        <f t="shared" si="57"/>
        <v>#N/A</v>
      </c>
      <c r="AR109" t="e">
        <f t="shared" si="57"/>
        <v>#N/A</v>
      </c>
    </row>
    <row r="110" spans="2:72" x14ac:dyDescent="0.2">
      <c r="B110">
        <f t="shared" si="39"/>
        <v>0</v>
      </c>
      <c r="C110">
        <f t="shared" si="40"/>
        <v>0</v>
      </c>
      <c r="D110">
        <f t="shared" si="41"/>
        <v>0</v>
      </c>
      <c r="E110">
        <v>6.0000000000000761E-2</v>
      </c>
      <c r="T110" s="62" t="s">
        <v>707</v>
      </c>
      <c r="U110">
        <f t="shared" si="53"/>
        <v>1.6387064E-2</v>
      </c>
      <c r="V110">
        <f t="shared" si="54"/>
        <v>2</v>
      </c>
      <c r="W110">
        <f t="shared" si="56"/>
        <v>1</v>
      </c>
      <c r="X110" t="e">
        <f t="shared" si="58"/>
        <v>#N/A</v>
      </c>
      <c r="Y110" t="e">
        <f t="shared" si="57"/>
        <v>#N/A</v>
      </c>
      <c r="Z110" t="e">
        <f t="shared" si="57"/>
        <v>#N/A</v>
      </c>
      <c r="AA110" t="e">
        <f t="shared" si="57"/>
        <v>#N/A</v>
      </c>
      <c r="AB110" t="e">
        <f t="shared" si="57"/>
        <v>#N/A</v>
      </c>
      <c r="AC110" t="e">
        <f t="shared" si="57"/>
        <v>#N/A</v>
      </c>
      <c r="AD110" t="e">
        <f t="shared" si="57"/>
        <v>#N/A</v>
      </c>
      <c r="AE110" t="e">
        <f t="shared" si="57"/>
        <v>#N/A</v>
      </c>
      <c r="AF110" t="e">
        <f t="shared" si="57"/>
        <v>#N/A</v>
      </c>
      <c r="AG110" t="e">
        <f t="shared" si="57"/>
        <v>#N/A</v>
      </c>
      <c r="AH110" t="e">
        <f t="shared" si="57"/>
        <v>#N/A</v>
      </c>
      <c r="AI110" t="e">
        <f t="shared" si="57"/>
        <v>#N/A</v>
      </c>
      <c r="AJ110" t="e">
        <f t="shared" si="57"/>
        <v>#N/A</v>
      </c>
      <c r="AK110" t="e">
        <f t="shared" si="57"/>
        <v>#N/A</v>
      </c>
      <c r="AL110" t="e">
        <f t="shared" si="57"/>
        <v>#N/A</v>
      </c>
      <c r="AM110" t="e">
        <f t="shared" si="57"/>
        <v>#N/A</v>
      </c>
      <c r="AN110" t="e">
        <f t="shared" si="57"/>
        <v>#N/A</v>
      </c>
      <c r="AO110" t="e">
        <f t="shared" si="57"/>
        <v>#N/A</v>
      </c>
      <c r="AP110" t="e">
        <f t="shared" si="57"/>
        <v>#N/A</v>
      </c>
      <c r="AQ110" t="e">
        <f t="shared" si="57"/>
        <v>#N/A</v>
      </c>
      <c r="AR110" t="e">
        <f t="shared" si="57"/>
        <v>#N/A</v>
      </c>
    </row>
    <row r="111" spans="2:72" x14ac:dyDescent="0.2">
      <c r="B111">
        <f t="shared" si="39"/>
        <v>0</v>
      </c>
      <c r="C111">
        <f t="shared" si="40"/>
        <v>0</v>
      </c>
      <c r="D111">
        <f t="shared" si="41"/>
        <v>0</v>
      </c>
      <c r="E111">
        <v>7.0000000000000756E-2</v>
      </c>
      <c r="T111" s="67" t="s">
        <v>719</v>
      </c>
      <c r="U111">
        <f t="shared" si="53"/>
        <v>1.6387064E-2</v>
      </c>
      <c r="V111">
        <f t="shared" si="54"/>
        <v>2</v>
      </c>
      <c r="W111">
        <f t="shared" si="56"/>
        <v>1</v>
      </c>
      <c r="X111" t="e">
        <f t="shared" si="58"/>
        <v>#N/A</v>
      </c>
      <c r="Y111" t="e">
        <f t="shared" si="57"/>
        <v>#N/A</v>
      </c>
      <c r="Z111" t="e">
        <f t="shared" si="57"/>
        <v>#N/A</v>
      </c>
      <c r="AA111" t="e">
        <f t="shared" si="57"/>
        <v>#N/A</v>
      </c>
      <c r="AB111" t="e">
        <f t="shared" si="57"/>
        <v>#N/A</v>
      </c>
      <c r="AC111" t="e">
        <f t="shared" si="57"/>
        <v>#N/A</v>
      </c>
      <c r="AD111" t="e">
        <f t="shared" si="57"/>
        <v>#N/A</v>
      </c>
      <c r="AE111" t="e">
        <f t="shared" si="57"/>
        <v>#N/A</v>
      </c>
      <c r="AF111" t="e">
        <f t="shared" si="57"/>
        <v>#N/A</v>
      </c>
      <c r="AG111" t="e">
        <f t="shared" si="57"/>
        <v>#N/A</v>
      </c>
      <c r="AH111" t="e">
        <f t="shared" si="57"/>
        <v>#N/A</v>
      </c>
      <c r="AI111" t="e">
        <f t="shared" si="57"/>
        <v>#N/A</v>
      </c>
      <c r="AJ111" t="e">
        <f t="shared" si="57"/>
        <v>#N/A</v>
      </c>
      <c r="AK111" t="e">
        <f t="shared" si="57"/>
        <v>#N/A</v>
      </c>
      <c r="AL111" t="e">
        <f t="shared" si="57"/>
        <v>#N/A</v>
      </c>
      <c r="AM111" t="e">
        <f t="shared" si="57"/>
        <v>#N/A</v>
      </c>
      <c r="AN111" t="e">
        <f t="shared" si="57"/>
        <v>#N/A</v>
      </c>
      <c r="AO111" t="e">
        <f t="shared" si="57"/>
        <v>#N/A</v>
      </c>
      <c r="AP111" t="e">
        <f t="shared" si="57"/>
        <v>#N/A</v>
      </c>
      <c r="AQ111" t="e">
        <f t="shared" si="57"/>
        <v>#N/A</v>
      </c>
      <c r="AR111" t="e">
        <f t="shared" si="57"/>
        <v>#N/A</v>
      </c>
    </row>
    <row r="112" spans="2:72" x14ac:dyDescent="0.2">
      <c r="B112">
        <f t="shared" si="39"/>
        <v>0</v>
      </c>
      <c r="C112">
        <f t="shared" si="40"/>
        <v>0</v>
      </c>
      <c r="D112">
        <f t="shared" si="41"/>
        <v>0</v>
      </c>
      <c r="E112">
        <v>8.0000000000000751E-2</v>
      </c>
      <c r="T112" s="62" t="s">
        <v>708</v>
      </c>
      <c r="U112" s="69">
        <f>CONVERT(1,T112,"L")</f>
        <v>8.4678666462371522E+50</v>
      </c>
      <c r="V112">
        <f t="shared" si="54"/>
        <v>2</v>
      </c>
      <c r="W112">
        <f t="shared" si="56"/>
        <v>1</v>
      </c>
      <c r="X112" t="e">
        <f t="shared" si="58"/>
        <v>#N/A</v>
      </c>
      <c r="Y112" t="e">
        <f t="shared" si="57"/>
        <v>#N/A</v>
      </c>
      <c r="Z112" t="e">
        <f t="shared" si="57"/>
        <v>#N/A</v>
      </c>
      <c r="AA112" t="e">
        <f t="shared" si="57"/>
        <v>#N/A</v>
      </c>
      <c r="AB112" t="e">
        <f t="shared" si="57"/>
        <v>#N/A</v>
      </c>
      <c r="AC112" t="e">
        <f t="shared" si="57"/>
        <v>#N/A</v>
      </c>
      <c r="AD112" t="e">
        <f t="shared" si="57"/>
        <v>#N/A</v>
      </c>
      <c r="AE112" t="e">
        <f t="shared" si="57"/>
        <v>#N/A</v>
      </c>
      <c r="AF112" t="e">
        <f t="shared" si="57"/>
        <v>#N/A</v>
      </c>
      <c r="AG112" t="e">
        <f t="shared" si="57"/>
        <v>#N/A</v>
      </c>
      <c r="AH112" t="e">
        <f t="shared" si="57"/>
        <v>#N/A</v>
      </c>
      <c r="AI112" t="e">
        <f t="shared" si="57"/>
        <v>#N/A</v>
      </c>
      <c r="AJ112" t="e">
        <f t="shared" si="57"/>
        <v>#N/A</v>
      </c>
      <c r="AK112" t="e">
        <f t="shared" si="57"/>
        <v>#N/A</v>
      </c>
      <c r="AL112" t="e">
        <f t="shared" si="57"/>
        <v>#N/A</v>
      </c>
      <c r="AM112" t="e">
        <f t="shared" si="57"/>
        <v>#N/A</v>
      </c>
      <c r="AN112" t="e">
        <f t="shared" si="57"/>
        <v>#N/A</v>
      </c>
      <c r="AO112" t="e">
        <f t="shared" si="57"/>
        <v>#N/A</v>
      </c>
      <c r="AP112" t="e">
        <f t="shared" si="57"/>
        <v>#N/A</v>
      </c>
      <c r="AQ112" t="e">
        <f t="shared" si="57"/>
        <v>#N/A</v>
      </c>
      <c r="AR112" t="e">
        <f t="shared" si="57"/>
        <v>#N/A</v>
      </c>
    </row>
    <row r="113" spans="2:44" x14ac:dyDescent="0.2">
      <c r="B113">
        <f t="shared" si="39"/>
        <v>0</v>
      </c>
      <c r="C113">
        <f t="shared" si="40"/>
        <v>0</v>
      </c>
      <c r="D113">
        <f t="shared" si="41"/>
        <v>0</v>
      </c>
      <c r="E113">
        <v>9.0000000000000746E-2</v>
      </c>
      <c r="T113" s="62" t="s">
        <v>720</v>
      </c>
      <c r="U113">
        <f t="shared" si="53"/>
        <v>8.4678666462371522E+50</v>
      </c>
      <c r="V113">
        <f t="shared" si="54"/>
        <v>2</v>
      </c>
      <c r="W113">
        <f t="shared" si="56"/>
        <v>1</v>
      </c>
      <c r="X113" t="e">
        <f t="shared" si="58"/>
        <v>#N/A</v>
      </c>
      <c r="Y113" t="e">
        <f t="shared" si="57"/>
        <v>#N/A</v>
      </c>
      <c r="Z113" t="e">
        <f t="shared" si="57"/>
        <v>#N/A</v>
      </c>
      <c r="AA113" t="e">
        <f t="shared" si="57"/>
        <v>#N/A</v>
      </c>
      <c r="AB113" t="e">
        <f t="shared" si="57"/>
        <v>#N/A</v>
      </c>
      <c r="AC113" t="e">
        <f t="shared" si="57"/>
        <v>#N/A</v>
      </c>
      <c r="AD113" t="e">
        <f t="shared" si="57"/>
        <v>#N/A</v>
      </c>
      <c r="AE113" t="e">
        <f t="shared" si="57"/>
        <v>#N/A</v>
      </c>
      <c r="AF113" t="e">
        <f t="shared" si="57"/>
        <v>#N/A</v>
      </c>
      <c r="AG113" t="e">
        <f t="shared" si="57"/>
        <v>#N/A</v>
      </c>
      <c r="AH113" t="e">
        <f t="shared" si="57"/>
        <v>#N/A</v>
      </c>
      <c r="AI113" t="e">
        <f t="shared" si="57"/>
        <v>#N/A</v>
      </c>
      <c r="AJ113" t="e">
        <f t="shared" si="57"/>
        <v>#N/A</v>
      </c>
      <c r="AK113" t="e">
        <f t="shared" si="57"/>
        <v>#N/A</v>
      </c>
      <c r="AL113" t="e">
        <f t="shared" si="57"/>
        <v>#N/A</v>
      </c>
      <c r="AM113" t="e">
        <f t="shared" si="57"/>
        <v>#N/A</v>
      </c>
      <c r="AN113" t="e">
        <f t="shared" si="57"/>
        <v>#N/A</v>
      </c>
      <c r="AO113" t="e">
        <f t="shared" si="57"/>
        <v>#N/A</v>
      </c>
      <c r="AP113" t="e">
        <f t="shared" si="57"/>
        <v>#N/A</v>
      </c>
      <c r="AQ113" t="e">
        <f t="shared" si="57"/>
        <v>#N/A</v>
      </c>
      <c r="AR113" t="e">
        <f t="shared" si="57"/>
        <v>#N/A</v>
      </c>
    </row>
    <row r="114" spans="2:44" x14ac:dyDescent="0.2">
      <c r="B114">
        <f t="shared" si="39"/>
        <v>0</v>
      </c>
      <c r="C114">
        <f t="shared" si="40"/>
        <v>0.1</v>
      </c>
      <c r="D114">
        <f t="shared" si="41"/>
        <v>0</v>
      </c>
      <c r="E114">
        <v>0.10000000000000074</v>
      </c>
      <c r="T114" s="68" t="s">
        <v>709</v>
      </c>
      <c r="U114">
        <f t="shared" si="53"/>
        <v>1000</v>
      </c>
      <c r="V114">
        <f t="shared" si="54"/>
        <v>2</v>
      </c>
      <c r="W114">
        <f t="shared" si="56"/>
        <v>1</v>
      </c>
    </row>
    <row r="115" spans="2:44" x14ac:dyDescent="0.2">
      <c r="B115">
        <f t="shared" si="39"/>
        <v>0</v>
      </c>
      <c r="C115">
        <f t="shared" si="40"/>
        <v>0.1</v>
      </c>
      <c r="D115">
        <f t="shared" si="41"/>
        <v>0</v>
      </c>
      <c r="E115">
        <v>0.11000000000000074</v>
      </c>
      <c r="T115" s="62" t="s">
        <v>721</v>
      </c>
      <c r="U115">
        <f t="shared" si="53"/>
        <v>1000</v>
      </c>
      <c r="V115">
        <f t="shared" si="54"/>
        <v>2</v>
      </c>
      <c r="W115">
        <f t="shared" si="56"/>
        <v>1</v>
      </c>
    </row>
    <row r="116" spans="2:44" x14ac:dyDescent="0.2">
      <c r="B116">
        <f t="shared" si="39"/>
        <v>0</v>
      </c>
      <c r="C116">
        <f t="shared" si="40"/>
        <v>0.1</v>
      </c>
      <c r="D116">
        <f t="shared" si="41"/>
        <v>0</v>
      </c>
      <c r="E116">
        <v>0.12000000000000073</v>
      </c>
      <c r="T116" s="62" t="s">
        <v>710</v>
      </c>
      <c r="U116">
        <f>CONVERT(1,T116,"m3")</f>
        <v>4168181825.4405794</v>
      </c>
      <c r="V116">
        <f t="shared" si="54"/>
        <v>2000</v>
      </c>
      <c r="W116">
        <f>CONVERT(U116,"m3",T116)</f>
        <v>1</v>
      </c>
      <c r="X116" t="e">
        <f t="shared" ref="X116:X127" si="59">CONVERT(1,X$1&amp;$T116,"L")</f>
        <v>#N/A</v>
      </c>
      <c r="Y116" t="e">
        <f t="shared" ref="Y116:AR127" si="60">CONVERT(1,Y$1&amp;$T116,"L")</f>
        <v>#N/A</v>
      </c>
      <c r="Z116" t="e">
        <f t="shared" si="60"/>
        <v>#N/A</v>
      </c>
      <c r="AA116" t="e">
        <f t="shared" si="60"/>
        <v>#N/A</v>
      </c>
      <c r="AB116" t="e">
        <f t="shared" si="60"/>
        <v>#N/A</v>
      </c>
      <c r="AC116" t="e">
        <f t="shared" si="60"/>
        <v>#N/A</v>
      </c>
      <c r="AD116" t="e">
        <f t="shared" si="60"/>
        <v>#N/A</v>
      </c>
      <c r="AE116" t="e">
        <f t="shared" si="60"/>
        <v>#N/A</v>
      </c>
      <c r="AF116" t="e">
        <f t="shared" si="60"/>
        <v>#N/A</v>
      </c>
      <c r="AG116" t="e">
        <f t="shared" si="60"/>
        <v>#N/A</v>
      </c>
      <c r="AH116" t="e">
        <f t="shared" si="60"/>
        <v>#N/A</v>
      </c>
      <c r="AI116" t="e">
        <f t="shared" si="60"/>
        <v>#N/A</v>
      </c>
      <c r="AJ116" t="e">
        <f t="shared" si="60"/>
        <v>#N/A</v>
      </c>
      <c r="AK116" t="e">
        <f t="shared" si="60"/>
        <v>#N/A</v>
      </c>
      <c r="AL116" t="e">
        <f t="shared" si="60"/>
        <v>#N/A</v>
      </c>
      <c r="AM116" t="e">
        <f t="shared" si="60"/>
        <v>#N/A</v>
      </c>
      <c r="AN116" t="e">
        <f t="shared" si="60"/>
        <v>#N/A</v>
      </c>
      <c r="AO116" t="e">
        <f t="shared" si="60"/>
        <v>#N/A</v>
      </c>
      <c r="AP116" t="e">
        <f t="shared" si="60"/>
        <v>#N/A</v>
      </c>
      <c r="AQ116" t="e">
        <f t="shared" si="60"/>
        <v>#N/A</v>
      </c>
      <c r="AR116" t="e">
        <f t="shared" si="60"/>
        <v>#N/A</v>
      </c>
    </row>
    <row r="117" spans="2:44" x14ac:dyDescent="0.2">
      <c r="B117">
        <f t="shared" si="39"/>
        <v>0</v>
      </c>
      <c r="C117">
        <f t="shared" si="40"/>
        <v>0.1</v>
      </c>
      <c r="D117">
        <f t="shared" si="41"/>
        <v>0</v>
      </c>
      <c r="E117">
        <v>0.13000000000000073</v>
      </c>
      <c r="T117" s="62" t="s">
        <v>722</v>
      </c>
      <c r="U117">
        <f>CONVERT(1,T117,"m3")</f>
        <v>4168181825.4405794</v>
      </c>
      <c r="V117">
        <f t="shared" si="54"/>
        <v>2000</v>
      </c>
      <c r="W117">
        <f>CONVERT(U117,"m3",T117)</f>
        <v>1</v>
      </c>
      <c r="X117" t="e">
        <f t="shared" si="59"/>
        <v>#N/A</v>
      </c>
      <c r="Y117" t="e">
        <f t="shared" si="60"/>
        <v>#N/A</v>
      </c>
      <c r="Z117" t="e">
        <f t="shared" si="60"/>
        <v>#N/A</v>
      </c>
      <c r="AA117" t="e">
        <f t="shared" si="60"/>
        <v>#N/A</v>
      </c>
      <c r="AB117" t="e">
        <f t="shared" si="60"/>
        <v>#N/A</v>
      </c>
      <c r="AC117" t="e">
        <f t="shared" si="60"/>
        <v>#N/A</v>
      </c>
      <c r="AD117" t="e">
        <f t="shared" si="60"/>
        <v>#N/A</v>
      </c>
      <c r="AE117" t="e">
        <f t="shared" si="60"/>
        <v>#N/A</v>
      </c>
      <c r="AF117" t="e">
        <f t="shared" si="60"/>
        <v>#N/A</v>
      </c>
      <c r="AG117" t="e">
        <f t="shared" si="60"/>
        <v>#N/A</v>
      </c>
      <c r="AH117" t="e">
        <f t="shared" si="60"/>
        <v>#N/A</v>
      </c>
      <c r="AI117" t="e">
        <f t="shared" si="60"/>
        <v>#N/A</v>
      </c>
      <c r="AJ117" t="e">
        <f t="shared" si="60"/>
        <v>#N/A</v>
      </c>
      <c r="AK117" t="e">
        <f t="shared" si="60"/>
        <v>#N/A</v>
      </c>
      <c r="AL117" t="e">
        <f t="shared" si="60"/>
        <v>#N/A</v>
      </c>
      <c r="AM117" t="e">
        <f t="shared" si="60"/>
        <v>#N/A</v>
      </c>
      <c r="AN117" t="e">
        <f t="shared" si="60"/>
        <v>#N/A</v>
      </c>
      <c r="AO117" t="e">
        <f t="shared" si="60"/>
        <v>#N/A</v>
      </c>
      <c r="AP117" t="e">
        <f t="shared" si="60"/>
        <v>#N/A</v>
      </c>
      <c r="AQ117" t="e">
        <f t="shared" si="60"/>
        <v>#N/A</v>
      </c>
      <c r="AR117" t="e">
        <f t="shared" si="60"/>
        <v>#N/A</v>
      </c>
    </row>
    <row r="118" spans="2:44" x14ac:dyDescent="0.2">
      <c r="B118">
        <f t="shared" si="39"/>
        <v>0</v>
      </c>
      <c r="C118">
        <f t="shared" si="40"/>
        <v>0.1</v>
      </c>
      <c r="D118">
        <f t="shared" si="41"/>
        <v>0</v>
      </c>
      <c r="E118">
        <v>0.14000000000000073</v>
      </c>
      <c r="T118" s="62" t="s">
        <v>711</v>
      </c>
      <c r="U118">
        <f t="shared" si="53"/>
        <v>764.55485798400002</v>
      </c>
      <c r="V118">
        <f t="shared" si="54"/>
        <v>2</v>
      </c>
      <c r="W118">
        <f t="shared" si="56"/>
        <v>1</v>
      </c>
      <c r="X118" t="e">
        <f t="shared" si="59"/>
        <v>#N/A</v>
      </c>
      <c r="Y118" t="e">
        <f t="shared" si="60"/>
        <v>#N/A</v>
      </c>
      <c r="Z118" t="e">
        <f t="shared" si="60"/>
        <v>#N/A</v>
      </c>
      <c r="AA118" t="e">
        <f t="shared" si="60"/>
        <v>#N/A</v>
      </c>
      <c r="AB118" t="e">
        <f t="shared" si="60"/>
        <v>#N/A</v>
      </c>
      <c r="AC118" t="e">
        <f t="shared" si="60"/>
        <v>#N/A</v>
      </c>
      <c r="AD118" t="e">
        <f t="shared" si="60"/>
        <v>#N/A</v>
      </c>
      <c r="AE118" t="e">
        <f t="shared" si="60"/>
        <v>#N/A</v>
      </c>
      <c r="AF118" t="e">
        <f t="shared" si="60"/>
        <v>#N/A</v>
      </c>
      <c r="AG118" t="e">
        <f t="shared" si="60"/>
        <v>#N/A</v>
      </c>
      <c r="AH118" t="e">
        <f t="shared" si="60"/>
        <v>#N/A</v>
      </c>
      <c r="AI118" t="e">
        <f t="shared" si="60"/>
        <v>#N/A</v>
      </c>
      <c r="AJ118" t="e">
        <f t="shared" si="60"/>
        <v>#N/A</v>
      </c>
      <c r="AK118" t="e">
        <f t="shared" si="60"/>
        <v>#N/A</v>
      </c>
      <c r="AL118" t="e">
        <f t="shared" si="60"/>
        <v>#N/A</v>
      </c>
      <c r="AM118" t="e">
        <f t="shared" si="60"/>
        <v>#N/A</v>
      </c>
      <c r="AN118" t="e">
        <f t="shared" si="60"/>
        <v>#N/A</v>
      </c>
      <c r="AO118" t="e">
        <f t="shared" si="60"/>
        <v>#N/A</v>
      </c>
      <c r="AP118" t="e">
        <f t="shared" si="60"/>
        <v>#N/A</v>
      </c>
      <c r="AQ118" t="e">
        <f t="shared" si="60"/>
        <v>#N/A</v>
      </c>
      <c r="AR118" t="e">
        <f t="shared" si="60"/>
        <v>#N/A</v>
      </c>
    </row>
    <row r="119" spans="2:44" x14ac:dyDescent="0.2">
      <c r="B119">
        <f t="shared" si="39"/>
        <v>0</v>
      </c>
      <c r="C119">
        <f t="shared" si="40"/>
        <v>0.1</v>
      </c>
      <c r="D119">
        <f t="shared" si="41"/>
        <v>0</v>
      </c>
      <c r="E119">
        <v>0.15000000000000074</v>
      </c>
      <c r="T119" s="62" t="s">
        <v>723</v>
      </c>
      <c r="U119">
        <f t="shared" si="53"/>
        <v>764.55485798400002</v>
      </c>
      <c r="V119">
        <f t="shared" si="54"/>
        <v>2</v>
      </c>
      <c r="W119">
        <f t="shared" si="56"/>
        <v>1</v>
      </c>
      <c r="X119" t="e">
        <f t="shared" si="59"/>
        <v>#N/A</v>
      </c>
      <c r="Y119" t="e">
        <f t="shared" si="60"/>
        <v>#N/A</v>
      </c>
      <c r="Z119" t="e">
        <f t="shared" si="60"/>
        <v>#N/A</v>
      </c>
      <c r="AA119" t="e">
        <f t="shared" si="60"/>
        <v>#N/A</v>
      </c>
      <c r="AB119" t="e">
        <f t="shared" si="60"/>
        <v>#N/A</v>
      </c>
      <c r="AC119" t="e">
        <f t="shared" si="60"/>
        <v>#N/A</v>
      </c>
      <c r="AD119" t="e">
        <f t="shared" si="60"/>
        <v>#N/A</v>
      </c>
      <c r="AE119" t="e">
        <f t="shared" si="60"/>
        <v>#N/A</v>
      </c>
      <c r="AF119" t="e">
        <f t="shared" si="60"/>
        <v>#N/A</v>
      </c>
      <c r="AG119" t="e">
        <f t="shared" si="60"/>
        <v>#N/A</v>
      </c>
      <c r="AH119" t="e">
        <f t="shared" si="60"/>
        <v>#N/A</v>
      </c>
      <c r="AI119" t="e">
        <f t="shared" si="60"/>
        <v>#N/A</v>
      </c>
      <c r="AJ119" t="e">
        <f t="shared" si="60"/>
        <v>#N/A</v>
      </c>
      <c r="AK119" t="e">
        <f t="shared" si="60"/>
        <v>#N/A</v>
      </c>
      <c r="AL119" t="e">
        <f t="shared" si="60"/>
        <v>#N/A</v>
      </c>
      <c r="AM119" t="e">
        <f t="shared" si="60"/>
        <v>#N/A</v>
      </c>
      <c r="AN119" t="e">
        <f t="shared" si="60"/>
        <v>#N/A</v>
      </c>
      <c r="AO119" t="e">
        <f t="shared" si="60"/>
        <v>#N/A</v>
      </c>
      <c r="AP119" t="e">
        <f t="shared" si="60"/>
        <v>#N/A</v>
      </c>
      <c r="AQ119" t="e">
        <f t="shared" si="60"/>
        <v>#N/A</v>
      </c>
      <c r="AR119" t="e">
        <f t="shared" si="60"/>
        <v>#N/A</v>
      </c>
    </row>
    <row r="120" spans="2:44" x14ac:dyDescent="0.2">
      <c r="B120">
        <f t="shared" si="39"/>
        <v>0</v>
      </c>
      <c r="C120">
        <f t="shared" si="40"/>
        <v>0.1</v>
      </c>
      <c r="D120">
        <f t="shared" si="41"/>
        <v>0</v>
      </c>
      <c r="E120">
        <v>0.16000000000000075</v>
      </c>
      <c r="T120" s="62" t="s">
        <v>712</v>
      </c>
      <c r="U120">
        <f t="shared" si="53"/>
        <v>6352182208000</v>
      </c>
      <c r="V120">
        <f t="shared" si="54"/>
        <v>2</v>
      </c>
      <c r="W120">
        <f t="shared" si="56"/>
        <v>1</v>
      </c>
      <c r="X120" t="e">
        <f t="shared" si="59"/>
        <v>#N/A</v>
      </c>
      <c r="Y120" t="e">
        <f t="shared" si="60"/>
        <v>#N/A</v>
      </c>
      <c r="Z120" t="e">
        <f t="shared" si="60"/>
        <v>#N/A</v>
      </c>
      <c r="AA120" t="e">
        <f t="shared" si="60"/>
        <v>#N/A</v>
      </c>
      <c r="AB120" t="e">
        <f t="shared" si="60"/>
        <v>#N/A</v>
      </c>
      <c r="AC120" t="e">
        <f t="shared" si="60"/>
        <v>#N/A</v>
      </c>
      <c r="AD120" t="e">
        <f t="shared" si="60"/>
        <v>#N/A</v>
      </c>
      <c r="AE120" t="e">
        <f t="shared" si="60"/>
        <v>#N/A</v>
      </c>
      <c r="AF120" t="e">
        <f t="shared" si="60"/>
        <v>#N/A</v>
      </c>
      <c r="AG120" t="e">
        <f t="shared" si="60"/>
        <v>#N/A</v>
      </c>
      <c r="AH120" t="e">
        <f t="shared" si="60"/>
        <v>#N/A</v>
      </c>
      <c r="AI120" t="e">
        <f t="shared" si="60"/>
        <v>#N/A</v>
      </c>
      <c r="AJ120" t="e">
        <f t="shared" si="60"/>
        <v>#N/A</v>
      </c>
      <c r="AK120" t="e">
        <f t="shared" si="60"/>
        <v>#N/A</v>
      </c>
      <c r="AL120" t="e">
        <f t="shared" si="60"/>
        <v>#N/A</v>
      </c>
      <c r="AM120" t="e">
        <f t="shared" si="60"/>
        <v>#N/A</v>
      </c>
      <c r="AN120" t="e">
        <f t="shared" si="60"/>
        <v>#N/A</v>
      </c>
      <c r="AO120" t="e">
        <f t="shared" si="60"/>
        <v>#N/A</v>
      </c>
      <c r="AP120" t="e">
        <f t="shared" si="60"/>
        <v>#N/A</v>
      </c>
      <c r="AQ120" t="e">
        <f t="shared" si="60"/>
        <v>#N/A</v>
      </c>
      <c r="AR120" t="e">
        <f t="shared" si="60"/>
        <v>#N/A</v>
      </c>
    </row>
    <row r="121" spans="2:44" x14ac:dyDescent="0.2">
      <c r="B121">
        <f t="shared" si="39"/>
        <v>0</v>
      </c>
      <c r="C121">
        <f t="shared" si="40"/>
        <v>0.1</v>
      </c>
      <c r="D121">
        <f t="shared" si="41"/>
        <v>0</v>
      </c>
      <c r="E121">
        <v>0.17000000000000076</v>
      </c>
      <c r="T121" s="62" t="s">
        <v>724</v>
      </c>
      <c r="U121">
        <f t="shared" si="53"/>
        <v>6352182208000</v>
      </c>
      <c r="V121">
        <f t="shared" si="54"/>
        <v>2</v>
      </c>
      <c r="W121">
        <f t="shared" si="56"/>
        <v>1</v>
      </c>
      <c r="X121" t="e">
        <f t="shared" si="59"/>
        <v>#N/A</v>
      </c>
      <c r="Y121" t="e">
        <f t="shared" si="60"/>
        <v>#N/A</v>
      </c>
      <c r="Z121" t="e">
        <f t="shared" si="60"/>
        <v>#N/A</v>
      </c>
      <c r="AA121" t="e">
        <f t="shared" si="60"/>
        <v>#N/A</v>
      </c>
      <c r="AB121" t="e">
        <f t="shared" si="60"/>
        <v>#N/A</v>
      </c>
      <c r="AC121" t="e">
        <f t="shared" si="60"/>
        <v>#N/A</v>
      </c>
      <c r="AD121" t="e">
        <f t="shared" si="60"/>
        <v>#N/A</v>
      </c>
      <c r="AE121" t="e">
        <f t="shared" si="60"/>
        <v>#N/A</v>
      </c>
      <c r="AF121" t="e">
        <f t="shared" si="60"/>
        <v>#N/A</v>
      </c>
      <c r="AG121" t="e">
        <f t="shared" si="60"/>
        <v>#N/A</v>
      </c>
      <c r="AH121" t="e">
        <f t="shared" si="60"/>
        <v>#N/A</v>
      </c>
      <c r="AI121" t="e">
        <f t="shared" si="60"/>
        <v>#N/A</v>
      </c>
      <c r="AJ121" t="e">
        <f t="shared" si="60"/>
        <v>#N/A</v>
      </c>
      <c r="AK121" t="e">
        <f t="shared" si="60"/>
        <v>#N/A</v>
      </c>
      <c r="AL121" t="e">
        <f t="shared" si="60"/>
        <v>#N/A</v>
      </c>
      <c r="AM121" t="e">
        <f t="shared" si="60"/>
        <v>#N/A</v>
      </c>
      <c r="AN121" t="e">
        <f t="shared" si="60"/>
        <v>#N/A</v>
      </c>
      <c r="AO121" t="e">
        <f t="shared" si="60"/>
        <v>#N/A</v>
      </c>
      <c r="AP121" t="e">
        <f t="shared" si="60"/>
        <v>#N/A</v>
      </c>
      <c r="AQ121" t="e">
        <f t="shared" si="60"/>
        <v>#N/A</v>
      </c>
      <c r="AR121" t="e">
        <f t="shared" si="60"/>
        <v>#N/A</v>
      </c>
    </row>
    <row r="122" spans="2:44" x14ac:dyDescent="0.2">
      <c r="B122">
        <f t="shared" si="39"/>
        <v>0</v>
      </c>
      <c r="C122">
        <f t="shared" si="40"/>
        <v>0.1</v>
      </c>
      <c r="D122">
        <f t="shared" si="41"/>
        <v>0</v>
      </c>
      <c r="E122">
        <v>0.18000000000000077</v>
      </c>
      <c r="T122" s="62" t="s">
        <v>713</v>
      </c>
      <c r="U122">
        <f t="shared" si="53"/>
        <v>4.3903956618655699E-8</v>
      </c>
      <c r="V122">
        <f t="shared" si="54"/>
        <v>2</v>
      </c>
      <c r="W122">
        <f t="shared" si="56"/>
        <v>1</v>
      </c>
      <c r="X122" t="e">
        <f t="shared" si="59"/>
        <v>#N/A</v>
      </c>
      <c r="Y122" t="e">
        <f t="shared" si="60"/>
        <v>#N/A</v>
      </c>
      <c r="Z122" t="e">
        <f t="shared" si="60"/>
        <v>#N/A</v>
      </c>
      <c r="AA122" t="e">
        <f t="shared" si="60"/>
        <v>#N/A</v>
      </c>
      <c r="AB122" t="e">
        <f t="shared" si="60"/>
        <v>#N/A</v>
      </c>
      <c r="AC122" t="e">
        <f t="shared" si="60"/>
        <v>#N/A</v>
      </c>
      <c r="AD122" t="e">
        <f t="shared" si="60"/>
        <v>#N/A</v>
      </c>
      <c r="AE122" t="e">
        <f t="shared" si="60"/>
        <v>#N/A</v>
      </c>
      <c r="AF122" t="e">
        <f t="shared" si="60"/>
        <v>#N/A</v>
      </c>
      <c r="AG122" t="e">
        <f t="shared" si="60"/>
        <v>#N/A</v>
      </c>
      <c r="AH122" t="e">
        <f t="shared" si="60"/>
        <v>#N/A</v>
      </c>
      <c r="AI122" t="e">
        <f t="shared" si="60"/>
        <v>#N/A</v>
      </c>
      <c r="AJ122" t="e">
        <f t="shared" si="60"/>
        <v>#N/A</v>
      </c>
      <c r="AK122" t="e">
        <f t="shared" si="60"/>
        <v>#N/A</v>
      </c>
      <c r="AL122" t="e">
        <f t="shared" si="60"/>
        <v>#N/A</v>
      </c>
      <c r="AM122" t="e">
        <f t="shared" si="60"/>
        <v>#N/A</v>
      </c>
      <c r="AN122" t="e">
        <f t="shared" si="60"/>
        <v>#N/A</v>
      </c>
      <c r="AO122" t="e">
        <f t="shared" si="60"/>
        <v>#N/A</v>
      </c>
      <c r="AP122" t="e">
        <f t="shared" si="60"/>
        <v>#N/A</v>
      </c>
      <c r="AQ122" t="e">
        <f t="shared" si="60"/>
        <v>#N/A</v>
      </c>
      <c r="AR122" t="e">
        <f t="shared" si="60"/>
        <v>#N/A</v>
      </c>
    </row>
    <row r="123" spans="2:44" x14ac:dyDescent="0.2">
      <c r="B123">
        <f t="shared" si="39"/>
        <v>0</v>
      </c>
      <c r="C123">
        <f t="shared" si="40"/>
        <v>0.1</v>
      </c>
      <c r="D123">
        <f t="shared" si="41"/>
        <v>0</v>
      </c>
      <c r="E123">
        <v>0.19000000000000078</v>
      </c>
      <c r="T123" s="62" t="s">
        <v>725</v>
      </c>
      <c r="U123">
        <f t="shared" si="53"/>
        <v>4.3903956618655699E-8</v>
      </c>
      <c r="V123">
        <f t="shared" si="54"/>
        <v>2</v>
      </c>
      <c r="W123">
        <f t="shared" si="56"/>
        <v>1</v>
      </c>
      <c r="X123" t="e">
        <f t="shared" si="59"/>
        <v>#N/A</v>
      </c>
      <c r="Y123" t="e">
        <f t="shared" si="60"/>
        <v>#N/A</v>
      </c>
      <c r="Z123" t="e">
        <f t="shared" si="60"/>
        <v>#N/A</v>
      </c>
      <c r="AA123" t="e">
        <f t="shared" si="60"/>
        <v>#N/A</v>
      </c>
      <c r="AB123" t="e">
        <f t="shared" si="60"/>
        <v>#N/A</v>
      </c>
      <c r="AC123" t="e">
        <f t="shared" si="60"/>
        <v>#N/A</v>
      </c>
      <c r="AD123" t="e">
        <f t="shared" si="60"/>
        <v>#N/A</v>
      </c>
      <c r="AE123" t="e">
        <f t="shared" si="60"/>
        <v>#N/A</v>
      </c>
      <c r="AF123" t="e">
        <f t="shared" si="60"/>
        <v>#N/A</v>
      </c>
      <c r="AG123" t="e">
        <f t="shared" si="60"/>
        <v>#N/A</v>
      </c>
      <c r="AH123" t="e">
        <f t="shared" si="60"/>
        <v>#N/A</v>
      </c>
      <c r="AI123" t="e">
        <f t="shared" si="60"/>
        <v>#N/A</v>
      </c>
      <c r="AJ123" t="e">
        <f t="shared" si="60"/>
        <v>#N/A</v>
      </c>
      <c r="AK123" t="e">
        <f t="shared" si="60"/>
        <v>#N/A</v>
      </c>
      <c r="AL123" t="e">
        <f t="shared" si="60"/>
        <v>#N/A</v>
      </c>
      <c r="AM123" t="e">
        <f t="shared" si="60"/>
        <v>#N/A</v>
      </c>
      <c r="AN123" t="e">
        <f t="shared" si="60"/>
        <v>#N/A</v>
      </c>
      <c r="AO123" t="e">
        <f t="shared" si="60"/>
        <v>#N/A</v>
      </c>
      <c r="AP123" t="e">
        <f t="shared" si="60"/>
        <v>#N/A</v>
      </c>
      <c r="AQ123" t="e">
        <f t="shared" si="60"/>
        <v>#N/A</v>
      </c>
      <c r="AR123" t="e">
        <f t="shared" si="60"/>
        <v>#N/A</v>
      </c>
    </row>
    <row r="124" spans="2:44" x14ac:dyDescent="0.2">
      <c r="B124">
        <f t="shared" si="39"/>
        <v>0</v>
      </c>
      <c r="C124">
        <f t="shared" si="40"/>
        <v>0.2</v>
      </c>
      <c r="D124">
        <f t="shared" si="41"/>
        <v>0</v>
      </c>
      <c r="E124">
        <v>0.20000000000000079</v>
      </c>
      <c r="T124" s="62" t="s">
        <v>714</v>
      </c>
      <c r="U124">
        <f t="shared" si="53"/>
        <v>4.3903956618655699E-8</v>
      </c>
      <c r="V124">
        <f t="shared" si="54"/>
        <v>2</v>
      </c>
      <c r="W124">
        <f t="shared" si="56"/>
        <v>1</v>
      </c>
      <c r="X124" t="e">
        <f t="shared" si="59"/>
        <v>#N/A</v>
      </c>
      <c r="Y124" t="e">
        <f t="shared" si="60"/>
        <v>#N/A</v>
      </c>
      <c r="Z124" t="e">
        <f t="shared" si="60"/>
        <v>#N/A</v>
      </c>
      <c r="AA124" t="e">
        <f t="shared" si="60"/>
        <v>#N/A</v>
      </c>
      <c r="AB124" t="e">
        <f t="shared" si="60"/>
        <v>#N/A</v>
      </c>
      <c r="AC124" t="e">
        <f t="shared" si="60"/>
        <v>#N/A</v>
      </c>
      <c r="AD124" t="e">
        <f t="shared" si="60"/>
        <v>#N/A</v>
      </c>
      <c r="AE124" t="e">
        <f t="shared" si="60"/>
        <v>#N/A</v>
      </c>
      <c r="AF124" t="e">
        <f t="shared" si="60"/>
        <v>#N/A</v>
      </c>
      <c r="AG124" t="e">
        <f t="shared" si="60"/>
        <v>#N/A</v>
      </c>
      <c r="AH124" t="e">
        <f t="shared" si="60"/>
        <v>#N/A</v>
      </c>
      <c r="AI124" t="e">
        <f t="shared" si="60"/>
        <v>#N/A</v>
      </c>
      <c r="AJ124" t="e">
        <f t="shared" si="60"/>
        <v>#N/A</v>
      </c>
      <c r="AK124" t="e">
        <f t="shared" si="60"/>
        <v>#N/A</v>
      </c>
      <c r="AL124" t="e">
        <f t="shared" si="60"/>
        <v>#N/A</v>
      </c>
      <c r="AM124" t="e">
        <f t="shared" si="60"/>
        <v>#N/A</v>
      </c>
      <c r="AN124" t="e">
        <f t="shared" si="60"/>
        <v>#N/A</v>
      </c>
      <c r="AO124" t="e">
        <f t="shared" si="60"/>
        <v>#N/A</v>
      </c>
      <c r="AP124" t="e">
        <f t="shared" si="60"/>
        <v>#N/A</v>
      </c>
      <c r="AQ124" t="e">
        <f t="shared" si="60"/>
        <v>#N/A</v>
      </c>
      <c r="AR124" t="e">
        <f t="shared" si="60"/>
        <v>#N/A</v>
      </c>
    </row>
    <row r="125" spans="2:44" x14ac:dyDescent="0.2">
      <c r="B125">
        <f t="shared" si="39"/>
        <v>0</v>
      </c>
      <c r="C125">
        <f t="shared" si="40"/>
        <v>0.2</v>
      </c>
      <c r="D125">
        <f t="shared" si="41"/>
        <v>0</v>
      </c>
      <c r="E125">
        <v>0.2100000000000008</v>
      </c>
      <c r="T125" s="62" t="s">
        <v>726</v>
      </c>
      <c r="U125">
        <f t="shared" si="53"/>
        <v>4.3903956618655699E-8</v>
      </c>
      <c r="V125">
        <f t="shared" si="54"/>
        <v>2</v>
      </c>
      <c r="W125">
        <f t="shared" si="56"/>
        <v>1</v>
      </c>
      <c r="X125" t="e">
        <f t="shared" si="59"/>
        <v>#N/A</v>
      </c>
      <c r="Y125" t="e">
        <f t="shared" si="60"/>
        <v>#N/A</v>
      </c>
      <c r="Z125" t="e">
        <f t="shared" si="60"/>
        <v>#N/A</v>
      </c>
      <c r="AA125" t="e">
        <f t="shared" si="60"/>
        <v>#N/A</v>
      </c>
      <c r="AB125" t="e">
        <f t="shared" si="60"/>
        <v>#N/A</v>
      </c>
      <c r="AC125" t="e">
        <f t="shared" si="60"/>
        <v>#N/A</v>
      </c>
      <c r="AD125" t="e">
        <f t="shared" si="60"/>
        <v>#N/A</v>
      </c>
      <c r="AE125" t="e">
        <f t="shared" si="60"/>
        <v>#N/A</v>
      </c>
      <c r="AF125" t="e">
        <f t="shared" si="60"/>
        <v>#N/A</v>
      </c>
      <c r="AG125" t="e">
        <f t="shared" si="60"/>
        <v>#N/A</v>
      </c>
      <c r="AH125" t="e">
        <f t="shared" si="60"/>
        <v>#N/A</v>
      </c>
      <c r="AI125" t="e">
        <f t="shared" si="60"/>
        <v>#N/A</v>
      </c>
      <c r="AJ125" t="e">
        <f t="shared" si="60"/>
        <v>#N/A</v>
      </c>
      <c r="AK125" t="e">
        <f t="shared" si="60"/>
        <v>#N/A</v>
      </c>
      <c r="AL125" t="e">
        <f t="shared" si="60"/>
        <v>#N/A</v>
      </c>
      <c r="AM125" t="e">
        <f t="shared" si="60"/>
        <v>#N/A</v>
      </c>
      <c r="AN125" t="e">
        <f t="shared" si="60"/>
        <v>#N/A</v>
      </c>
      <c r="AO125" t="e">
        <f t="shared" si="60"/>
        <v>#N/A</v>
      </c>
      <c r="AP125" t="e">
        <f t="shared" si="60"/>
        <v>#N/A</v>
      </c>
      <c r="AQ125" t="e">
        <f t="shared" si="60"/>
        <v>#N/A</v>
      </c>
      <c r="AR125" t="e">
        <f t="shared" si="60"/>
        <v>#N/A</v>
      </c>
    </row>
    <row r="126" spans="2:44" x14ac:dyDescent="0.2">
      <c r="B126">
        <f t="shared" si="39"/>
        <v>0</v>
      </c>
      <c r="C126">
        <f t="shared" si="40"/>
        <v>0.2</v>
      </c>
      <c r="D126">
        <f t="shared" si="41"/>
        <v>0</v>
      </c>
      <c r="E126">
        <v>0.22000000000000081</v>
      </c>
      <c r="T126" s="62" t="s">
        <v>715</v>
      </c>
      <c r="U126">
        <f t="shared" si="53"/>
        <v>2831.6846592000002</v>
      </c>
      <c r="V126">
        <f t="shared" si="54"/>
        <v>2</v>
      </c>
      <c r="W126">
        <f t="shared" si="56"/>
        <v>1</v>
      </c>
      <c r="X126" t="e">
        <f t="shared" si="59"/>
        <v>#N/A</v>
      </c>
      <c r="Y126" t="e">
        <f t="shared" si="60"/>
        <v>#N/A</v>
      </c>
      <c r="Z126" t="e">
        <f t="shared" si="60"/>
        <v>#N/A</v>
      </c>
      <c r="AA126" t="e">
        <f t="shared" si="60"/>
        <v>#N/A</v>
      </c>
      <c r="AB126" t="e">
        <f t="shared" si="60"/>
        <v>#N/A</v>
      </c>
      <c r="AC126" t="e">
        <f t="shared" si="60"/>
        <v>#N/A</v>
      </c>
      <c r="AD126" t="e">
        <f t="shared" si="60"/>
        <v>#N/A</v>
      </c>
      <c r="AE126" t="e">
        <f t="shared" si="60"/>
        <v>#N/A</v>
      </c>
      <c r="AF126" t="e">
        <f t="shared" si="60"/>
        <v>#N/A</v>
      </c>
      <c r="AG126" t="e">
        <f t="shared" si="60"/>
        <v>#N/A</v>
      </c>
      <c r="AH126" t="e">
        <f t="shared" si="60"/>
        <v>#N/A</v>
      </c>
      <c r="AI126" t="e">
        <f t="shared" si="60"/>
        <v>#N/A</v>
      </c>
      <c r="AJ126" t="e">
        <f t="shared" si="60"/>
        <v>#N/A</v>
      </c>
      <c r="AK126" t="e">
        <f t="shared" si="60"/>
        <v>#N/A</v>
      </c>
      <c r="AL126" t="e">
        <f t="shared" si="60"/>
        <v>#N/A</v>
      </c>
      <c r="AM126" t="e">
        <f t="shared" si="60"/>
        <v>#N/A</v>
      </c>
      <c r="AN126" t="e">
        <f t="shared" si="60"/>
        <v>#N/A</v>
      </c>
      <c r="AO126" t="e">
        <f t="shared" si="60"/>
        <v>#N/A</v>
      </c>
      <c r="AP126" t="e">
        <f t="shared" si="60"/>
        <v>#N/A</v>
      </c>
      <c r="AQ126" t="e">
        <f t="shared" si="60"/>
        <v>#N/A</v>
      </c>
      <c r="AR126" t="e">
        <f t="shared" si="60"/>
        <v>#N/A</v>
      </c>
    </row>
    <row r="127" spans="2:44" x14ac:dyDescent="0.2">
      <c r="B127">
        <f t="shared" si="39"/>
        <v>0</v>
      </c>
      <c r="C127">
        <f t="shared" si="40"/>
        <v>0.2</v>
      </c>
      <c r="D127">
        <f t="shared" si="41"/>
        <v>0</v>
      </c>
      <c r="E127">
        <v>0.23000000000000081</v>
      </c>
      <c r="T127" s="62" t="s">
        <v>716</v>
      </c>
      <c r="U127">
        <f t="shared" si="53"/>
        <v>1132.6738636800001</v>
      </c>
      <c r="V127">
        <f t="shared" si="54"/>
        <v>2</v>
      </c>
      <c r="W127">
        <f t="shared" si="56"/>
        <v>1</v>
      </c>
      <c r="X127" t="e">
        <f t="shared" si="59"/>
        <v>#N/A</v>
      </c>
      <c r="Y127" t="e">
        <f t="shared" si="60"/>
        <v>#N/A</v>
      </c>
      <c r="Z127" t="e">
        <f t="shared" si="60"/>
        <v>#N/A</v>
      </c>
      <c r="AA127" t="e">
        <f t="shared" si="60"/>
        <v>#N/A</v>
      </c>
      <c r="AB127" t="e">
        <f t="shared" si="60"/>
        <v>#N/A</v>
      </c>
      <c r="AC127" t="e">
        <f t="shared" si="60"/>
        <v>#N/A</v>
      </c>
      <c r="AD127" t="e">
        <f t="shared" si="60"/>
        <v>#N/A</v>
      </c>
      <c r="AE127" t="e">
        <f t="shared" si="60"/>
        <v>#N/A</v>
      </c>
      <c r="AF127" t="e">
        <f t="shared" si="60"/>
        <v>#N/A</v>
      </c>
      <c r="AG127" t="e">
        <f t="shared" si="60"/>
        <v>#N/A</v>
      </c>
      <c r="AH127" t="e">
        <f t="shared" si="60"/>
        <v>#N/A</v>
      </c>
      <c r="AI127" t="e">
        <f t="shared" si="60"/>
        <v>#N/A</v>
      </c>
      <c r="AJ127" t="e">
        <f t="shared" si="60"/>
        <v>#N/A</v>
      </c>
      <c r="AK127" t="e">
        <f t="shared" si="60"/>
        <v>#N/A</v>
      </c>
      <c r="AL127" t="e">
        <f t="shared" si="60"/>
        <v>#N/A</v>
      </c>
      <c r="AM127" t="e">
        <f t="shared" si="60"/>
        <v>#N/A</v>
      </c>
      <c r="AN127" t="e">
        <f t="shared" si="60"/>
        <v>#N/A</v>
      </c>
      <c r="AO127" t="e">
        <f t="shared" si="60"/>
        <v>#N/A</v>
      </c>
      <c r="AP127" t="e">
        <f t="shared" si="60"/>
        <v>#N/A</v>
      </c>
      <c r="AQ127" t="e">
        <f t="shared" si="60"/>
        <v>#N/A</v>
      </c>
      <c r="AR127" t="e">
        <f t="shared" si="60"/>
        <v>#N/A</v>
      </c>
    </row>
    <row r="128" spans="2:44" x14ac:dyDescent="0.2">
      <c r="B128">
        <f t="shared" si="39"/>
        <v>0</v>
      </c>
      <c r="C128">
        <f t="shared" si="40"/>
        <v>0.2</v>
      </c>
      <c r="D128">
        <f t="shared" si="41"/>
        <v>0</v>
      </c>
      <c r="E128">
        <v>0.24000000000000082</v>
      </c>
    </row>
    <row r="129" spans="2:44" x14ac:dyDescent="0.2">
      <c r="B129">
        <f t="shared" si="39"/>
        <v>0</v>
      </c>
      <c r="C129">
        <f t="shared" si="40"/>
        <v>0.2</v>
      </c>
      <c r="D129">
        <f t="shared" si="41"/>
        <v>0</v>
      </c>
      <c r="E129">
        <v>0.25000000000000083</v>
      </c>
      <c r="T129" s="62" t="s">
        <v>727</v>
      </c>
      <c r="U129">
        <f>CONVERT(1,T129,"m2")</f>
        <v>4046.8564224000002</v>
      </c>
      <c r="V129">
        <f>CONVERT(2,T129,"m2")/U129</f>
        <v>2</v>
      </c>
      <c r="W129">
        <f>CONVERT(U129,"m2",T129)</f>
        <v>1</v>
      </c>
      <c r="X129" t="e">
        <f t="shared" ref="X129:X140" si="61">CONVERT(1,X$1&amp;$T129,"m2")</f>
        <v>#N/A</v>
      </c>
      <c r="Y129" t="e">
        <f t="shared" ref="Y129:AR142" si="62">CONVERT(1,Y$1&amp;$T129,"m2")</f>
        <v>#N/A</v>
      </c>
      <c r="Z129" t="e">
        <f t="shared" si="62"/>
        <v>#N/A</v>
      </c>
      <c r="AA129" t="e">
        <f t="shared" si="62"/>
        <v>#N/A</v>
      </c>
      <c r="AB129" t="e">
        <f t="shared" si="62"/>
        <v>#N/A</v>
      </c>
      <c r="AC129" t="e">
        <f t="shared" si="62"/>
        <v>#N/A</v>
      </c>
      <c r="AD129" t="e">
        <f t="shared" si="62"/>
        <v>#N/A</v>
      </c>
      <c r="AE129" t="e">
        <f t="shared" si="62"/>
        <v>#N/A</v>
      </c>
      <c r="AF129" t="e">
        <f t="shared" si="62"/>
        <v>#N/A</v>
      </c>
      <c r="AG129" t="e">
        <f t="shared" si="62"/>
        <v>#N/A</v>
      </c>
      <c r="AH129" t="e">
        <f t="shared" si="62"/>
        <v>#N/A</v>
      </c>
      <c r="AI129" t="e">
        <f t="shared" si="62"/>
        <v>#N/A</v>
      </c>
      <c r="AJ129" t="e">
        <f t="shared" si="62"/>
        <v>#N/A</v>
      </c>
      <c r="AK129" t="e">
        <f t="shared" si="62"/>
        <v>#N/A</v>
      </c>
      <c r="AL129" t="e">
        <f t="shared" si="62"/>
        <v>#N/A</v>
      </c>
      <c r="AM129" t="e">
        <f t="shared" si="62"/>
        <v>#N/A</v>
      </c>
      <c r="AN129" t="e">
        <f t="shared" si="62"/>
        <v>#N/A</v>
      </c>
      <c r="AO129" t="e">
        <f t="shared" si="62"/>
        <v>#N/A</v>
      </c>
      <c r="AP129" t="e">
        <f t="shared" si="62"/>
        <v>#N/A</v>
      </c>
      <c r="AQ129" t="e">
        <f t="shared" si="62"/>
        <v>#N/A</v>
      </c>
      <c r="AR129" t="e">
        <f t="shared" si="62"/>
        <v>#N/A</v>
      </c>
    </row>
    <row r="130" spans="2:44" x14ac:dyDescent="0.2">
      <c r="B130">
        <f t="shared" si="39"/>
        <v>0</v>
      </c>
      <c r="C130">
        <f t="shared" si="40"/>
        <v>0.2</v>
      </c>
      <c r="D130">
        <f t="shared" si="41"/>
        <v>0</v>
      </c>
      <c r="E130">
        <v>0.26000000000000084</v>
      </c>
      <c r="T130" s="62" t="s">
        <v>728</v>
      </c>
      <c r="U130">
        <f t="shared" ref="U130:U153" si="63">CONVERT(1,T130,"m2")</f>
        <v>4046.8726098742522</v>
      </c>
      <c r="V130">
        <f t="shared" ref="V130:V153" si="64">CONVERT(2,T130,"m2")/U130</f>
        <v>2</v>
      </c>
      <c r="W130">
        <f t="shared" ref="W130:W153" si="65">CONVERT(U130,"m2",T130)</f>
        <v>1</v>
      </c>
      <c r="X130" t="e">
        <f t="shared" si="61"/>
        <v>#N/A</v>
      </c>
      <c r="Y130" t="e">
        <f t="shared" ref="Y130:AM130" si="66">CONVERT(1,Y$1&amp;$T130,"m2")</f>
        <v>#N/A</v>
      </c>
      <c r="Z130" t="e">
        <f t="shared" si="66"/>
        <v>#N/A</v>
      </c>
      <c r="AA130" t="e">
        <f t="shared" si="66"/>
        <v>#N/A</v>
      </c>
      <c r="AB130" t="e">
        <f t="shared" si="66"/>
        <v>#N/A</v>
      </c>
      <c r="AC130" t="e">
        <f t="shared" si="66"/>
        <v>#N/A</v>
      </c>
      <c r="AD130" t="e">
        <f t="shared" si="66"/>
        <v>#N/A</v>
      </c>
      <c r="AE130" t="e">
        <f t="shared" si="66"/>
        <v>#N/A</v>
      </c>
      <c r="AF130" t="e">
        <f t="shared" si="66"/>
        <v>#N/A</v>
      </c>
      <c r="AG130" t="e">
        <f t="shared" si="66"/>
        <v>#N/A</v>
      </c>
      <c r="AH130" t="e">
        <f t="shared" si="66"/>
        <v>#N/A</v>
      </c>
      <c r="AI130" t="e">
        <f t="shared" si="66"/>
        <v>#N/A</v>
      </c>
      <c r="AJ130" t="e">
        <f t="shared" si="66"/>
        <v>#N/A</v>
      </c>
      <c r="AK130" t="e">
        <f t="shared" si="66"/>
        <v>#N/A</v>
      </c>
      <c r="AL130" t="e">
        <f t="shared" si="66"/>
        <v>#N/A</v>
      </c>
      <c r="AM130" t="e">
        <f t="shared" si="66"/>
        <v>#N/A</v>
      </c>
      <c r="AN130" t="e">
        <f t="shared" si="62"/>
        <v>#N/A</v>
      </c>
      <c r="AO130" t="e">
        <f t="shared" si="62"/>
        <v>#N/A</v>
      </c>
      <c r="AP130" t="e">
        <f t="shared" si="62"/>
        <v>#N/A</v>
      </c>
      <c r="AQ130" t="e">
        <f t="shared" si="62"/>
        <v>#N/A</v>
      </c>
      <c r="AR130" t="e">
        <f t="shared" si="62"/>
        <v>#N/A</v>
      </c>
    </row>
    <row r="131" spans="2:44" x14ac:dyDescent="0.2">
      <c r="B131">
        <f t="shared" ref="B131:B160" si="67">TRUNC(E131)</f>
        <v>0</v>
      </c>
      <c r="C131">
        <f t="shared" ref="C131:C160" si="68">TRUNC(E131,1)</f>
        <v>0.2</v>
      </c>
      <c r="D131">
        <f t="shared" ref="D131:D160" si="69">TRUNC(E131,-1)</f>
        <v>0</v>
      </c>
      <c r="E131">
        <v>0.27000000000000085</v>
      </c>
      <c r="T131" s="62" t="s">
        <v>729</v>
      </c>
      <c r="U131">
        <f t="shared" si="63"/>
        <v>9.9999999999999995E-21</v>
      </c>
      <c r="V131">
        <f t="shared" si="64"/>
        <v>2</v>
      </c>
      <c r="W131">
        <f t="shared" si="65"/>
        <v>1</v>
      </c>
      <c r="X131">
        <f t="shared" si="61"/>
        <v>9.9999999999999996E+27</v>
      </c>
      <c r="Y131">
        <f t="shared" si="62"/>
        <v>1E+22</v>
      </c>
      <c r="Z131">
        <f t="shared" si="62"/>
        <v>1E+16</v>
      </c>
      <c r="AA131">
        <f t="shared" si="62"/>
        <v>10000000000</v>
      </c>
      <c r="AB131">
        <f t="shared" si="62"/>
        <v>10000</v>
      </c>
      <c r="AC131">
        <f t="shared" si="62"/>
        <v>0.01</v>
      </c>
      <c r="AD131">
        <f t="shared" si="62"/>
        <v>1E-8</v>
      </c>
      <c r="AE131">
        <f t="shared" si="62"/>
        <v>1E-14</v>
      </c>
      <c r="AF131">
        <f t="shared" si="62"/>
        <v>9.9999999999999998E-17</v>
      </c>
      <c r="AG131">
        <f t="shared" si="62"/>
        <v>9.9999999999999988E-19</v>
      </c>
      <c r="AH131">
        <f t="shared" si="62"/>
        <v>9.9999999999999988E-19</v>
      </c>
      <c r="AI131">
        <f t="shared" si="62"/>
        <v>9.9999999999999993E-23</v>
      </c>
      <c r="AJ131">
        <f t="shared" si="62"/>
        <v>9.9999999999999992E-25</v>
      </c>
      <c r="AK131">
        <f t="shared" si="62"/>
        <v>9.999999999999999E-27</v>
      </c>
      <c r="AL131">
        <f t="shared" si="62"/>
        <v>9.9999999999999992E-33</v>
      </c>
      <c r="AM131">
        <f t="shared" si="62"/>
        <v>9.9999999999999996E-39</v>
      </c>
      <c r="AN131">
        <f t="shared" si="62"/>
        <v>9.9999999999999983E-45</v>
      </c>
      <c r="AO131">
        <f t="shared" si="62"/>
        <v>1E-50</v>
      </c>
      <c r="AP131">
        <f t="shared" si="62"/>
        <v>9.9999999999999993E-57</v>
      </c>
      <c r="AQ131">
        <f t="shared" si="62"/>
        <v>1E-62</v>
      </c>
      <c r="AR131">
        <f t="shared" si="62"/>
        <v>9.9999999999999986E-69</v>
      </c>
    </row>
    <row r="132" spans="2:44" x14ac:dyDescent="0.2">
      <c r="B132">
        <f t="shared" si="67"/>
        <v>0</v>
      </c>
      <c r="C132">
        <f t="shared" si="68"/>
        <v>0.2</v>
      </c>
      <c r="D132">
        <f t="shared" si="69"/>
        <v>0</v>
      </c>
      <c r="E132">
        <v>0.28000000000000086</v>
      </c>
      <c r="T132" s="62" t="s">
        <v>742</v>
      </c>
      <c r="U132">
        <f>CONVERT(1,T132,"m2")</f>
        <v>9.9999999999999995E-21</v>
      </c>
      <c r="V132">
        <f t="shared" si="64"/>
        <v>2</v>
      </c>
      <c r="W132">
        <f t="shared" si="65"/>
        <v>1</v>
      </c>
      <c r="X132">
        <f t="shared" si="61"/>
        <v>9.9999999999999996E+27</v>
      </c>
      <c r="Y132">
        <f t="shared" si="62"/>
        <v>1E+22</v>
      </c>
      <c r="Z132">
        <f t="shared" si="62"/>
        <v>1E+16</v>
      </c>
      <c r="AA132">
        <f t="shared" si="62"/>
        <v>10000000000</v>
      </c>
      <c r="AB132">
        <f t="shared" si="62"/>
        <v>10000</v>
      </c>
      <c r="AC132">
        <f t="shared" si="62"/>
        <v>0.01</v>
      </c>
      <c r="AD132">
        <f t="shared" si="62"/>
        <v>1E-8</v>
      </c>
      <c r="AE132">
        <f t="shared" si="62"/>
        <v>1E-14</v>
      </c>
      <c r="AF132">
        <f t="shared" si="62"/>
        <v>9.9999999999999998E-17</v>
      </c>
      <c r="AG132">
        <f t="shared" si="62"/>
        <v>9.9999999999999988E-19</v>
      </c>
      <c r="AH132">
        <f t="shared" si="62"/>
        <v>9.9999999999999988E-19</v>
      </c>
      <c r="AI132">
        <f t="shared" si="62"/>
        <v>9.9999999999999993E-23</v>
      </c>
      <c r="AJ132">
        <f t="shared" si="62"/>
        <v>9.9999999999999992E-25</v>
      </c>
      <c r="AK132">
        <f t="shared" si="62"/>
        <v>9.999999999999999E-27</v>
      </c>
      <c r="AL132">
        <f t="shared" si="62"/>
        <v>9.9999999999999992E-33</v>
      </c>
      <c r="AM132">
        <f t="shared" si="62"/>
        <v>9.9999999999999996E-39</v>
      </c>
      <c r="AN132">
        <f t="shared" si="62"/>
        <v>9.9999999999999983E-45</v>
      </c>
      <c r="AO132">
        <f t="shared" si="62"/>
        <v>1E-50</v>
      </c>
      <c r="AP132">
        <f t="shared" si="62"/>
        <v>9.9999999999999993E-57</v>
      </c>
      <c r="AQ132">
        <f t="shared" si="62"/>
        <v>1E-62</v>
      </c>
      <c r="AR132">
        <f t="shared" si="62"/>
        <v>9.9999999999999986E-69</v>
      </c>
    </row>
    <row r="133" spans="2:44" x14ac:dyDescent="0.2">
      <c r="B133">
        <f t="shared" si="67"/>
        <v>0</v>
      </c>
      <c r="C133">
        <f t="shared" si="68"/>
        <v>0.2</v>
      </c>
      <c r="D133">
        <f t="shared" si="69"/>
        <v>0</v>
      </c>
      <c r="E133">
        <v>0.29000000000000087</v>
      </c>
      <c r="T133" s="62" t="s">
        <v>730</v>
      </c>
      <c r="U133">
        <f t="shared" si="63"/>
        <v>100</v>
      </c>
      <c r="V133">
        <f t="shared" si="64"/>
        <v>2</v>
      </c>
      <c r="W133">
        <f t="shared" si="65"/>
        <v>1</v>
      </c>
      <c r="X133">
        <f t="shared" si="61"/>
        <v>1E+26</v>
      </c>
      <c r="Y133">
        <f t="shared" si="62"/>
        <v>9.9999999999999992E+22</v>
      </c>
      <c r="Z133">
        <f t="shared" si="62"/>
        <v>1E+20</v>
      </c>
      <c r="AA133">
        <f t="shared" si="62"/>
        <v>1E+17</v>
      </c>
      <c r="AB133">
        <f t="shared" si="62"/>
        <v>100000000000000</v>
      </c>
      <c r="AC133">
        <f t="shared" si="62"/>
        <v>100000000000</v>
      </c>
      <c r="AD133">
        <f t="shared" si="62"/>
        <v>100000000</v>
      </c>
      <c r="AE133">
        <f t="shared" si="62"/>
        <v>100000</v>
      </c>
      <c r="AF133">
        <f t="shared" si="62"/>
        <v>10000</v>
      </c>
      <c r="AG133">
        <f t="shared" si="62"/>
        <v>1000</v>
      </c>
      <c r="AH133">
        <f t="shared" si="62"/>
        <v>1000</v>
      </c>
      <c r="AI133">
        <f t="shared" si="62"/>
        <v>10</v>
      </c>
      <c r="AJ133">
        <f t="shared" si="62"/>
        <v>1</v>
      </c>
      <c r="AK133">
        <f t="shared" si="62"/>
        <v>0.1</v>
      </c>
      <c r="AL133">
        <f t="shared" si="62"/>
        <v>9.9999999999999991E-5</v>
      </c>
      <c r="AM133">
        <f t="shared" si="62"/>
        <v>1.0000000000000001E-7</v>
      </c>
      <c r="AN133">
        <f t="shared" si="62"/>
        <v>1E-10</v>
      </c>
      <c r="AO133">
        <f t="shared" si="62"/>
        <v>1E-13</v>
      </c>
      <c r="AP133">
        <f t="shared" si="62"/>
        <v>1.0000000000000001E-16</v>
      </c>
      <c r="AQ133">
        <f t="shared" si="62"/>
        <v>9.9999999999999985E-20</v>
      </c>
      <c r="AR133">
        <f t="shared" si="62"/>
        <v>9.9999999999999993E-23</v>
      </c>
    </row>
    <row r="134" spans="2:44" x14ac:dyDescent="0.2">
      <c r="B134">
        <f t="shared" si="67"/>
        <v>0</v>
      </c>
      <c r="C134">
        <f t="shared" si="68"/>
        <v>0.3</v>
      </c>
      <c r="D134">
        <f t="shared" si="69"/>
        <v>0</v>
      </c>
      <c r="E134">
        <v>0.30000000000000088</v>
      </c>
      <c r="T134" s="62" t="s">
        <v>731</v>
      </c>
      <c r="U134">
        <f t="shared" si="63"/>
        <v>9.2903040000000006E-2</v>
      </c>
      <c r="V134">
        <f t="shared" si="64"/>
        <v>2</v>
      </c>
      <c r="W134">
        <f t="shared" si="65"/>
        <v>1</v>
      </c>
      <c r="X134" t="e">
        <f t="shared" si="61"/>
        <v>#N/A</v>
      </c>
      <c r="Y134" t="e">
        <f t="shared" si="62"/>
        <v>#N/A</v>
      </c>
      <c r="Z134" t="e">
        <f t="shared" si="62"/>
        <v>#N/A</v>
      </c>
      <c r="AA134" t="e">
        <f t="shared" si="62"/>
        <v>#N/A</v>
      </c>
      <c r="AB134" t="e">
        <f t="shared" si="62"/>
        <v>#N/A</v>
      </c>
      <c r="AC134" t="e">
        <f t="shared" si="62"/>
        <v>#N/A</v>
      </c>
      <c r="AD134" t="e">
        <f t="shared" si="62"/>
        <v>#N/A</v>
      </c>
      <c r="AE134" t="e">
        <f t="shared" si="62"/>
        <v>#N/A</v>
      </c>
      <c r="AF134" t="e">
        <f t="shared" si="62"/>
        <v>#N/A</v>
      </c>
      <c r="AG134" t="e">
        <f t="shared" si="62"/>
        <v>#N/A</v>
      </c>
      <c r="AH134" t="e">
        <f t="shared" si="62"/>
        <v>#N/A</v>
      </c>
      <c r="AI134" t="e">
        <f t="shared" si="62"/>
        <v>#N/A</v>
      </c>
      <c r="AJ134" t="e">
        <f t="shared" si="62"/>
        <v>#N/A</v>
      </c>
      <c r="AK134" t="e">
        <f t="shared" si="62"/>
        <v>#N/A</v>
      </c>
      <c r="AL134" t="e">
        <f t="shared" si="62"/>
        <v>#N/A</v>
      </c>
      <c r="AM134" t="e">
        <f t="shared" si="62"/>
        <v>#N/A</v>
      </c>
      <c r="AN134" t="e">
        <f t="shared" si="62"/>
        <v>#N/A</v>
      </c>
      <c r="AO134" t="e">
        <f t="shared" si="62"/>
        <v>#N/A</v>
      </c>
      <c r="AP134" t="e">
        <f t="shared" si="62"/>
        <v>#N/A</v>
      </c>
      <c r="AQ134" t="e">
        <f t="shared" si="62"/>
        <v>#N/A</v>
      </c>
      <c r="AR134" t="e">
        <f t="shared" si="62"/>
        <v>#N/A</v>
      </c>
    </row>
    <row r="135" spans="2:44" x14ac:dyDescent="0.2">
      <c r="B135">
        <f t="shared" si="67"/>
        <v>0</v>
      </c>
      <c r="C135">
        <f t="shared" si="68"/>
        <v>0.3</v>
      </c>
      <c r="D135">
        <f t="shared" si="69"/>
        <v>0</v>
      </c>
      <c r="E135">
        <v>0.31000000000000089</v>
      </c>
      <c r="T135" s="62" t="s">
        <v>743</v>
      </c>
      <c r="U135">
        <f t="shared" si="63"/>
        <v>9.2903040000000006E-2</v>
      </c>
      <c r="V135">
        <f t="shared" si="64"/>
        <v>2</v>
      </c>
      <c r="W135">
        <f t="shared" si="65"/>
        <v>1</v>
      </c>
      <c r="X135" t="e">
        <f t="shared" si="61"/>
        <v>#N/A</v>
      </c>
      <c r="Y135" t="e">
        <f t="shared" si="62"/>
        <v>#N/A</v>
      </c>
      <c r="Z135" t="e">
        <f t="shared" si="62"/>
        <v>#N/A</v>
      </c>
      <c r="AA135" t="e">
        <f t="shared" si="62"/>
        <v>#N/A</v>
      </c>
      <c r="AB135" t="e">
        <f t="shared" si="62"/>
        <v>#N/A</v>
      </c>
      <c r="AC135" t="e">
        <f t="shared" si="62"/>
        <v>#N/A</v>
      </c>
      <c r="AD135" t="e">
        <f t="shared" si="62"/>
        <v>#N/A</v>
      </c>
      <c r="AE135" t="e">
        <f t="shared" si="62"/>
        <v>#N/A</v>
      </c>
      <c r="AF135" t="e">
        <f t="shared" si="62"/>
        <v>#N/A</v>
      </c>
      <c r="AG135" t="e">
        <f t="shared" si="62"/>
        <v>#N/A</v>
      </c>
      <c r="AH135" t="e">
        <f t="shared" si="62"/>
        <v>#N/A</v>
      </c>
      <c r="AI135" t="e">
        <f t="shared" si="62"/>
        <v>#N/A</v>
      </c>
      <c r="AJ135" t="e">
        <f t="shared" si="62"/>
        <v>#N/A</v>
      </c>
      <c r="AK135" t="e">
        <f t="shared" si="62"/>
        <v>#N/A</v>
      </c>
      <c r="AL135" t="e">
        <f t="shared" si="62"/>
        <v>#N/A</v>
      </c>
      <c r="AM135" t="e">
        <f t="shared" si="62"/>
        <v>#N/A</v>
      </c>
      <c r="AN135" t="e">
        <f t="shared" si="62"/>
        <v>#N/A</v>
      </c>
      <c r="AO135" t="e">
        <f t="shared" si="62"/>
        <v>#N/A</v>
      </c>
      <c r="AP135" t="e">
        <f t="shared" si="62"/>
        <v>#N/A</v>
      </c>
      <c r="AQ135" t="e">
        <f t="shared" si="62"/>
        <v>#N/A</v>
      </c>
      <c r="AR135" t="e">
        <f t="shared" si="62"/>
        <v>#N/A</v>
      </c>
    </row>
    <row r="136" spans="2:44" x14ac:dyDescent="0.2">
      <c r="B136">
        <f t="shared" si="67"/>
        <v>0</v>
      </c>
      <c r="C136">
        <f t="shared" si="68"/>
        <v>0.3</v>
      </c>
      <c r="D136">
        <f t="shared" si="69"/>
        <v>0</v>
      </c>
      <c r="E136">
        <v>0.32000000000000089</v>
      </c>
      <c r="T136" s="62" t="s">
        <v>732</v>
      </c>
      <c r="U136">
        <f t="shared" si="63"/>
        <v>10000</v>
      </c>
      <c r="V136">
        <f t="shared" si="64"/>
        <v>2</v>
      </c>
      <c r="W136">
        <f t="shared" si="65"/>
        <v>1</v>
      </c>
      <c r="X136" t="e">
        <f t="shared" si="61"/>
        <v>#N/A</v>
      </c>
      <c r="Y136" t="e">
        <f t="shared" si="62"/>
        <v>#N/A</v>
      </c>
      <c r="Z136" t="e">
        <f t="shared" si="62"/>
        <v>#N/A</v>
      </c>
      <c r="AA136" t="e">
        <f t="shared" si="62"/>
        <v>#N/A</v>
      </c>
      <c r="AB136" t="e">
        <f t="shared" si="62"/>
        <v>#N/A</v>
      </c>
      <c r="AC136" t="e">
        <f t="shared" si="62"/>
        <v>#N/A</v>
      </c>
      <c r="AD136" t="e">
        <f t="shared" si="62"/>
        <v>#N/A</v>
      </c>
      <c r="AE136" t="e">
        <f t="shared" si="62"/>
        <v>#N/A</v>
      </c>
      <c r="AF136" t="e">
        <f t="shared" si="62"/>
        <v>#N/A</v>
      </c>
      <c r="AG136" t="e">
        <f t="shared" si="62"/>
        <v>#N/A</v>
      </c>
      <c r="AH136" t="e">
        <f t="shared" si="62"/>
        <v>#N/A</v>
      </c>
      <c r="AI136" t="e">
        <f t="shared" si="62"/>
        <v>#N/A</v>
      </c>
      <c r="AJ136" t="e">
        <f t="shared" si="62"/>
        <v>#N/A</v>
      </c>
      <c r="AK136" t="e">
        <f t="shared" si="62"/>
        <v>#N/A</v>
      </c>
      <c r="AL136" t="e">
        <f t="shared" si="62"/>
        <v>#N/A</v>
      </c>
      <c r="AM136" t="e">
        <f t="shared" si="62"/>
        <v>#N/A</v>
      </c>
      <c r="AN136" t="e">
        <f t="shared" si="62"/>
        <v>#N/A</v>
      </c>
      <c r="AO136" t="e">
        <f t="shared" si="62"/>
        <v>#N/A</v>
      </c>
      <c r="AP136" t="e">
        <f t="shared" si="62"/>
        <v>#N/A</v>
      </c>
      <c r="AQ136" t="e">
        <f t="shared" si="62"/>
        <v>#N/A</v>
      </c>
      <c r="AR136" t="e">
        <f t="shared" si="62"/>
        <v>#N/A</v>
      </c>
    </row>
    <row r="137" spans="2:44" x14ac:dyDescent="0.2">
      <c r="B137">
        <f t="shared" si="67"/>
        <v>0</v>
      </c>
      <c r="C137">
        <f t="shared" si="68"/>
        <v>0.3</v>
      </c>
      <c r="D137">
        <f t="shared" si="69"/>
        <v>0</v>
      </c>
      <c r="E137">
        <v>0.3300000000000009</v>
      </c>
      <c r="T137" s="62" t="s">
        <v>733</v>
      </c>
      <c r="U137">
        <f t="shared" si="63"/>
        <v>6.4515999999999998E-4</v>
      </c>
      <c r="V137">
        <f t="shared" si="64"/>
        <v>2</v>
      </c>
      <c r="W137">
        <f t="shared" si="65"/>
        <v>1</v>
      </c>
      <c r="X137" t="e">
        <f t="shared" si="61"/>
        <v>#N/A</v>
      </c>
      <c r="Y137" t="e">
        <f t="shared" si="62"/>
        <v>#N/A</v>
      </c>
      <c r="Z137" t="e">
        <f t="shared" si="62"/>
        <v>#N/A</v>
      </c>
      <c r="AA137" t="e">
        <f t="shared" si="62"/>
        <v>#N/A</v>
      </c>
      <c r="AB137" t="e">
        <f t="shared" si="62"/>
        <v>#N/A</v>
      </c>
      <c r="AC137" t="e">
        <f t="shared" si="62"/>
        <v>#N/A</v>
      </c>
      <c r="AD137" t="e">
        <f t="shared" si="62"/>
        <v>#N/A</v>
      </c>
      <c r="AE137" t="e">
        <f t="shared" si="62"/>
        <v>#N/A</v>
      </c>
      <c r="AF137" t="e">
        <f t="shared" si="62"/>
        <v>#N/A</v>
      </c>
      <c r="AG137" t="e">
        <f t="shared" si="62"/>
        <v>#N/A</v>
      </c>
      <c r="AH137" t="e">
        <f t="shared" si="62"/>
        <v>#N/A</v>
      </c>
      <c r="AI137" t="e">
        <f t="shared" si="62"/>
        <v>#N/A</v>
      </c>
      <c r="AJ137" t="e">
        <f t="shared" si="62"/>
        <v>#N/A</v>
      </c>
      <c r="AK137" t="e">
        <f t="shared" si="62"/>
        <v>#N/A</v>
      </c>
      <c r="AL137" t="e">
        <f t="shared" si="62"/>
        <v>#N/A</v>
      </c>
      <c r="AM137" t="e">
        <f t="shared" si="62"/>
        <v>#N/A</v>
      </c>
      <c r="AN137" t="e">
        <f t="shared" si="62"/>
        <v>#N/A</v>
      </c>
      <c r="AO137" t="e">
        <f t="shared" si="62"/>
        <v>#N/A</v>
      </c>
      <c r="AP137" t="e">
        <f t="shared" si="62"/>
        <v>#N/A</v>
      </c>
      <c r="AQ137" t="e">
        <f t="shared" si="62"/>
        <v>#N/A</v>
      </c>
      <c r="AR137" t="e">
        <f t="shared" si="62"/>
        <v>#N/A</v>
      </c>
    </row>
    <row r="138" spans="2:44" x14ac:dyDescent="0.2">
      <c r="B138">
        <f t="shared" si="67"/>
        <v>0</v>
      </c>
      <c r="C138">
        <f t="shared" si="68"/>
        <v>0.3</v>
      </c>
      <c r="D138">
        <f t="shared" si="69"/>
        <v>0</v>
      </c>
      <c r="E138">
        <v>0.34000000000000091</v>
      </c>
      <c r="T138" s="67" t="s">
        <v>744</v>
      </c>
      <c r="U138">
        <f t="shared" si="63"/>
        <v>6.4515999999999998E-4</v>
      </c>
      <c r="V138">
        <f t="shared" si="64"/>
        <v>2</v>
      </c>
      <c r="W138">
        <f t="shared" si="65"/>
        <v>1</v>
      </c>
      <c r="X138" t="e">
        <f t="shared" si="61"/>
        <v>#N/A</v>
      </c>
      <c r="Y138" t="e">
        <f t="shared" si="62"/>
        <v>#N/A</v>
      </c>
      <c r="Z138" t="e">
        <f t="shared" si="62"/>
        <v>#N/A</v>
      </c>
      <c r="AA138" t="e">
        <f t="shared" si="62"/>
        <v>#N/A</v>
      </c>
      <c r="AB138" t="e">
        <f t="shared" si="62"/>
        <v>#N/A</v>
      </c>
      <c r="AC138" t="e">
        <f t="shared" si="62"/>
        <v>#N/A</v>
      </c>
      <c r="AD138" t="e">
        <f t="shared" si="62"/>
        <v>#N/A</v>
      </c>
      <c r="AE138" t="e">
        <f t="shared" si="62"/>
        <v>#N/A</v>
      </c>
      <c r="AF138" t="e">
        <f t="shared" si="62"/>
        <v>#N/A</v>
      </c>
      <c r="AG138" t="e">
        <f t="shared" si="62"/>
        <v>#N/A</v>
      </c>
      <c r="AH138" t="e">
        <f t="shared" si="62"/>
        <v>#N/A</v>
      </c>
      <c r="AI138" t="e">
        <f t="shared" si="62"/>
        <v>#N/A</v>
      </c>
      <c r="AJ138" t="e">
        <f t="shared" si="62"/>
        <v>#N/A</v>
      </c>
      <c r="AK138" t="e">
        <f t="shared" si="62"/>
        <v>#N/A</v>
      </c>
      <c r="AL138" t="e">
        <f t="shared" si="62"/>
        <v>#N/A</v>
      </c>
      <c r="AM138" t="e">
        <f t="shared" si="62"/>
        <v>#N/A</v>
      </c>
      <c r="AN138" t="e">
        <f t="shared" si="62"/>
        <v>#N/A</v>
      </c>
      <c r="AO138" t="e">
        <f t="shared" si="62"/>
        <v>#N/A</v>
      </c>
      <c r="AP138" t="e">
        <f t="shared" si="62"/>
        <v>#N/A</v>
      </c>
      <c r="AQ138" t="e">
        <f t="shared" si="62"/>
        <v>#N/A</v>
      </c>
      <c r="AR138" t="e">
        <f t="shared" si="62"/>
        <v>#N/A</v>
      </c>
    </row>
    <row r="139" spans="2:44" x14ac:dyDescent="0.2">
      <c r="B139">
        <f t="shared" si="67"/>
        <v>0</v>
      </c>
      <c r="C139">
        <f t="shared" si="68"/>
        <v>0.3</v>
      </c>
      <c r="D139">
        <f t="shared" si="69"/>
        <v>0</v>
      </c>
      <c r="E139">
        <v>0.35000000000000092</v>
      </c>
      <c r="T139" s="62" t="s">
        <v>734</v>
      </c>
      <c r="U139">
        <f t="shared" si="63"/>
        <v>8.9505421074818892E+31</v>
      </c>
      <c r="V139">
        <f t="shared" si="64"/>
        <v>2</v>
      </c>
      <c r="W139">
        <f t="shared" si="65"/>
        <v>0.99999999999999989</v>
      </c>
      <c r="X139" t="e">
        <f t="shared" si="61"/>
        <v>#N/A</v>
      </c>
      <c r="Y139" t="e">
        <f t="shared" si="62"/>
        <v>#N/A</v>
      </c>
      <c r="Z139" t="e">
        <f t="shared" si="62"/>
        <v>#N/A</v>
      </c>
      <c r="AA139" t="e">
        <f t="shared" si="62"/>
        <v>#N/A</v>
      </c>
      <c r="AB139" t="e">
        <f t="shared" si="62"/>
        <v>#N/A</v>
      </c>
      <c r="AC139" t="e">
        <f t="shared" si="62"/>
        <v>#N/A</v>
      </c>
      <c r="AD139" t="e">
        <f t="shared" si="62"/>
        <v>#N/A</v>
      </c>
      <c r="AE139" t="e">
        <f t="shared" si="62"/>
        <v>#N/A</v>
      </c>
      <c r="AF139" t="e">
        <f t="shared" si="62"/>
        <v>#N/A</v>
      </c>
      <c r="AG139" t="e">
        <f t="shared" si="62"/>
        <v>#N/A</v>
      </c>
      <c r="AH139" t="e">
        <f t="shared" si="62"/>
        <v>#N/A</v>
      </c>
      <c r="AI139" t="e">
        <f t="shared" si="62"/>
        <v>#N/A</v>
      </c>
      <c r="AJ139" t="e">
        <f t="shared" si="62"/>
        <v>#N/A</v>
      </c>
      <c r="AK139" t="e">
        <f t="shared" si="62"/>
        <v>#N/A</v>
      </c>
      <c r="AL139" t="e">
        <f t="shared" si="62"/>
        <v>#N/A</v>
      </c>
      <c r="AM139" t="e">
        <f t="shared" si="62"/>
        <v>#N/A</v>
      </c>
      <c r="AN139" t="e">
        <f t="shared" si="62"/>
        <v>#N/A</v>
      </c>
      <c r="AO139" t="e">
        <f t="shared" si="62"/>
        <v>#N/A</v>
      </c>
      <c r="AP139" t="e">
        <f t="shared" si="62"/>
        <v>#N/A</v>
      </c>
      <c r="AQ139" t="e">
        <f t="shared" si="62"/>
        <v>#N/A</v>
      </c>
      <c r="AR139" t="e">
        <f t="shared" si="62"/>
        <v>#N/A</v>
      </c>
    </row>
    <row r="140" spans="2:44" x14ac:dyDescent="0.2">
      <c r="B140">
        <f t="shared" si="67"/>
        <v>0</v>
      </c>
      <c r="C140">
        <f t="shared" si="68"/>
        <v>0.3</v>
      </c>
      <c r="D140">
        <f t="shared" si="69"/>
        <v>0</v>
      </c>
      <c r="E140">
        <v>0.36000000000000093</v>
      </c>
      <c r="T140" s="62" t="s">
        <v>745</v>
      </c>
      <c r="U140">
        <f t="shared" si="63"/>
        <v>8.9505421074818892E+31</v>
      </c>
      <c r="V140">
        <f t="shared" si="64"/>
        <v>2</v>
      </c>
      <c r="W140">
        <f t="shared" si="65"/>
        <v>0.99999999999999989</v>
      </c>
      <c r="X140" t="e">
        <f t="shared" si="61"/>
        <v>#N/A</v>
      </c>
      <c r="Y140" t="e">
        <f t="shared" si="62"/>
        <v>#N/A</v>
      </c>
      <c r="Z140" t="e">
        <f t="shared" si="62"/>
        <v>#N/A</v>
      </c>
      <c r="AA140" t="e">
        <f t="shared" si="62"/>
        <v>#N/A</v>
      </c>
      <c r="AB140" t="e">
        <f t="shared" si="62"/>
        <v>#N/A</v>
      </c>
      <c r="AC140" t="e">
        <f t="shared" si="62"/>
        <v>#N/A</v>
      </c>
      <c r="AD140" t="e">
        <f t="shared" si="62"/>
        <v>#N/A</v>
      </c>
      <c r="AE140" t="e">
        <f t="shared" si="62"/>
        <v>#N/A</v>
      </c>
      <c r="AF140" t="e">
        <f t="shared" si="62"/>
        <v>#N/A</v>
      </c>
      <c r="AG140" t="e">
        <f t="shared" si="62"/>
        <v>#N/A</v>
      </c>
      <c r="AH140" t="e">
        <f t="shared" si="62"/>
        <v>#N/A</v>
      </c>
      <c r="AI140" t="e">
        <f t="shared" si="62"/>
        <v>#N/A</v>
      </c>
      <c r="AJ140" t="e">
        <f t="shared" si="62"/>
        <v>#N/A</v>
      </c>
      <c r="AK140" t="e">
        <f t="shared" si="62"/>
        <v>#N/A</v>
      </c>
      <c r="AL140" t="e">
        <f t="shared" si="62"/>
        <v>#N/A</v>
      </c>
      <c r="AM140" t="e">
        <f t="shared" si="62"/>
        <v>#N/A</v>
      </c>
      <c r="AN140" t="e">
        <f t="shared" si="62"/>
        <v>#N/A</v>
      </c>
      <c r="AO140" t="e">
        <f t="shared" si="62"/>
        <v>#N/A</v>
      </c>
      <c r="AP140" t="e">
        <f t="shared" si="62"/>
        <v>#N/A</v>
      </c>
      <c r="AQ140" t="e">
        <f t="shared" si="62"/>
        <v>#N/A</v>
      </c>
      <c r="AR140" t="e">
        <f t="shared" si="62"/>
        <v>#N/A</v>
      </c>
    </row>
    <row r="141" spans="2:44" x14ac:dyDescent="0.2">
      <c r="B141">
        <f t="shared" si="67"/>
        <v>0</v>
      </c>
      <c r="C141">
        <f t="shared" si="68"/>
        <v>0.3</v>
      </c>
      <c r="D141">
        <f t="shared" si="69"/>
        <v>0</v>
      </c>
      <c r="E141">
        <v>0.37000000000000094</v>
      </c>
      <c r="T141" s="62" t="s">
        <v>735</v>
      </c>
      <c r="U141">
        <f>CONVERT(1,T141,"m2")</f>
        <v>1</v>
      </c>
      <c r="V141">
        <f t="shared" si="64"/>
        <v>2</v>
      </c>
      <c r="W141">
        <f t="shared" si="65"/>
        <v>1</v>
      </c>
      <c r="AB141">
        <f t="shared" si="62"/>
        <v>9.9999999999999998E+23</v>
      </c>
      <c r="AC141">
        <f t="shared" si="62"/>
        <v>1E+18</v>
      </c>
      <c r="AD141">
        <f t="shared" si="62"/>
        <v>1000000000000</v>
      </c>
      <c r="AE141">
        <f t="shared" si="62"/>
        <v>1000000</v>
      </c>
      <c r="AF141">
        <f t="shared" si="62"/>
        <v>10000</v>
      </c>
      <c r="AG141">
        <f t="shared" si="62"/>
        <v>100</v>
      </c>
      <c r="AH141">
        <f t="shared" si="62"/>
        <v>100</v>
      </c>
      <c r="AI141">
        <f t="shared" si="62"/>
        <v>0.01</v>
      </c>
      <c r="AJ141">
        <f t="shared" si="62"/>
        <v>1E-4</v>
      </c>
      <c r="AK141">
        <f t="shared" si="62"/>
        <v>9.9999999999999995E-7</v>
      </c>
      <c r="AL141">
        <f t="shared" si="62"/>
        <v>9.9999999999999998E-13</v>
      </c>
      <c r="AM141">
        <f t="shared" si="62"/>
        <v>1.0000000000000001E-18</v>
      </c>
      <c r="AN141">
        <f t="shared" si="62"/>
        <v>9.9999999999999992E-25</v>
      </c>
      <c r="AO141">
        <f t="shared" si="62"/>
        <v>1.0000000000000001E-30</v>
      </c>
      <c r="AP141">
        <f t="shared" si="62"/>
        <v>9.9999999999999994E-37</v>
      </c>
      <c r="AQ141">
        <f t="shared" si="62"/>
        <v>1E-42</v>
      </c>
      <c r="AR141">
        <f t="shared" si="62"/>
        <v>9.9999999999999997E-49</v>
      </c>
    </row>
    <row r="142" spans="2:44" x14ac:dyDescent="0.2">
      <c r="B142">
        <f t="shared" si="67"/>
        <v>0</v>
      </c>
      <c r="C142">
        <f t="shared" si="68"/>
        <v>0.3</v>
      </c>
      <c r="D142">
        <f t="shared" si="69"/>
        <v>0</v>
      </c>
      <c r="E142">
        <v>0.38000000000000095</v>
      </c>
      <c r="T142" s="62" t="s">
        <v>746</v>
      </c>
      <c r="U142">
        <f t="shared" si="63"/>
        <v>1</v>
      </c>
      <c r="V142">
        <f t="shared" si="64"/>
        <v>2</v>
      </c>
      <c r="W142">
        <f t="shared" si="65"/>
        <v>1</v>
      </c>
      <c r="AB142">
        <f t="shared" si="62"/>
        <v>9.9999999999999998E+23</v>
      </c>
      <c r="AC142">
        <f t="shared" si="62"/>
        <v>1E+18</v>
      </c>
      <c r="AD142">
        <f t="shared" si="62"/>
        <v>1000000000000</v>
      </c>
      <c r="AE142">
        <f t="shared" si="62"/>
        <v>1000000</v>
      </c>
      <c r="AF142">
        <f t="shared" si="62"/>
        <v>10000</v>
      </c>
      <c r="AG142">
        <f t="shared" si="62"/>
        <v>100</v>
      </c>
      <c r="AH142">
        <f t="shared" si="62"/>
        <v>100</v>
      </c>
      <c r="AI142">
        <f t="shared" ref="Y142:AR153" si="70">CONVERT(1,AI$1&amp;$T142,"m2")</f>
        <v>0.01</v>
      </c>
      <c r="AJ142">
        <f t="shared" si="70"/>
        <v>1E-4</v>
      </c>
      <c r="AK142">
        <f t="shared" si="70"/>
        <v>9.9999999999999995E-7</v>
      </c>
      <c r="AL142">
        <f t="shared" si="70"/>
        <v>9.9999999999999998E-13</v>
      </c>
      <c r="AM142">
        <f t="shared" si="70"/>
        <v>1.0000000000000001E-18</v>
      </c>
      <c r="AN142">
        <f t="shared" si="70"/>
        <v>9.9999999999999992E-25</v>
      </c>
      <c r="AO142">
        <f t="shared" si="70"/>
        <v>1.0000000000000001E-30</v>
      </c>
      <c r="AP142">
        <f t="shared" si="70"/>
        <v>9.9999999999999994E-37</v>
      </c>
      <c r="AQ142">
        <f t="shared" si="70"/>
        <v>1E-42</v>
      </c>
      <c r="AR142">
        <f t="shared" si="70"/>
        <v>9.9999999999999997E-49</v>
      </c>
    </row>
    <row r="143" spans="2:44" x14ac:dyDescent="0.2">
      <c r="B143">
        <f t="shared" si="67"/>
        <v>0</v>
      </c>
      <c r="C143">
        <f t="shared" si="68"/>
        <v>0.3</v>
      </c>
      <c r="D143">
        <f t="shared" si="69"/>
        <v>0</v>
      </c>
      <c r="E143">
        <v>0.39000000000000096</v>
      </c>
      <c r="T143" s="62" t="s">
        <v>736</v>
      </c>
      <c r="U143">
        <f t="shared" si="63"/>
        <v>2500</v>
      </c>
      <c r="V143">
        <f t="shared" si="64"/>
        <v>2</v>
      </c>
      <c r="W143">
        <f t="shared" si="65"/>
        <v>1</v>
      </c>
      <c r="X143" t="e">
        <f t="shared" ref="X143:X153" si="71">CONVERT(1,X$1&amp;$T143,"m2")</f>
        <v>#N/A</v>
      </c>
      <c r="Y143" t="e">
        <f t="shared" si="70"/>
        <v>#N/A</v>
      </c>
      <c r="Z143" t="e">
        <f t="shared" si="70"/>
        <v>#N/A</v>
      </c>
      <c r="AA143" t="e">
        <f t="shared" si="70"/>
        <v>#N/A</v>
      </c>
      <c r="AB143" t="e">
        <f t="shared" si="70"/>
        <v>#N/A</v>
      </c>
      <c r="AC143" t="e">
        <f t="shared" si="70"/>
        <v>#N/A</v>
      </c>
      <c r="AD143" t="e">
        <f t="shared" si="70"/>
        <v>#N/A</v>
      </c>
      <c r="AE143" t="e">
        <f t="shared" si="70"/>
        <v>#N/A</v>
      </c>
      <c r="AF143" t="e">
        <f t="shared" si="70"/>
        <v>#N/A</v>
      </c>
      <c r="AG143" t="e">
        <f t="shared" si="70"/>
        <v>#N/A</v>
      </c>
      <c r="AH143" t="e">
        <f t="shared" si="70"/>
        <v>#N/A</v>
      </c>
      <c r="AI143" t="e">
        <f t="shared" si="70"/>
        <v>#N/A</v>
      </c>
      <c r="AJ143" t="e">
        <f t="shared" si="70"/>
        <v>#N/A</v>
      </c>
      <c r="AK143" t="e">
        <f t="shared" si="70"/>
        <v>#N/A</v>
      </c>
      <c r="AL143" t="e">
        <f t="shared" si="70"/>
        <v>#N/A</v>
      </c>
      <c r="AM143" t="e">
        <f t="shared" si="70"/>
        <v>#N/A</v>
      </c>
      <c r="AN143" t="e">
        <f t="shared" si="70"/>
        <v>#N/A</v>
      </c>
      <c r="AO143" t="e">
        <f t="shared" si="70"/>
        <v>#N/A</v>
      </c>
      <c r="AP143" t="e">
        <f t="shared" si="70"/>
        <v>#N/A</v>
      </c>
      <c r="AQ143" t="e">
        <f t="shared" si="70"/>
        <v>#N/A</v>
      </c>
      <c r="AR143" t="e">
        <f t="shared" si="70"/>
        <v>#N/A</v>
      </c>
    </row>
    <row r="144" spans="2:44" x14ac:dyDescent="0.2">
      <c r="B144">
        <f t="shared" si="67"/>
        <v>0</v>
      </c>
      <c r="C144">
        <f t="shared" si="68"/>
        <v>0.4</v>
      </c>
      <c r="D144">
        <f t="shared" si="69"/>
        <v>0</v>
      </c>
      <c r="E144">
        <v>0.40000000000000097</v>
      </c>
      <c r="T144" s="62" t="s">
        <v>737</v>
      </c>
      <c r="U144">
        <f t="shared" si="63"/>
        <v>2589988.1103360001</v>
      </c>
      <c r="V144">
        <f t="shared" si="64"/>
        <v>2</v>
      </c>
      <c r="W144">
        <f t="shared" si="65"/>
        <v>1</v>
      </c>
      <c r="X144" t="e">
        <f t="shared" si="71"/>
        <v>#N/A</v>
      </c>
      <c r="Y144" t="e">
        <f t="shared" si="70"/>
        <v>#N/A</v>
      </c>
      <c r="Z144" t="e">
        <f t="shared" si="70"/>
        <v>#N/A</v>
      </c>
      <c r="AA144" t="e">
        <f t="shared" si="70"/>
        <v>#N/A</v>
      </c>
      <c r="AB144" t="e">
        <f t="shared" si="70"/>
        <v>#N/A</v>
      </c>
      <c r="AC144" t="e">
        <f t="shared" si="70"/>
        <v>#N/A</v>
      </c>
      <c r="AD144" t="e">
        <f t="shared" si="70"/>
        <v>#N/A</v>
      </c>
      <c r="AE144" t="e">
        <f t="shared" si="70"/>
        <v>#N/A</v>
      </c>
      <c r="AF144" t="e">
        <f t="shared" si="70"/>
        <v>#N/A</v>
      </c>
      <c r="AG144" t="e">
        <f t="shared" si="70"/>
        <v>#N/A</v>
      </c>
      <c r="AH144" t="e">
        <f t="shared" si="70"/>
        <v>#N/A</v>
      </c>
      <c r="AI144" t="e">
        <f t="shared" si="70"/>
        <v>#N/A</v>
      </c>
      <c r="AJ144" t="e">
        <f t="shared" si="70"/>
        <v>#N/A</v>
      </c>
      <c r="AK144" t="e">
        <f t="shared" si="70"/>
        <v>#N/A</v>
      </c>
      <c r="AL144" t="e">
        <f t="shared" si="70"/>
        <v>#N/A</v>
      </c>
      <c r="AM144" t="e">
        <f t="shared" si="70"/>
        <v>#N/A</v>
      </c>
      <c r="AN144" t="e">
        <f t="shared" si="70"/>
        <v>#N/A</v>
      </c>
      <c r="AO144" t="e">
        <f t="shared" si="70"/>
        <v>#N/A</v>
      </c>
      <c r="AP144" t="e">
        <f t="shared" si="70"/>
        <v>#N/A</v>
      </c>
      <c r="AQ144" t="e">
        <f t="shared" si="70"/>
        <v>#N/A</v>
      </c>
      <c r="AR144" t="e">
        <f t="shared" si="70"/>
        <v>#N/A</v>
      </c>
    </row>
    <row r="145" spans="2:44" x14ac:dyDescent="0.2">
      <c r="B145">
        <f t="shared" si="67"/>
        <v>0</v>
      </c>
      <c r="C145">
        <f t="shared" si="68"/>
        <v>0.4</v>
      </c>
      <c r="D145">
        <f t="shared" si="69"/>
        <v>0</v>
      </c>
      <c r="E145">
        <v>0.41000000000000097</v>
      </c>
      <c r="T145" s="62" t="s">
        <v>747</v>
      </c>
      <c r="U145">
        <f t="shared" si="63"/>
        <v>2589988.1103360001</v>
      </c>
      <c r="V145">
        <f t="shared" si="64"/>
        <v>2</v>
      </c>
      <c r="W145">
        <f t="shared" si="65"/>
        <v>1</v>
      </c>
      <c r="X145" t="e">
        <f t="shared" si="71"/>
        <v>#N/A</v>
      </c>
      <c r="Y145" t="e">
        <f t="shared" si="70"/>
        <v>#N/A</v>
      </c>
      <c r="Z145" t="e">
        <f t="shared" si="70"/>
        <v>#N/A</v>
      </c>
      <c r="AA145" t="e">
        <f t="shared" si="70"/>
        <v>#N/A</v>
      </c>
      <c r="AB145" t="e">
        <f t="shared" si="70"/>
        <v>#N/A</v>
      </c>
      <c r="AC145" t="e">
        <f t="shared" si="70"/>
        <v>#N/A</v>
      </c>
      <c r="AD145" t="e">
        <f t="shared" si="70"/>
        <v>#N/A</v>
      </c>
      <c r="AE145" t="e">
        <f t="shared" si="70"/>
        <v>#N/A</v>
      </c>
      <c r="AF145" t="e">
        <f t="shared" si="70"/>
        <v>#N/A</v>
      </c>
      <c r="AG145" t="e">
        <f t="shared" si="70"/>
        <v>#N/A</v>
      </c>
      <c r="AH145" t="e">
        <f t="shared" si="70"/>
        <v>#N/A</v>
      </c>
      <c r="AI145" t="e">
        <f t="shared" si="70"/>
        <v>#N/A</v>
      </c>
      <c r="AJ145" t="e">
        <f t="shared" si="70"/>
        <v>#N/A</v>
      </c>
      <c r="AK145" t="e">
        <f t="shared" si="70"/>
        <v>#N/A</v>
      </c>
      <c r="AL145" t="e">
        <f t="shared" si="70"/>
        <v>#N/A</v>
      </c>
      <c r="AM145" t="e">
        <f t="shared" si="70"/>
        <v>#N/A</v>
      </c>
      <c r="AN145" t="e">
        <f t="shared" si="70"/>
        <v>#N/A</v>
      </c>
      <c r="AO145" t="e">
        <f t="shared" si="70"/>
        <v>#N/A</v>
      </c>
      <c r="AP145" t="e">
        <f t="shared" si="70"/>
        <v>#N/A</v>
      </c>
      <c r="AQ145" t="e">
        <f t="shared" si="70"/>
        <v>#N/A</v>
      </c>
      <c r="AR145" t="e">
        <f t="shared" si="70"/>
        <v>#N/A</v>
      </c>
    </row>
    <row r="146" spans="2:44" x14ac:dyDescent="0.2">
      <c r="B146">
        <f t="shared" si="67"/>
        <v>0</v>
      </c>
      <c r="C146">
        <f t="shared" si="68"/>
        <v>0.4</v>
      </c>
      <c r="D146">
        <f t="shared" si="69"/>
        <v>0</v>
      </c>
      <c r="E146">
        <v>0.42000000000000098</v>
      </c>
      <c r="T146" s="62" t="s">
        <v>738</v>
      </c>
      <c r="U146">
        <f t="shared" si="63"/>
        <v>3429904</v>
      </c>
      <c r="V146">
        <f t="shared" si="64"/>
        <v>2</v>
      </c>
      <c r="W146">
        <f t="shared" si="65"/>
        <v>1</v>
      </c>
      <c r="X146" t="e">
        <f t="shared" si="71"/>
        <v>#N/A</v>
      </c>
      <c r="Y146" t="e">
        <f t="shared" si="70"/>
        <v>#N/A</v>
      </c>
      <c r="Z146" t="e">
        <f t="shared" si="70"/>
        <v>#N/A</v>
      </c>
      <c r="AA146" t="e">
        <f t="shared" si="70"/>
        <v>#N/A</v>
      </c>
      <c r="AB146" t="e">
        <f t="shared" si="70"/>
        <v>#N/A</v>
      </c>
      <c r="AC146" t="e">
        <f t="shared" si="70"/>
        <v>#N/A</v>
      </c>
      <c r="AD146" t="e">
        <f t="shared" si="70"/>
        <v>#N/A</v>
      </c>
      <c r="AE146" t="e">
        <f t="shared" si="70"/>
        <v>#N/A</v>
      </c>
      <c r="AF146" t="e">
        <f t="shared" si="70"/>
        <v>#N/A</v>
      </c>
      <c r="AG146" t="e">
        <f t="shared" si="70"/>
        <v>#N/A</v>
      </c>
      <c r="AH146" t="e">
        <f t="shared" si="70"/>
        <v>#N/A</v>
      </c>
      <c r="AI146" t="e">
        <f t="shared" si="70"/>
        <v>#N/A</v>
      </c>
      <c r="AJ146" t="e">
        <f t="shared" si="70"/>
        <v>#N/A</v>
      </c>
      <c r="AK146" t="e">
        <f t="shared" si="70"/>
        <v>#N/A</v>
      </c>
      <c r="AL146" t="e">
        <f t="shared" si="70"/>
        <v>#N/A</v>
      </c>
      <c r="AM146" t="e">
        <f t="shared" si="70"/>
        <v>#N/A</v>
      </c>
      <c r="AN146" t="e">
        <f t="shared" si="70"/>
        <v>#N/A</v>
      </c>
      <c r="AO146" t="e">
        <f t="shared" si="70"/>
        <v>#N/A</v>
      </c>
      <c r="AP146" t="e">
        <f t="shared" si="70"/>
        <v>#N/A</v>
      </c>
      <c r="AQ146" t="e">
        <f t="shared" si="70"/>
        <v>#N/A</v>
      </c>
      <c r="AR146" t="e">
        <f t="shared" si="70"/>
        <v>#N/A</v>
      </c>
    </row>
    <row r="147" spans="2:44" x14ac:dyDescent="0.2">
      <c r="B147">
        <f t="shared" si="67"/>
        <v>0</v>
      </c>
      <c r="C147">
        <f t="shared" si="68"/>
        <v>0.4</v>
      </c>
      <c r="D147">
        <f t="shared" si="69"/>
        <v>0</v>
      </c>
      <c r="E147">
        <v>0.43000000000000099</v>
      </c>
      <c r="T147" s="62" t="s">
        <v>748</v>
      </c>
      <c r="U147">
        <f t="shared" si="63"/>
        <v>3429904</v>
      </c>
      <c r="V147">
        <f t="shared" si="64"/>
        <v>2</v>
      </c>
      <c r="W147">
        <f t="shared" si="65"/>
        <v>1</v>
      </c>
      <c r="X147" t="e">
        <f t="shared" si="71"/>
        <v>#N/A</v>
      </c>
      <c r="Y147" t="e">
        <f t="shared" si="70"/>
        <v>#N/A</v>
      </c>
      <c r="Z147" t="e">
        <f t="shared" si="70"/>
        <v>#N/A</v>
      </c>
      <c r="AA147" t="e">
        <f t="shared" si="70"/>
        <v>#N/A</v>
      </c>
      <c r="AB147" t="e">
        <f t="shared" si="70"/>
        <v>#N/A</v>
      </c>
      <c r="AC147" t="e">
        <f t="shared" si="70"/>
        <v>#N/A</v>
      </c>
      <c r="AD147" t="e">
        <f t="shared" si="70"/>
        <v>#N/A</v>
      </c>
      <c r="AE147" t="e">
        <f t="shared" si="70"/>
        <v>#N/A</v>
      </c>
      <c r="AF147" t="e">
        <f t="shared" si="70"/>
        <v>#N/A</v>
      </c>
      <c r="AG147" t="e">
        <f t="shared" si="70"/>
        <v>#N/A</v>
      </c>
      <c r="AH147" t="e">
        <f t="shared" si="70"/>
        <v>#N/A</v>
      </c>
      <c r="AI147" t="e">
        <f t="shared" si="70"/>
        <v>#N/A</v>
      </c>
      <c r="AJ147" t="e">
        <f t="shared" si="70"/>
        <v>#N/A</v>
      </c>
      <c r="AK147" t="e">
        <f t="shared" si="70"/>
        <v>#N/A</v>
      </c>
      <c r="AL147" t="e">
        <f t="shared" si="70"/>
        <v>#N/A</v>
      </c>
      <c r="AM147" t="e">
        <f t="shared" si="70"/>
        <v>#N/A</v>
      </c>
      <c r="AN147" t="e">
        <f t="shared" si="70"/>
        <v>#N/A</v>
      </c>
      <c r="AO147" t="e">
        <f t="shared" si="70"/>
        <v>#N/A</v>
      </c>
      <c r="AP147" t="e">
        <f t="shared" si="70"/>
        <v>#N/A</v>
      </c>
      <c r="AQ147" t="e">
        <f t="shared" si="70"/>
        <v>#N/A</v>
      </c>
      <c r="AR147" t="e">
        <f t="shared" si="70"/>
        <v>#N/A</v>
      </c>
    </row>
    <row r="148" spans="2:44" x14ac:dyDescent="0.2">
      <c r="B148">
        <f t="shared" si="67"/>
        <v>0</v>
      </c>
      <c r="C148">
        <f t="shared" si="68"/>
        <v>0.4</v>
      </c>
      <c r="D148">
        <f t="shared" si="69"/>
        <v>0</v>
      </c>
      <c r="E148">
        <v>0.440000000000001</v>
      </c>
      <c r="T148" s="62" t="s">
        <v>739</v>
      </c>
      <c r="U148">
        <f t="shared" si="63"/>
        <v>1.2445216049382715E-7</v>
      </c>
      <c r="V148">
        <f t="shared" si="64"/>
        <v>2</v>
      </c>
      <c r="W148">
        <f t="shared" si="65"/>
        <v>1</v>
      </c>
      <c r="X148" t="e">
        <f t="shared" si="71"/>
        <v>#N/A</v>
      </c>
      <c r="Y148" t="e">
        <f t="shared" si="70"/>
        <v>#N/A</v>
      </c>
      <c r="Z148" t="e">
        <f t="shared" si="70"/>
        <v>#N/A</v>
      </c>
      <c r="AA148" t="e">
        <f t="shared" si="70"/>
        <v>#N/A</v>
      </c>
      <c r="AB148" t="e">
        <f t="shared" si="70"/>
        <v>#N/A</v>
      </c>
      <c r="AC148" t="e">
        <f t="shared" si="70"/>
        <v>#N/A</v>
      </c>
      <c r="AD148" t="e">
        <f t="shared" si="70"/>
        <v>#N/A</v>
      </c>
      <c r="AE148" t="e">
        <f t="shared" si="70"/>
        <v>#N/A</v>
      </c>
      <c r="AF148" t="e">
        <f t="shared" si="70"/>
        <v>#N/A</v>
      </c>
      <c r="AG148" t="e">
        <f t="shared" si="70"/>
        <v>#N/A</v>
      </c>
      <c r="AH148" t="e">
        <f t="shared" si="70"/>
        <v>#N/A</v>
      </c>
      <c r="AI148" t="e">
        <f t="shared" si="70"/>
        <v>#N/A</v>
      </c>
      <c r="AJ148" t="e">
        <f t="shared" si="70"/>
        <v>#N/A</v>
      </c>
      <c r="AK148" t="e">
        <f t="shared" si="70"/>
        <v>#N/A</v>
      </c>
      <c r="AL148" t="e">
        <f t="shared" si="70"/>
        <v>#N/A</v>
      </c>
      <c r="AM148" t="e">
        <f t="shared" si="70"/>
        <v>#N/A</v>
      </c>
      <c r="AN148" t="e">
        <f t="shared" si="70"/>
        <v>#N/A</v>
      </c>
      <c r="AO148" t="e">
        <f t="shared" si="70"/>
        <v>#N/A</v>
      </c>
      <c r="AP148" t="e">
        <f t="shared" si="70"/>
        <v>#N/A</v>
      </c>
      <c r="AQ148" t="e">
        <f t="shared" si="70"/>
        <v>#N/A</v>
      </c>
      <c r="AR148" t="e">
        <f t="shared" si="70"/>
        <v>#N/A</v>
      </c>
    </row>
    <row r="149" spans="2:44" x14ac:dyDescent="0.2">
      <c r="B149">
        <f t="shared" si="67"/>
        <v>0</v>
      </c>
      <c r="C149">
        <f t="shared" si="68"/>
        <v>0.4</v>
      </c>
      <c r="D149">
        <f t="shared" si="69"/>
        <v>0</v>
      </c>
      <c r="E149">
        <v>0.45000000000000101</v>
      </c>
      <c r="T149" s="62" t="s">
        <v>740</v>
      </c>
      <c r="U149">
        <f t="shared" si="63"/>
        <v>1.2445216049382715E-7</v>
      </c>
      <c r="V149">
        <f t="shared" si="64"/>
        <v>2</v>
      </c>
      <c r="W149">
        <f t="shared" si="65"/>
        <v>1</v>
      </c>
      <c r="X149" t="e">
        <f t="shared" si="71"/>
        <v>#N/A</v>
      </c>
      <c r="Y149" t="e">
        <f t="shared" si="70"/>
        <v>#N/A</v>
      </c>
      <c r="Z149" t="e">
        <f t="shared" si="70"/>
        <v>#N/A</v>
      </c>
      <c r="AA149" t="e">
        <f t="shared" si="70"/>
        <v>#N/A</v>
      </c>
      <c r="AB149" t="e">
        <f t="shared" si="70"/>
        <v>#N/A</v>
      </c>
      <c r="AC149" t="e">
        <f t="shared" si="70"/>
        <v>#N/A</v>
      </c>
      <c r="AD149" t="e">
        <f t="shared" si="70"/>
        <v>#N/A</v>
      </c>
      <c r="AE149" t="e">
        <f t="shared" si="70"/>
        <v>#N/A</v>
      </c>
      <c r="AF149" t="e">
        <f t="shared" si="70"/>
        <v>#N/A</v>
      </c>
      <c r="AG149" t="e">
        <f t="shared" si="70"/>
        <v>#N/A</v>
      </c>
      <c r="AH149" t="e">
        <f t="shared" si="70"/>
        <v>#N/A</v>
      </c>
      <c r="AI149" t="e">
        <f t="shared" si="70"/>
        <v>#N/A</v>
      </c>
      <c r="AJ149" t="e">
        <f t="shared" si="70"/>
        <v>#N/A</v>
      </c>
      <c r="AK149" t="e">
        <f t="shared" si="70"/>
        <v>#N/A</v>
      </c>
      <c r="AL149" t="e">
        <f t="shared" si="70"/>
        <v>#N/A</v>
      </c>
      <c r="AM149" t="e">
        <f t="shared" si="70"/>
        <v>#N/A</v>
      </c>
      <c r="AN149" t="e">
        <f t="shared" si="70"/>
        <v>#N/A</v>
      </c>
      <c r="AO149" t="e">
        <f t="shared" si="70"/>
        <v>#N/A</v>
      </c>
      <c r="AP149" t="e">
        <f t="shared" si="70"/>
        <v>#N/A</v>
      </c>
      <c r="AQ149" t="e">
        <f t="shared" si="70"/>
        <v>#N/A</v>
      </c>
      <c r="AR149" t="e">
        <f t="shared" si="70"/>
        <v>#N/A</v>
      </c>
    </row>
    <row r="150" spans="2:44" x14ac:dyDescent="0.2">
      <c r="B150">
        <f t="shared" si="67"/>
        <v>0</v>
      </c>
      <c r="C150">
        <f t="shared" si="68"/>
        <v>0.4</v>
      </c>
      <c r="D150">
        <f t="shared" si="69"/>
        <v>0</v>
      </c>
      <c r="E150">
        <v>0.46000000000000102</v>
      </c>
      <c r="T150" s="62" t="s">
        <v>749</v>
      </c>
      <c r="U150">
        <f t="shared" si="63"/>
        <v>1.2445216049382715E-7</v>
      </c>
      <c r="V150">
        <f t="shared" si="64"/>
        <v>2</v>
      </c>
      <c r="W150">
        <f t="shared" si="65"/>
        <v>1</v>
      </c>
      <c r="X150" t="e">
        <f t="shared" si="71"/>
        <v>#N/A</v>
      </c>
      <c r="Y150" t="e">
        <f t="shared" si="70"/>
        <v>#N/A</v>
      </c>
      <c r="Z150" t="e">
        <f t="shared" si="70"/>
        <v>#N/A</v>
      </c>
      <c r="AA150" t="e">
        <f t="shared" si="70"/>
        <v>#N/A</v>
      </c>
      <c r="AB150" t="e">
        <f t="shared" si="70"/>
        <v>#N/A</v>
      </c>
      <c r="AC150" t="e">
        <f t="shared" si="70"/>
        <v>#N/A</v>
      </c>
      <c r="AD150" t="e">
        <f t="shared" si="70"/>
        <v>#N/A</v>
      </c>
      <c r="AE150" t="e">
        <f t="shared" si="70"/>
        <v>#N/A</v>
      </c>
      <c r="AF150" t="e">
        <f t="shared" si="70"/>
        <v>#N/A</v>
      </c>
      <c r="AG150" t="e">
        <f t="shared" si="70"/>
        <v>#N/A</v>
      </c>
      <c r="AH150" t="e">
        <f t="shared" si="70"/>
        <v>#N/A</v>
      </c>
      <c r="AI150" t="e">
        <f t="shared" si="70"/>
        <v>#N/A</v>
      </c>
      <c r="AJ150" t="e">
        <f t="shared" si="70"/>
        <v>#N/A</v>
      </c>
      <c r="AK150" t="e">
        <f t="shared" si="70"/>
        <v>#N/A</v>
      </c>
      <c r="AL150" t="e">
        <f t="shared" si="70"/>
        <v>#N/A</v>
      </c>
      <c r="AM150" t="e">
        <f t="shared" si="70"/>
        <v>#N/A</v>
      </c>
      <c r="AN150" t="e">
        <f t="shared" si="70"/>
        <v>#N/A</v>
      </c>
      <c r="AO150" t="e">
        <f t="shared" si="70"/>
        <v>#N/A</v>
      </c>
      <c r="AP150" t="e">
        <f t="shared" si="70"/>
        <v>#N/A</v>
      </c>
      <c r="AQ150" t="e">
        <f t="shared" si="70"/>
        <v>#N/A</v>
      </c>
      <c r="AR150" t="e">
        <f t="shared" si="70"/>
        <v>#N/A</v>
      </c>
    </row>
    <row r="151" spans="2:44" x14ac:dyDescent="0.2">
      <c r="B151">
        <f t="shared" si="67"/>
        <v>0</v>
      </c>
      <c r="C151">
        <f t="shared" si="68"/>
        <v>0.4</v>
      </c>
      <c r="D151">
        <f t="shared" si="69"/>
        <v>0</v>
      </c>
      <c r="E151">
        <v>0.47000000000000103</v>
      </c>
      <c r="T151" s="62" t="s">
        <v>750</v>
      </c>
      <c r="U151">
        <f t="shared" si="63"/>
        <v>1.2445216049382715E-7</v>
      </c>
      <c r="V151">
        <f t="shared" si="64"/>
        <v>2</v>
      </c>
      <c r="W151">
        <f t="shared" si="65"/>
        <v>1</v>
      </c>
      <c r="X151" t="e">
        <f t="shared" si="71"/>
        <v>#N/A</v>
      </c>
      <c r="Y151" t="e">
        <f t="shared" si="70"/>
        <v>#N/A</v>
      </c>
      <c r="Z151" t="e">
        <f t="shared" si="70"/>
        <v>#N/A</v>
      </c>
      <c r="AA151" t="e">
        <f t="shared" si="70"/>
        <v>#N/A</v>
      </c>
      <c r="AB151" t="e">
        <f t="shared" si="70"/>
        <v>#N/A</v>
      </c>
      <c r="AC151" t="e">
        <f t="shared" si="70"/>
        <v>#N/A</v>
      </c>
      <c r="AD151" t="e">
        <f t="shared" si="70"/>
        <v>#N/A</v>
      </c>
      <c r="AE151" t="e">
        <f t="shared" si="70"/>
        <v>#N/A</v>
      </c>
      <c r="AF151" t="e">
        <f t="shared" si="70"/>
        <v>#N/A</v>
      </c>
      <c r="AG151" t="e">
        <f t="shared" si="70"/>
        <v>#N/A</v>
      </c>
      <c r="AH151" t="e">
        <f t="shared" si="70"/>
        <v>#N/A</v>
      </c>
      <c r="AI151" t="e">
        <f t="shared" si="70"/>
        <v>#N/A</v>
      </c>
      <c r="AJ151" t="e">
        <f t="shared" si="70"/>
        <v>#N/A</v>
      </c>
      <c r="AK151" t="e">
        <f t="shared" si="70"/>
        <v>#N/A</v>
      </c>
      <c r="AL151" t="e">
        <f t="shared" si="70"/>
        <v>#N/A</v>
      </c>
      <c r="AM151" t="e">
        <f t="shared" si="70"/>
        <v>#N/A</v>
      </c>
      <c r="AN151" t="e">
        <f t="shared" si="70"/>
        <v>#N/A</v>
      </c>
      <c r="AO151" t="e">
        <f t="shared" si="70"/>
        <v>#N/A</v>
      </c>
      <c r="AP151" t="e">
        <f t="shared" si="70"/>
        <v>#N/A</v>
      </c>
      <c r="AQ151" t="e">
        <f t="shared" si="70"/>
        <v>#N/A</v>
      </c>
      <c r="AR151" t="e">
        <f t="shared" si="70"/>
        <v>#N/A</v>
      </c>
    </row>
    <row r="152" spans="2:44" x14ac:dyDescent="0.2">
      <c r="B152">
        <f t="shared" si="67"/>
        <v>0</v>
      </c>
      <c r="C152">
        <f t="shared" si="68"/>
        <v>0.4</v>
      </c>
      <c r="D152">
        <f t="shared" si="69"/>
        <v>0</v>
      </c>
      <c r="E152">
        <v>0.48000000000000104</v>
      </c>
      <c r="T152" s="62" t="s">
        <v>741</v>
      </c>
      <c r="U152">
        <f t="shared" si="63"/>
        <v>0.83612735999999999</v>
      </c>
      <c r="V152">
        <f t="shared" si="64"/>
        <v>2</v>
      </c>
      <c r="W152">
        <f t="shared" si="65"/>
        <v>1</v>
      </c>
      <c r="X152" t="e">
        <f t="shared" si="71"/>
        <v>#N/A</v>
      </c>
      <c r="Y152" t="e">
        <f t="shared" si="70"/>
        <v>#N/A</v>
      </c>
      <c r="Z152" t="e">
        <f t="shared" si="70"/>
        <v>#N/A</v>
      </c>
      <c r="AA152" t="e">
        <f t="shared" si="70"/>
        <v>#N/A</v>
      </c>
      <c r="AB152" t="e">
        <f t="shared" si="70"/>
        <v>#N/A</v>
      </c>
      <c r="AC152" t="e">
        <f t="shared" si="70"/>
        <v>#N/A</v>
      </c>
      <c r="AD152" t="e">
        <f t="shared" si="70"/>
        <v>#N/A</v>
      </c>
      <c r="AE152" t="e">
        <f t="shared" si="70"/>
        <v>#N/A</v>
      </c>
      <c r="AF152" t="e">
        <f t="shared" si="70"/>
        <v>#N/A</v>
      </c>
      <c r="AG152" t="e">
        <f t="shared" si="70"/>
        <v>#N/A</v>
      </c>
      <c r="AH152" t="e">
        <f t="shared" si="70"/>
        <v>#N/A</v>
      </c>
      <c r="AI152" t="e">
        <f t="shared" si="70"/>
        <v>#N/A</v>
      </c>
      <c r="AJ152" t="e">
        <f t="shared" si="70"/>
        <v>#N/A</v>
      </c>
      <c r="AK152" t="e">
        <f t="shared" si="70"/>
        <v>#N/A</v>
      </c>
      <c r="AL152" t="e">
        <f t="shared" si="70"/>
        <v>#N/A</v>
      </c>
      <c r="AM152" t="e">
        <f t="shared" si="70"/>
        <v>#N/A</v>
      </c>
      <c r="AN152" t="e">
        <f t="shared" si="70"/>
        <v>#N/A</v>
      </c>
      <c r="AO152" t="e">
        <f t="shared" si="70"/>
        <v>#N/A</v>
      </c>
      <c r="AP152" t="e">
        <f t="shared" si="70"/>
        <v>#N/A</v>
      </c>
      <c r="AQ152" t="e">
        <f t="shared" si="70"/>
        <v>#N/A</v>
      </c>
      <c r="AR152" t="e">
        <f t="shared" si="70"/>
        <v>#N/A</v>
      </c>
    </row>
    <row r="153" spans="2:44" x14ac:dyDescent="0.2">
      <c r="B153">
        <f t="shared" si="67"/>
        <v>0</v>
      </c>
      <c r="C153">
        <f t="shared" si="68"/>
        <v>0.4</v>
      </c>
      <c r="D153">
        <f t="shared" si="69"/>
        <v>0</v>
      </c>
      <c r="E153">
        <v>0.49000000000000105</v>
      </c>
      <c r="T153" s="62" t="s">
        <v>751</v>
      </c>
      <c r="U153">
        <f t="shared" si="63"/>
        <v>0.83612735999999999</v>
      </c>
      <c r="V153">
        <f t="shared" si="64"/>
        <v>2</v>
      </c>
      <c r="W153">
        <f t="shared" si="65"/>
        <v>1</v>
      </c>
      <c r="X153" t="e">
        <f t="shared" si="71"/>
        <v>#N/A</v>
      </c>
      <c r="Y153" t="e">
        <f t="shared" si="70"/>
        <v>#N/A</v>
      </c>
      <c r="Z153" t="e">
        <f t="shared" si="70"/>
        <v>#N/A</v>
      </c>
      <c r="AA153" t="e">
        <f t="shared" si="70"/>
        <v>#N/A</v>
      </c>
      <c r="AB153" t="e">
        <f t="shared" si="70"/>
        <v>#N/A</v>
      </c>
      <c r="AC153" t="e">
        <f t="shared" si="70"/>
        <v>#N/A</v>
      </c>
      <c r="AD153" t="e">
        <f t="shared" si="70"/>
        <v>#N/A</v>
      </c>
      <c r="AE153" t="e">
        <f t="shared" si="70"/>
        <v>#N/A</v>
      </c>
      <c r="AF153" t="e">
        <f t="shared" si="70"/>
        <v>#N/A</v>
      </c>
      <c r="AG153" t="e">
        <f t="shared" si="70"/>
        <v>#N/A</v>
      </c>
      <c r="AH153" t="e">
        <f t="shared" si="70"/>
        <v>#N/A</v>
      </c>
      <c r="AI153" t="e">
        <f t="shared" si="70"/>
        <v>#N/A</v>
      </c>
      <c r="AJ153" t="e">
        <f t="shared" si="70"/>
        <v>#N/A</v>
      </c>
      <c r="AK153" t="e">
        <f t="shared" si="70"/>
        <v>#N/A</v>
      </c>
      <c r="AL153" t="e">
        <f t="shared" si="70"/>
        <v>#N/A</v>
      </c>
      <c r="AM153" t="e">
        <f t="shared" si="70"/>
        <v>#N/A</v>
      </c>
      <c r="AN153" t="e">
        <f t="shared" si="70"/>
        <v>#N/A</v>
      </c>
      <c r="AO153" t="e">
        <f t="shared" si="70"/>
        <v>#N/A</v>
      </c>
      <c r="AP153" t="e">
        <f t="shared" si="70"/>
        <v>#N/A</v>
      </c>
      <c r="AQ153" t="e">
        <f t="shared" si="70"/>
        <v>#N/A</v>
      </c>
      <c r="AR153" t="e">
        <f t="shared" si="70"/>
        <v>#N/A</v>
      </c>
    </row>
    <row r="154" spans="2:44" x14ac:dyDescent="0.2">
      <c r="B154">
        <f t="shared" si="67"/>
        <v>0</v>
      </c>
      <c r="C154">
        <f t="shared" si="68"/>
        <v>0.5</v>
      </c>
      <c r="D154">
        <f t="shared" si="69"/>
        <v>0</v>
      </c>
      <c r="E154">
        <v>0.500000000000001</v>
      </c>
    </row>
    <row r="155" spans="2:44" x14ac:dyDescent="0.2">
      <c r="B155">
        <f t="shared" si="67"/>
        <v>0</v>
      </c>
      <c r="C155">
        <f t="shared" si="68"/>
        <v>0.5</v>
      </c>
      <c r="D155">
        <f t="shared" si="69"/>
        <v>0</v>
      </c>
      <c r="E155">
        <v>0.51000000000000101</v>
      </c>
      <c r="T155" s="62" t="s">
        <v>752</v>
      </c>
      <c r="U155">
        <f>CONVERT(1,T155,"bit")</f>
        <v>1</v>
      </c>
      <c r="V155">
        <f>CONVERT(2,T155,"bit")/U155</f>
        <v>2</v>
      </c>
      <c r="W155">
        <f>CONVERT(U155,"bit",T155)</f>
        <v>1</v>
      </c>
      <c r="X155">
        <f>CONVERT(1,X$1&amp;$T155,"bit")</f>
        <v>9.9999999999999998E+23</v>
      </c>
      <c r="Y155">
        <f t="shared" ref="Y155:AR156" si="72">CONVERT(1,Y$1&amp;$T155,"bit")</f>
        <v>1E+21</v>
      </c>
      <c r="Z155">
        <f t="shared" si="72"/>
        <v>1E+18</v>
      </c>
      <c r="AA155">
        <f t="shared" si="72"/>
        <v>1000000000000000</v>
      </c>
      <c r="AB155">
        <f t="shared" si="72"/>
        <v>1000000000000</v>
      </c>
      <c r="AC155">
        <f t="shared" si="72"/>
        <v>1000000000</v>
      </c>
      <c r="AD155">
        <f t="shared" si="72"/>
        <v>1000000</v>
      </c>
      <c r="AE155">
        <f t="shared" si="72"/>
        <v>1000</v>
      </c>
      <c r="AF155">
        <f t="shared" si="72"/>
        <v>100</v>
      </c>
      <c r="AG155">
        <f t="shared" si="72"/>
        <v>10</v>
      </c>
      <c r="AH155">
        <f t="shared" si="72"/>
        <v>10</v>
      </c>
      <c r="AI155">
        <f t="shared" si="72"/>
        <v>0.1</v>
      </c>
      <c r="AJ155">
        <f t="shared" si="72"/>
        <v>0.01</v>
      </c>
      <c r="AK155">
        <f t="shared" si="72"/>
        <v>1E-3</v>
      </c>
      <c r="AL155">
        <f t="shared" si="72"/>
        <v>9.9999999999999995E-7</v>
      </c>
      <c r="AM155">
        <f t="shared" si="72"/>
        <v>1.0000000000000001E-9</v>
      </c>
      <c r="AN155">
        <f t="shared" si="72"/>
        <v>9.9999999999999998E-13</v>
      </c>
      <c r="AO155">
        <f t="shared" si="72"/>
        <v>1.0000000000000001E-15</v>
      </c>
      <c r="AP155">
        <f t="shared" si="72"/>
        <v>1.0000000000000001E-18</v>
      </c>
      <c r="AQ155">
        <f t="shared" si="72"/>
        <v>9.9999999999999991E-22</v>
      </c>
      <c r="AR155">
        <f t="shared" si="72"/>
        <v>9.9999999999999992E-25</v>
      </c>
    </row>
    <row r="156" spans="2:44" x14ac:dyDescent="0.2">
      <c r="B156">
        <f t="shared" si="67"/>
        <v>0</v>
      </c>
      <c r="C156">
        <f t="shared" si="68"/>
        <v>0.5</v>
      </c>
      <c r="D156">
        <f t="shared" si="69"/>
        <v>0</v>
      </c>
      <c r="E156">
        <v>0.52000000000000102</v>
      </c>
      <c r="T156" s="62" t="s">
        <v>753</v>
      </c>
      <c r="U156">
        <f>CONVERT(1,T156,"bit")</f>
        <v>8</v>
      </c>
      <c r="V156">
        <f>CONVERT(2,T156,"bit")/U156</f>
        <v>2</v>
      </c>
      <c r="W156">
        <f>CONVERT(U156,"bit",T156)</f>
        <v>1</v>
      </c>
      <c r="X156">
        <f>CONVERT(1,X$1&amp;$T156,"bit")</f>
        <v>7.9999999999999999E+24</v>
      </c>
      <c r="Y156">
        <f t="shared" si="72"/>
        <v>8E+21</v>
      </c>
      <c r="Z156">
        <f t="shared" si="72"/>
        <v>8E+18</v>
      </c>
      <c r="AA156">
        <f t="shared" si="72"/>
        <v>8000000000000000</v>
      </c>
      <c r="AB156">
        <f t="shared" si="72"/>
        <v>8000000000000</v>
      </c>
      <c r="AC156">
        <f t="shared" si="72"/>
        <v>8000000000</v>
      </c>
      <c r="AD156">
        <f t="shared" si="72"/>
        <v>8000000</v>
      </c>
      <c r="AE156">
        <f t="shared" si="72"/>
        <v>8000</v>
      </c>
      <c r="AF156">
        <f t="shared" si="72"/>
        <v>800</v>
      </c>
      <c r="AG156">
        <f t="shared" si="72"/>
        <v>80</v>
      </c>
      <c r="AH156">
        <f t="shared" si="72"/>
        <v>80</v>
      </c>
      <c r="AI156">
        <f t="shared" si="72"/>
        <v>0.8</v>
      </c>
      <c r="AJ156">
        <f t="shared" si="72"/>
        <v>0.08</v>
      </c>
      <c r="AK156">
        <f t="shared" si="72"/>
        <v>8.0000000000000002E-3</v>
      </c>
      <c r="AL156">
        <f t="shared" si="72"/>
        <v>7.9999999999999996E-6</v>
      </c>
      <c r="AM156">
        <f t="shared" si="72"/>
        <v>8.0000000000000005E-9</v>
      </c>
      <c r="AN156">
        <f t="shared" si="72"/>
        <v>7.9999999999999998E-12</v>
      </c>
      <c r="AO156">
        <f t="shared" si="72"/>
        <v>8.0000000000000006E-15</v>
      </c>
      <c r="AP156">
        <f t="shared" si="72"/>
        <v>8.0000000000000006E-18</v>
      </c>
      <c r="AQ156">
        <f t="shared" si="72"/>
        <v>7.9999999999999993E-21</v>
      </c>
      <c r="AR156">
        <f t="shared" si="72"/>
        <v>7.9999999999999994E-24</v>
      </c>
    </row>
    <row r="157" spans="2:44" x14ac:dyDescent="0.2">
      <c r="B157">
        <f t="shared" si="67"/>
        <v>0</v>
      </c>
      <c r="C157">
        <f t="shared" si="68"/>
        <v>0.5</v>
      </c>
      <c r="D157">
        <f t="shared" si="69"/>
        <v>0</v>
      </c>
      <c r="E157">
        <v>0.53000000000000103</v>
      </c>
    </row>
    <row r="158" spans="2:44" x14ac:dyDescent="0.2">
      <c r="B158">
        <f t="shared" si="67"/>
        <v>0</v>
      </c>
      <c r="C158">
        <f t="shared" si="68"/>
        <v>0.5</v>
      </c>
      <c r="D158">
        <f t="shared" si="69"/>
        <v>0</v>
      </c>
      <c r="E158">
        <v>0.54000000000000103</v>
      </c>
      <c r="T158" s="62" t="s">
        <v>754</v>
      </c>
      <c r="U158">
        <f>CONVERT(1,T158,"m/hr")</f>
        <v>1853.184</v>
      </c>
      <c r="V158">
        <f>CONVERT(2,T158,"m/hr")/U158</f>
        <v>2</v>
      </c>
      <c r="W158">
        <f>CONVERT(U158,"m/hr",T158)</f>
        <v>1</v>
      </c>
      <c r="X158" t="e">
        <f t="shared" ref="X158:X163" si="73">CONVERT(1,X$1&amp;$T158,"m/h")</f>
        <v>#N/A</v>
      </c>
      <c r="Y158" t="e">
        <f t="shared" ref="Y158:AR164" si="74">CONVERT(1,Y$1&amp;$T158,"m/h")</f>
        <v>#N/A</v>
      </c>
      <c r="Z158" t="e">
        <f t="shared" si="74"/>
        <v>#N/A</v>
      </c>
      <c r="AA158" t="e">
        <f t="shared" si="74"/>
        <v>#N/A</v>
      </c>
      <c r="AB158" t="e">
        <f t="shared" si="74"/>
        <v>#N/A</v>
      </c>
      <c r="AC158" t="e">
        <f t="shared" si="74"/>
        <v>#N/A</v>
      </c>
      <c r="AD158" t="e">
        <f t="shared" si="74"/>
        <v>#N/A</v>
      </c>
      <c r="AE158" t="e">
        <f t="shared" si="74"/>
        <v>#N/A</v>
      </c>
      <c r="AF158" t="e">
        <f t="shared" si="74"/>
        <v>#N/A</v>
      </c>
      <c r="AG158" t="e">
        <f t="shared" si="74"/>
        <v>#N/A</v>
      </c>
      <c r="AH158" t="e">
        <f t="shared" si="74"/>
        <v>#N/A</v>
      </c>
      <c r="AI158" t="e">
        <f t="shared" si="74"/>
        <v>#N/A</v>
      </c>
      <c r="AJ158" t="e">
        <f t="shared" si="74"/>
        <v>#N/A</v>
      </c>
      <c r="AK158" t="e">
        <f t="shared" si="74"/>
        <v>#N/A</v>
      </c>
      <c r="AL158" t="e">
        <f t="shared" si="74"/>
        <v>#N/A</v>
      </c>
      <c r="AM158" t="e">
        <f t="shared" si="74"/>
        <v>#N/A</v>
      </c>
      <c r="AN158" t="e">
        <f t="shared" si="74"/>
        <v>#N/A</v>
      </c>
      <c r="AO158" t="e">
        <f t="shared" si="74"/>
        <v>#N/A</v>
      </c>
      <c r="AP158" t="e">
        <f t="shared" si="74"/>
        <v>#N/A</v>
      </c>
      <c r="AQ158" t="e">
        <f t="shared" si="74"/>
        <v>#N/A</v>
      </c>
      <c r="AR158" t="e">
        <f t="shared" si="74"/>
        <v>#N/A</v>
      </c>
    </row>
    <row r="159" spans="2:44" x14ac:dyDescent="0.2">
      <c r="B159">
        <f t="shared" si="67"/>
        <v>0</v>
      </c>
      <c r="C159">
        <f t="shared" si="68"/>
        <v>0.5</v>
      </c>
      <c r="D159">
        <f t="shared" si="69"/>
        <v>0</v>
      </c>
      <c r="E159">
        <v>0.55000000000000104</v>
      </c>
      <c r="T159" s="62" t="s">
        <v>755</v>
      </c>
      <c r="U159">
        <f t="shared" ref="U159:U164" si="75">CONVERT(1,T159,"m/hr")</f>
        <v>1852.0000000000002</v>
      </c>
      <c r="V159">
        <f t="shared" ref="V159:V164" si="76">CONVERT(2,T159,"m/hr")/U159</f>
        <v>2</v>
      </c>
      <c r="W159">
        <f t="shared" ref="W159:W164" si="77">CONVERT(U159,"m/hr",T159)</f>
        <v>1</v>
      </c>
      <c r="X159" t="e">
        <f t="shared" si="73"/>
        <v>#N/A</v>
      </c>
      <c r="Y159" t="e">
        <f t="shared" ref="Y159:AM159" si="78">CONVERT(1,Y$1&amp;$T159,"m/h")</f>
        <v>#N/A</v>
      </c>
      <c r="Z159" t="e">
        <f t="shared" si="78"/>
        <v>#N/A</v>
      </c>
      <c r="AA159" t="e">
        <f t="shared" si="78"/>
        <v>#N/A</v>
      </c>
      <c r="AB159" t="e">
        <f t="shared" si="78"/>
        <v>#N/A</v>
      </c>
      <c r="AC159" t="e">
        <f t="shared" si="78"/>
        <v>#N/A</v>
      </c>
      <c r="AD159" t="e">
        <f t="shared" si="78"/>
        <v>#N/A</v>
      </c>
      <c r="AE159" t="e">
        <f t="shared" si="78"/>
        <v>#N/A</v>
      </c>
      <c r="AF159" t="e">
        <f t="shared" si="78"/>
        <v>#N/A</v>
      </c>
      <c r="AG159" t="e">
        <f t="shared" si="78"/>
        <v>#N/A</v>
      </c>
      <c r="AH159" t="e">
        <f t="shared" si="78"/>
        <v>#N/A</v>
      </c>
      <c r="AI159" t="e">
        <f t="shared" si="78"/>
        <v>#N/A</v>
      </c>
      <c r="AJ159" t="e">
        <f t="shared" si="78"/>
        <v>#N/A</v>
      </c>
      <c r="AK159" t="e">
        <f t="shared" si="78"/>
        <v>#N/A</v>
      </c>
      <c r="AL159" t="e">
        <f t="shared" si="78"/>
        <v>#N/A</v>
      </c>
      <c r="AM159" t="e">
        <f t="shared" si="78"/>
        <v>#N/A</v>
      </c>
      <c r="AN159" t="e">
        <f t="shared" si="74"/>
        <v>#N/A</v>
      </c>
      <c r="AO159" t="e">
        <f t="shared" si="74"/>
        <v>#N/A</v>
      </c>
      <c r="AP159" t="e">
        <f t="shared" si="74"/>
        <v>#N/A</v>
      </c>
      <c r="AQ159" t="e">
        <f t="shared" si="74"/>
        <v>#N/A</v>
      </c>
      <c r="AR159" t="e">
        <f t="shared" si="74"/>
        <v>#N/A</v>
      </c>
    </row>
    <row r="160" spans="2:44" x14ac:dyDescent="0.2">
      <c r="B160">
        <f t="shared" si="67"/>
        <v>0</v>
      </c>
      <c r="C160">
        <f t="shared" si="68"/>
        <v>0.5</v>
      </c>
      <c r="D160">
        <f t="shared" si="69"/>
        <v>0</v>
      </c>
      <c r="E160">
        <v>0.56000000000000105</v>
      </c>
      <c r="T160" s="62" t="s">
        <v>757</v>
      </c>
      <c r="U160">
        <f t="shared" si="75"/>
        <v>1</v>
      </c>
      <c r="V160">
        <f t="shared" si="76"/>
        <v>2</v>
      </c>
      <c r="W160">
        <f t="shared" si="77"/>
        <v>1</v>
      </c>
      <c r="X160">
        <f t="shared" si="73"/>
        <v>9.9999999999999998E+23</v>
      </c>
      <c r="Y160">
        <f t="shared" si="74"/>
        <v>1E+21</v>
      </c>
      <c r="Z160">
        <f t="shared" si="74"/>
        <v>1E+18</v>
      </c>
      <c r="AA160">
        <f t="shared" si="74"/>
        <v>1000000000000000</v>
      </c>
      <c r="AB160">
        <f t="shared" si="74"/>
        <v>1000000000000</v>
      </c>
      <c r="AC160">
        <f t="shared" si="74"/>
        <v>1000000000</v>
      </c>
      <c r="AD160">
        <f t="shared" si="74"/>
        <v>1000000</v>
      </c>
      <c r="AE160">
        <f t="shared" si="74"/>
        <v>1000</v>
      </c>
      <c r="AF160">
        <f t="shared" si="74"/>
        <v>100</v>
      </c>
      <c r="AG160">
        <f t="shared" si="74"/>
        <v>10</v>
      </c>
      <c r="AH160">
        <f t="shared" si="74"/>
        <v>10</v>
      </c>
      <c r="AI160">
        <f t="shared" si="74"/>
        <v>0.1</v>
      </c>
      <c r="AJ160">
        <f t="shared" si="74"/>
        <v>0.01</v>
      </c>
      <c r="AK160">
        <f t="shared" si="74"/>
        <v>1E-3</v>
      </c>
      <c r="AL160">
        <f t="shared" si="74"/>
        <v>9.9999999999999995E-7</v>
      </c>
      <c r="AM160">
        <f t="shared" si="74"/>
        <v>1.0000000000000001E-9</v>
      </c>
      <c r="AN160">
        <f t="shared" si="74"/>
        <v>9.9999999999999998E-13</v>
      </c>
      <c r="AO160">
        <f t="shared" si="74"/>
        <v>1.0000000000000001E-15</v>
      </c>
      <c r="AP160">
        <f t="shared" si="74"/>
        <v>1.0000000000000001E-18</v>
      </c>
      <c r="AQ160">
        <f t="shared" si="74"/>
        <v>9.9999999999999991E-22</v>
      </c>
      <c r="AR160">
        <f t="shared" si="74"/>
        <v>9.9999999999999992E-25</v>
      </c>
    </row>
    <row r="161" spans="20:44" x14ac:dyDescent="0.2">
      <c r="T161" s="62" t="s">
        <v>758</v>
      </c>
      <c r="U161">
        <f t="shared" si="75"/>
        <v>1</v>
      </c>
      <c r="V161">
        <f t="shared" si="76"/>
        <v>2</v>
      </c>
      <c r="W161">
        <f t="shared" si="77"/>
        <v>1</v>
      </c>
      <c r="X161">
        <f t="shared" si="73"/>
        <v>9.9999999999999998E+23</v>
      </c>
      <c r="Y161">
        <f t="shared" si="74"/>
        <v>1E+21</v>
      </c>
      <c r="Z161">
        <f t="shared" si="74"/>
        <v>1E+18</v>
      </c>
      <c r="AA161">
        <f t="shared" si="74"/>
        <v>1000000000000000</v>
      </c>
      <c r="AB161">
        <f t="shared" si="74"/>
        <v>1000000000000</v>
      </c>
      <c r="AC161">
        <f t="shared" si="74"/>
        <v>1000000000</v>
      </c>
      <c r="AD161">
        <f t="shared" si="74"/>
        <v>1000000</v>
      </c>
      <c r="AE161">
        <f t="shared" si="74"/>
        <v>1000</v>
      </c>
      <c r="AF161">
        <f t="shared" si="74"/>
        <v>100</v>
      </c>
      <c r="AG161">
        <f t="shared" si="74"/>
        <v>10</v>
      </c>
      <c r="AH161">
        <f t="shared" si="74"/>
        <v>10</v>
      </c>
      <c r="AI161">
        <f t="shared" si="74"/>
        <v>0.1</v>
      </c>
      <c r="AJ161">
        <f t="shared" si="74"/>
        <v>0.01</v>
      </c>
      <c r="AK161">
        <f t="shared" si="74"/>
        <v>1E-3</v>
      </c>
      <c r="AL161">
        <f t="shared" si="74"/>
        <v>9.9999999999999995E-7</v>
      </c>
      <c r="AM161">
        <f t="shared" si="74"/>
        <v>1.0000000000000001E-9</v>
      </c>
      <c r="AN161">
        <f t="shared" si="74"/>
        <v>9.9999999999999998E-13</v>
      </c>
      <c r="AO161">
        <f t="shared" si="74"/>
        <v>1.0000000000000001E-15</v>
      </c>
      <c r="AP161">
        <f t="shared" si="74"/>
        <v>1.0000000000000001E-18</v>
      </c>
      <c r="AQ161">
        <f t="shared" si="74"/>
        <v>9.9999999999999991E-22</v>
      </c>
      <c r="AR161">
        <f t="shared" si="74"/>
        <v>9.9999999999999992E-25</v>
      </c>
    </row>
    <row r="162" spans="20:44" x14ac:dyDescent="0.2">
      <c r="T162" s="62" t="s">
        <v>759</v>
      </c>
      <c r="U162">
        <f t="shared" si="75"/>
        <v>3600</v>
      </c>
      <c r="V162">
        <f t="shared" si="76"/>
        <v>2</v>
      </c>
      <c r="W162">
        <f t="shared" si="77"/>
        <v>1</v>
      </c>
      <c r="X162">
        <f t="shared" si="73"/>
        <v>3.5999999999999998E+27</v>
      </c>
      <c r="Y162">
        <f t="shared" si="74"/>
        <v>3.5999999999999998E+24</v>
      </c>
      <c r="Z162">
        <f t="shared" si="74"/>
        <v>3.6E+21</v>
      </c>
      <c r="AA162">
        <f t="shared" si="74"/>
        <v>3.6E+18</v>
      </c>
      <c r="AB162">
        <f t="shared" si="74"/>
        <v>3600000000000000</v>
      </c>
      <c r="AC162">
        <f t="shared" si="74"/>
        <v>3600000000000</v>
      </c>
      <c r="AD162">
        <f t="shared" si="74"/>
        <v>3600000000</v>
      </c>
      <c r="AE162">
        <f t="shared" si="74"/>
        <v>3600000</v>
      </c>
      <c r="AF162">
        <f t="shared" si="74"/>
        <v>360000</v>
      </c>
      <c r="AG162">
        <f t="shared" si="74"/>
        <v>36000</v>
      </c>
      <c r="AH162">
        <f t="shared" si="74"/>
        <v>36000</v>
      </c>
      <c r="AI162">
        <f t="shared" si="74"/>
        <v>360</v>
      </c>
      <c r="AJ162">
        <f t="shared" si="74"/>
        <v>36</v>
      </c>
      <c r="AK162">
        <f t="shared" si="74"/>
        <v>3.6</v>
      </c>
      <c r="AL162">
        <f t="shared" si="74"/>
        <v>3.5999999999999999E-3</v>
      </c>
      <c r="AM162">
        <f t="shared" si="74"/>
        <v>3.6000000000000003E-6</v>
      </c>
      <c r="AN162">
        <f t="shared" si="74"/>
        <v>3.6E-9</v>
      </c>
      <c r="AO162">
        <f t="shared" si="74"/>
        <v>3.6000000000000004E-12</v>
      </c>
      <c r="AP162">
        <f t="shared" si="74"/>
        <v>3.6000000000000001E-15</v>
      </c>
      <c r="AQ162">
        <f t="shared" si="74"/>
        <v>3.5999999999999993E-18</v>
      </c>
      <c r="AR162">
        <f t="shared" si="74"/>
        <v>3.5999999999999999E-21</v>
      </c>
    </row>
    <row r="163" spans="20:44" x14ac:dyDescent="0.2">
      <c r="T163" s="62" t="s">
        <v>760</v>
      </c>
      <c r="U163">
        <f t="shared" si="75"/>
        <v>3600</v>
      </c>
      <c r="V163">
        <f t="shared" si="76"/>
        <v>2</v>
      </c>
      <c r="W163">
        <f t="shared" si="77"/>
        <v>1</v>
      </c>
      <c r="X163">
        <f t="shared" si="73"/>
        <v>3.5999999999999998E+27</v>
      </c>
      <c r="Y163">
        <f t="shared" si="74"/>
        <v>3.5999999999999998E+24</v>
      </c>
      <c r="Z163">
        <f t="shared" si="74"/>
        <v>3.6E+21</v>
      </c>
      <c r="AA163">
        <f t="shared" si="74"/>
        <v>3.6E+18</v>
      </c>
      <c r="AB163">
        <f t="shared" si="74"/>
        <v>3600000000000000</v>
      </c>
      <c r="AC163">
        <f t="shared" si="74"/>
        <v>3600000000000</v>
      </c>
      <c r="AD163">
        <f t="shared" si="74"/>
        <v>3600000000</v>
      </c>
      <c r="AE163">
        <f t="shared" si="74"/>
        <v>3600000</v>
      </c>
      <c r="AF163">
        <f t="shared" si="74"/>
        <v>360000</v>
      </c>
      <c r="AG163">
        <f t="shared" si="74"/>
        <v>36000</v>
      </c>
      <c r="AH163">
        <f t="shared" si="74"/>
        <v>36000</v>
      </c>
      <c r="AI163">
        <f t="shared" si="74"/>
        <v>360</v>
      </c>
      <c r="AJ163">
        <f t="shared" si="74"/>
        <v>36</v>
      </c>
      <c r="AK163">
        <f t="shared" si="74"/>
        <v>3.6</v>
      </c>
      <c r="AL163">
        <f t="shared" si="74"/>
        <v>3.5999999999999999E-3</v>
      </c>
      <c r="AM163">
        <f t="shared" si="74"/>
        <v>3.6000000000000003E-6</v>
      </c>
      <c r="AN163">
        <f t="shared" si="74"/>
        <v>3.6E-9</v>
      </c>
      <c r="AO163">
        <f t="shared" si="74"/>
        <v>3.6000000000000004E-12</v>
      </c>
      <c r="AP163">
        <f t="shared" si="74"/>
        <v>3.6000000000000001E-15</v>
      </c>
      <c r="AQ163">
        <f t="shared" si="74"/>
        <v>3.5999999999999993E-18</v>
      </c>
      <c r="AR163">
        <f t="shared" si="74"/>
        <v>3.5999999999999999E-21</v>
      </c>
    </row>
    <row r="164" spans="20:44" x14ac:dyDescent="0.2">
      <c r="T164" s="62" t="s">
        <v>756</v>
      </c>
      <c r="U164">
        <f t="shared" si="75"/>
        <v>1609.3440000000001</v>
      </c>
      <c r="V164">
        <f t="shared" si="76"/>
        <v>2</v>
      </c>
      <c r="W164">
        <f t="shared" si="77"/>
        <v>1</v>
      </c>
      <c r="Z164">
        <f t="shared" si="74"/>
        <v>1.609344E+21</v>
      </c>
      <c r="AA164">
        <f t="shared" si="74"/>
        <v>1.609344E+18</v>
      </c>
      <c r="AB164">
        <f t="shared" si="74"/>
        <v>1609344000000000</v>
      </c>
      <c r="AC164">
        <f t="shared" si="74"/>
        <v>1609344000000</v>
      </c>
      <c r="AD164">
        <f t="shared" si="74"/>
        <v>1609344000</v>
      </c>
      <c r="AE164">
        <f t="shared" si="74"/>
        <v>1609344</v>
      </c>
      <c r="AF164">
        <f t="shared" si="74"/>
        <v>160934.39999999999</v>
      </c>
      <c r="AG164">
        <f t="shared" si="74"/>
        <v>16093.44</v>
      </c>
      <c r="AH164">
        <f t="shared" si="74"/>
        <v>16093.44</v>
      </c>
      <c r="AI164">
        <f t="shared" si="74"/>
        <v>160.93440000000001</v>
      </c>
      <c r="AJ164">
        <f t="shared" si="74"/>
        <v>16.093440000000001</v>
      </c>
      <c r="AK164">
        <f t="shared" si="74"/>
        <v>1.6093440000000001</v>
      </c>
      <c r="AL164">
        <f t="shared" si="74"/>
        <v>1.609344E-3</v>
      </c>
      <c r="AM164">
        <f t="shared" si="74"/>
        <v>1.6093440000000001E-6</v>
      </c>
      <c r="AN164">
        <f t="shared" si="74"/>
        <v>1.609344E-9</v>
      </c>
      <c r="AO164">
        <f t="shared" si="74"/>
        <v>1.6093440000000002E-12</v>
      </c>
      <c r="AP164">
        <f t="shared" si="74"/>
        <v>1.6093440000000001E-15</v>
      </c>
      <c r="AQ164">
        <f t="shared" si="74"/>
        <v>1.6093439999999999E-18</v>
      </c>
      <c r="AR164">
        <f t="shared" si="74"/>
        <v>1.6093439999999999E-21</v>
      </c>
    </row>
    <row r="183" spans="20:20" x14ac:dyDescent="0.2">
      <c r="T183">
        <f>CONVERT(1,"Pang3","L")</f>
        <v>1E+18</v>
      </c>
    </row>
  </sheetData>
  <mergeCells count="1">
    <mergeCell ref="B1:E1"/>
  </mergeCells>
  <phoneticPr fontId="5" type="noConversion"/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/>
  <dimension ref="B2:B5"/>
  <sheetViews>
    <sheetView workbookViewId="0"/>
  </sheetViews>
  <sheetFormatPr baseColWidth="10" defaultColWidth="11" defaultRowHeight="16" x14ac:dyDescent="0.2"/>
  <sheetData>
    <row r="2" spans="2:2" x14ac:dyDescent="0.2">
      <c r="B2">
        <v>6</v>
      </c>
    </row>
    <row r="3" spans="2:2" x14ac:dyDescent="0.2">
      <c r="B3">
        <v>6</v>
      </c>
    </row>
    <row r="4" spans="2:2" x14ac:dyDescent="0.2">
      <c r="B4">
        <v>6</v>
      </c>
    </row>
    <row r="5" spans="2:2" x14ac:dyDescent="0.2">
      <c r="B5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5AC0-54B9-BC43-BA9D-8E1E5E31E2BF}">
  <sheetPr codeName="Sheet20"/>
  <dimension ref="A1:C3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v>2</v>
      </c>
      <c r="C1">
        <v>3</v>
      </c>
    </row>
    <row r="2" spans="1:3" x14ac:dyDescent="0.2">
      <c r="A2">
        <v>23</v>
      </c>
      <c r="B2">
        <v>3</v>
      </c>
      <c r="C2">
        <v>3</v>
      </c>
    </row>
    <row r="3" spans="1:3" x14ac:dyDescent="0.2">
      <c r="A3">
        <v>4</v>
      </c>
      <c r="B3">
        <v>4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10</vt:i4>
      </vt:variant>
    </vt:vector>
  </HeadingPairs>
  <TitlesOfParts>
    <vt:vector size="30" baseType="lpstr">
      <vt:lpstr>COVERAGE</vt:lpstr>
      <vt:lpstr>AUTOMATION</vt:lpstr>
      <vt:lpstr>COMPATIBILITY</vt:lpstr>
      <vt:lpstr>CUBE</vt:lpstr>
      <vt:lpstr>DATABASE</vt:lpstr>
      <vt:lpstr>DATE &amp; TIME</vt:lpstr>
      <vt:lpstr>ENGINEERING</vt:lpstr>
      <vt:lpstr>FINANCIAL</vt:lpstr>
      <vt:lpstr>INFORMATION</vt:lpstr>
      <vt:lpstr>LOGICAL</vt:lpstr>
      <vt:lpstr>LOOKUP</vt:lpstr>
      <vt:lpstr>MATH &amp; TRIG</vt:lpstr>
      <vt:lpstr>STATISTICAL</vt:lpstr>
      <vt:lpstr>TEXT</vt:lpstr>
      <vt:lpstr>WEB</vt:lpstr>
      <vt:lpstr>OPERATORS</vt:lpstr>
      <vt:lpstr>CORE</vt:lpstr>
      <vt:lpstr>EXTRA</vt:lpstr>
      <vt:lpstr>REF</vt:lpstr>
      <vt:lpstr>123</vt:lpstr>
      <vt:lpstr>_1234\5678\90</vt:lpstr>
      <vt:lpstr>_1234\5678\91</vt:lpstr>
      <vt:lpstr>a</vt:lpstr>
      <vt:lpstr>b</vt:lpstr>
      <vt:lpstr>d</vt:lpstr>
      <vt:lpstr>e</vt:lpstr>
      <vt:lpstr>f</vt:lpstr>
      <vt:lpstr>g</vt:lpstr>
      <vt:lpstr>h</vt:lpstr>
      <vt:lpstr>QF_SYS_LISTPRICECURRENCY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Vincenzo Arcidiacono</cp:lastModifiedBy>
  <dcterms:created xsi:type="dcterms:W3CDTF">2017-01-29T15:20:06Z</dcterms:created>
  <dcterms:modified xsi:type="dcterms:W3CDTF">2025-10-21T11:57:17Z</dcterms:modified>
</cp:coreProperties>
</file>